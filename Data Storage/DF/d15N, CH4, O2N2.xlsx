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OYABU/Dropbox/Share_Oyabu_Kawamura/__Paper_manuscripts/2021_Oyabu_chronology/_論文発表申請:データ公開手続/"/>
    </mc:Choice>
  </mc:AlternateContent>
  <xr:revisionPtr revIDLastSave="0" documentId="13_ncr:1_{FF760E4C-2D65-3C47-AAC7-1D89FECCCDB8}" xr6:coauthVersionLast="47" xr6:coauthVersionMax="47" xr10:uidLastSave="{00000000-0000-0000-0000-000000000000}"/>
  <bookViews>
    <workbookView xWindow="16340" yWindow="460" windowWidth="28800" windowHeight="16940" xr2:uid="{00000000-000D-0000-FFFF-FFFF00000000}"/>
  </bookViews>
  <sheets>
    <sheet name="(1) cover sheet" sheetId="11" r:id="rId1"/>
    <sheet name="(2) NIPR gas data" sheetId="1" r:id="rId2"/>
    <sheet name="(3) TU gas data" sheetId="8" r:id="rId3"/>
    <sheet name="(4) IGE gas data" sheetId="9" r:id="rId4"/>
    <sheet name="(5) CH4 composite" sheetId="10" r:id="rId5"/>
  </sheets>
  <definedNames>
    <definedName name="_xlnm._FilterDatabase" localSheetId="4" hidden="1">'(5) CH4 composite'!$A$1:$E$1137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h/041+vJg2fOmGG54WyL7QWE5XIg=="/>
    </ext>
  </extLst>
</workbook>
</file>

<file path=xl/calcChain.xml><?xml version="1.0" encoding="utf-8"?>
<calcChain xmlns="http://schemas.openxmlformats.org/spreadsheetml/2006/main">
  <c r="D89" i="9" l="1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21" i="9"/>
  <c r="K795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K39" i="1"/>
  <c r="J39" i="1"/>
  <c r="I39" i="1"/>
  <c r="K575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AA795" i="1"/>
  <c r="I795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7" i="1"/>
  <c r="J816" i="1"/>
  <c r="J819" i="1"/>
  <c r="J818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1" i="1"/>
  <c r="J612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</calcChain>
</file>

<file path=xl/sharedStrings.xml><?xml version="1.0" encoding="utf-8"?>
<sst xmlns="http://schemas.openxmlformats.org/spreadsheetml/2006/main" count="16983" uniqueCount="1166">
  <si>
    <t>2nd measurements (if applicable)</t>
  </si>
  <si>
    <t>3rd measurements (if applicable)</t>
  </si>
  <si>
    <t>4th measurements (if applicable)</t>
  </si>
  <si>
    <t>5th measurements (if applicable)</t>
  </si>
  <si>
    <t>6th measurements (if applicable)</t>
  </si>
  <si>
    <t>Dome Fuji Sample ID</t>
  </si>
  <si>
    <t xml:space="preserve"> top (m)</t>
  </si>
  <si>
    <t>bottom (m)</t>
  </si>
  <si>
    <t>center (m)</t>
  </si>
  <si>
    <t>CH4 grav.corr. (ppb)</t>
  </si>
  <si>
    <t>15N (‰)</t>
  </si>
  <si>
    <t>O2/N2 (‰)</t>
  </si>
  <si>
    <t>O2N2 grav.corr. (‰)</t>
  </si>
  <si>
    <t>Extraction date</t>
  </si>
  <si>
    <t>Surface removal thickness (mm)</t>
  </si>
  <si>
    <t>DF1</t>
  </si>
  <si>
    <t>01-001</t>
  </si>
  <si>
    <t/>
  </si>
  <si>
    <t>01-003</t>
  </si>
  <si>
    <t>01-004</t>
  </si>
  <si>
    <t>01-006</t>
  </si>
  <si>
    <t>01-008</t>
  </si>
  <si>
    <t>01-010</t>
  </si>
  <si>
    <t>01-011</t>
  </si>
  <si>
    <t>01-014</t>
  </si>
  <si>
    <t>01-015</t>
  </si>
  <si>
    <t>01-017</t>
  </si>
  <si>
    <t>01-018</t>
  </si>
  <si>
    <t>01-020</t>
  </si>
  <si>
    <t>01-023</t>
  </si>
  <si>
    <t>01-026</t>
  </si>
  <si>
    <t>01-027</t>
  </si>
  <si>
    <t>01-029</t>
  </si>
  <si>
    <t>01-031</t>
  </si>
  <si>
    <t>01-032</t>
  </si>
  <si>
    <t>01-034</t>
  </si>
  <si>
    <t>01-036</t>
  </si>
  <si>
    <t>01-039</t>
  </si>
  <si>
    <t>01-040</t>
  </si>
  <si>
    <t>01-041</t>
  </si>
  <si>
    <t>01-043</t>
  </si>
  <si>
    <t>01-044</t>
  </si>
  <si>
    <t>01-046</t>
  </si>
  <si>
    <t>01-047</t>
  </si>
  <si>
    <t>01-049</t>
  </si>
  <si>
    <t>01-050</t>
  </si>
  <si>
    <t>01-052</t>
  </si>
  <si>
    <t>01-053</t>
  </si>
  <si>
    <t>01-055</t>
  </si>
  <si>
    <t>01-057</t>
  </si>
  <si>
    <t>01-058</t>
  </si>
  <si>
    <t>01-059</t>
  </si>
  <si>
    <t>01-062</t>
  </si>
  <si>
    <t>01-064</t>
  </si>
  <si>
    <t>01-065</t>
  </si>
  <si>
    <t>01-068</t>
  </si>
  <si>
    <t>01-070</t>
  </si>
  <si>
    <t>01-072</t>
  </si>
  <si>
    <t>01-075</t>
  </si>
  <si>
    <t>01-078</t>
  </si>
  <si>
    <t>01-084</t>
  </si>
  <si>
    <t>01-089</t>
  </si>
  <si>
    <t>01-090</t>
  </si>
  <si>
    <t>01-092</t>
  </si>
  <si>
    <t>01-094</t>
  </si>
  <si>
    <t>01-097</t>
  </si>
  <si>
    <t>01-098</t>
  </si>
  <si>
    <t>01-100</t>
  </si>
  <si>
    <t>01-101</t>
  </si>
  <si>
    <t>01-102</t>
  </si>
  <si>
    <t>01-105</t>
  </si>
  <si>
    <t>01-106</t>
  </si>
  <si>
    <t>01-107</t>
  </si>
  <si>
    <t>01-109</t>
  </si>
  <si>
    <t>01-110</t>
  </si>
  <si>
    <t>01-111</t>
  </si>
  <si>
    <t>01-113</t>
  </si>
  <si>
    <t>01-114</t>
  </si>
  <si>
    <t>01-116</t>
  </si>
  <si>
    <t>01-119</t>
  </si>
  <si>
    <t>01-121</t>
  </si>
  <si>
    <t>01-122</t>
  </si>
  <si>
    <t>01-123</t>
  </si>
  <si>
    <t>01-125</t>
  </si>
  <si>
    <t>01-128</t>
  </si>
  <si>
    <t>01-129</t>
  </si>
  <si>
    <t>01-131</t>
  </si>
  <si>
    <t>01-132</t>
  </si>
  <si>
    <t>outer ice</t>
  </si>
  <si>
    <t>01-135</t>
  </si>
  <si>
    <t>01-137</t>
  </si>
  <si>
    <t>01-138</t>
  </si>
  <si>
    <t>01-140</t>
  </si>
  <si>
    <t>01-142</t>
  </si>
  <si>
    <t>01-143</t>
  </si>
  <si>
    <t>01-145</t>
  </si>
  <si>
    <t>01-146</t>
  </si>
  <si>
    <t>01-148</t>
  </si>
  <si>
    <t>01-150</t>
  </si>
  <si>
    <t>01-151</t>
  </si>
  <si>
    <t>01-153</t>
  </si>
  <si>
    <t>01-154</t>
  </si>
  <si>
    <t>01-155</t>
  </si>
  <si>
    <t>01-157</t>
  </si>
  <si>
    <t>01-158</t>
  </si>
  <si>
    <t>01-160</t>
  </si>
  <si>
    <t>01-162</t>
  </si>
  <si>
    <t>01-164</t>
  </si>
  <si>
    <t>01-165</t>
  </si>
  <si>
    <t>01-166</t>
  </si>
  <si>
    <t>01-167</t>
  </si>
  <si>
    <t>01-169</t>
  </si>
  <si>
    <t>01-170</t>
  </si>
  <si>
    <t>01-171</t>
  </si>
  <si>
    <t>01-173</t>
  </si>
  <si>
    <t>02-001</t>
  </si>
  <si>
    <t>02-002</t>
  </si>
  <si>
    <t>02-004</t>
  </si>
  <si>
    <t>02-005</t>
  </si>
  <si>
    <t>02-007</t>
  </si>
  <si>
    <t>02-009</t>
  </si>
  <si>
    <t>02-012</t>
  </si>
  <si>
    <t>02-013</t>
  </si>
  <si>
    <t>02-014</t>
  </si>
  <si>
    <t>02-016</t>
  </si>
  <si>
    <t>02-017</t>
  </si>
  <si>
    <t>02-019</t>
  </si>
  <si>
    <t>02-021</t>
  </si>
  <si>
    <t>02-024</t>
  </si>
  <si>
    <t>02-026</t>
  </si>
  <si>
    <t>02-028</t>
  </si>
  <si>
    <t>02-031</t>
  </si>
  <si>
    <t>02-034</t>
  </si>
  <si>
    <t>02-036</t>
  </si>
  <si>
    <t>02-039</t>
  </si>
  <si>
    <t>02-042</t>
  </si>
  <si>
    <t>02-044</t>
  </si>
  <si>
    <t>02-047</t>
  </si>
  <si>
    <t>02-050</t>
  </si>
  <si>
    <t>02-053</t>
  </si>
  <si>
    <t>02-056</t>
  </si>
  <si>
    <t>02-059</t>
  </si>
  <si>
    <t>02-061</t>
  </si>
  <si>
    <t>02-064</t>
  </si>
  <si>
    <t>02-067</t>
  </si>
  <si>
    <t>02-069</t>
  </si>
  <si>
    <t>02-072</t>
  </si>
  <si>
    <t>02-075</t>
  </si>
  <si>
    <t>02-078</t>
  </si>
  <si>
    <t>02-081</t>
  </si>
  <si>
    <t>02-083</t>
  </si>
  <si>
    <t>02-086</t>
  </si>
  <si>
    <t>02-089</t>
  </si>
  <si>
    <t>02-092</t>
  </si>
  <si>
    <t>02-094</t>
  </si>
  <si>
    <t>02-097</t>
  </si>
  <si>
    <t>02-099</t>
  </si>
  <si>
    <t>02-102</t>
  </si>
  <si>
    <t>02-104</t>
  </si>
  <si>
    <t>02-107</t>
  </si>
  <si>
    <t>02-109</t>
  </si>
  <si>
    <t>02-111</t>
  </si>
  <si>
    <t>02-114</t>
  </si>
  <si>
    <t>02-116</t>
  </si>
  <si>
    <t>02-118</t>
  </si>
  <si>
    <t>02-121</t>
  </si>
  <si>
    <t>02-124</t>
  </si>
  <si>
    <t>02-126</t>
  </si>
  <si>
    <t>02-129</t>
  </si>
  <si>
    <t>02-131</t>
  </si>
  <si>
    <t>02-134</t>
  </si>
  <si>
    <t>02-137</t>
  </si>
  <si>
    <t>02-140</t>
  </si>
  <si>
    <t>02-143</t>
  </si>
  <si>
    <t>02-145</t>
  </si>
  <si>
    <t>02-148</t>
  </si>
  <si>
    <t>02-150</t>
  </si>
  <si>
    <t>02-153</t>
  </si>
  <si>
    <t>02-159</t>
  </si>
  <si>
    <t>02-162</t>
  </si>
  <si>
    <t>02-164</t>
  </si>
  <si>
    <t>02-167</t>
  </si>
  <si>
    <t>02-170</t>
  </si>
  <si>
    <t>02-172</t>
  </si>
  <si>
    <t>02-175</t>
  </si>
  <si>
    <t>02-177</t>
  </si>
  <si>
    <t>02-180</t>
  </si>
  <si>
    <t>02-182</t>
  </si>
  <si>
    <t>02-184</t>
  </si>
  <si>
    <t>02-187</t>
  </si>
  <si>
    <t>02-189</t>
  </si>
  <si>
    <t>02-192</t>
  </si>
  <si>
    <t>02-195</t>
  </si>
  <si>
    <t>02-197</t>
  </si>
  <si>
    <t>02-200</t>
  </si>
  <si>
    <t>03-001</t>
  </si>
  <si>
    <t>03-005</t>
  </si>
  <si>
    <t>03-007</t>
  </si>
  <si>
    <t>03-010</t>
  </si>
  <si>
    <t>03-013</t>
  </si>
  <si>
    <t>03-015</t>
  </si>
  <si>
    <t>03-018</t>
  </si>
  <si>
    <t>03-021</t>
  </si>
  <si>
    <t>03-023</t>
  </si>
  <si>
    <t>03-026</t>
  </si>
  <si>
    <t>03-028</t>
  </si>
  <si>
    <t>03-030</t>
  </si>
  <si>
    <t>03-033</t>
  </si>
  <si>
    <t>03-036</t>
  </si>
  <si>
    <t>03-038</t>
  </si>
  <si>
    <t>03-040</t>
  </si>
  <si>
    <t>03-042</t>
  </si>
  <si>
    <t>03-044</t>
  </si>
  <si>
    <t>03-047</t>
  </si>
  <si>
    <t>03-049</t>
  </si>
  <si>
    <t>03-051</t>
  </si>
  <si>
    <t>03-054</t>
  </si>
  <si>
    <t>03-056</t>
  </si>
  <si>
    <t>03-058</t>
  </si>
  <si>
    <t>03-061</t>
  </si>
  <si>
    <t>03-064</t>
  </si>
  <si>
    <t>03-067</t>
  </si>
  <si>
    <t>03-069</t>
  </si>
  <si>
    <t>03-072</t>
  </si>
  <si>
    <t>03-074</t>
  </si>
  <si>
    <t>03-077</t>
  </si>
  <si>
    <t>03-079</t>
  </si>
  <si>
    <t>03-082</t>
  </si>
  <si>
    <t>03-087</t>
  </si>
  <si>
    <t>03-089</t>
  </si>
  <si>
    <t>03-092</t>
  </si>
  <si>
    <t>03-094</t>
  </si>
  <si>
    <t>03-097</t>
  </si>
  <si>
    <t>03-100</t>
  </si>
  <si>
    <t>03-103</t>
  </si>
  <si>
    <t>03-105</t>
  </si>
  <si>
    <t>03-108</t>
  </si>
  <si>
    <t>03-111</t>
  </si>
  <si>
    <t>03-113</t>
  </si>
  <si>
    <t>03-116</t>
  </si>
  <si>
    <t>03-119</t>
  </si>
  <si>
    <t>03-122</t>
  </si>
  <si>
    <t>03-124</t>
  </si>
  <si>
    <t>03-127</t>
  </si>
  <si>
    <t>03-129</t>
  </si>
  <si>
    <t>03-131</t>
  </si>
  <si>
    <t>03-134</t>
  </si>
  <si>
    <t>03-137</t>
  </si>
  <si>
    <t>03-140</t>
  </si>
  <si>
    <t>03-142</t>
  </si>
  <si>
    <t>03-145</t>
  </si>
  <si>
    <t>03-147</t>
  </si>
  <si>
    <t>03-149</t>
  </si>
  <si>
    <t>03-152</t>
  </si>
  <si>
    <t>03-155</t>
  </si>
  <si>
    <t>03-158</t>
  </si>
  <si>
    <t>03-161</t>
  </si>
  <si>
    <t>03-164</t>
  </si>
  <si>
    <t>03-167</t>
  </si>
  <si>
    <t>03-169</t>
  </si>
  <si>
    <t>03-172</t>
  </si>
  <si>
    <t>03-175</t>
  </si>
  <si>
    <t>03-178</t>
  </si>
  <si>
    <t>03-181</t>
  </si>
  <si>
    <t>03-183</t>
  </si>
  <si>
    <t>03-186</t>
  </si>
  <si>
    <t>03-189</t>
  </si>
  <si>
    <t>03-192</t>
  </si>
  <si>
    <t>03-194</t>
  </si>
  <si>
    <t>03-196</t>
  </si>
  <si>
    <t>03-199</t>
  </si>
  <si>
    <t>04-002</t>
  </si>
  <si>
    <t>04-005</t>
  </si>
  <si>
    <t>04-008</t>
  </si>
  <si>
    <t>04-010</t>
  </si>
  <si>
    <t>04-014</t>
  </si>
  <si>
    <t>04-016</t>
  </si>
  <si>
    <t>04-019</t>
  </si>
  <si>
    <t>04-021</t>
  </si>
  <si>
    <t>04-024</t>
  </si>
  <si>
    <t>04-027</t>
  </si>
  <si>
    <t>04-028</t>
  </si>
  <si>
    <t>04-032</t>
  </si>
  <si>
    <t>04-036</t>
  </si>
  <si>
    <t>04-039</t>
  </si>
  <si>
    <t>04-041</t>
  </si>
  <si>
    <t>04-044</t>
  </si>
  <si>
    <t>04-047</t>
  </si>
  <si>
    <t>04-049</t>
  </si>
  <si>
    <t>04-052</t>
  </si>
  <si>
    <t>04-054</t>
  </si>
  <si>
    <t>04-057</t>
  </si>
  <si>
    <t>04-059</t>
  </si>
  <si>
    <t>04-062</t>
  </si>
  <si>
    <t>04-064</t>
  </si>
  <si>
    <t>04-066</t>
  </si>
  <si>
    <t>04-068</t>
  </si>
  <si>
    <t>04-071</t>
  </si>
  <si>
    <t>04-074</t>
  </si>
  <si>
    <t>04-076</t>
  </si>
  <si>
    <t>04-079</t>
  </si>
  <si>
    <t>04-082</t>
  </si>
  <si>
    <t>04-084</t>
  </si>
  <si>
    <t>04-087</t>
  </si>
  <si>
    <t>04-089</t>
  </si>
  <si>
    <t>04-091</t>
  </si>
  <si>
    <t>04-093</t>
  </si>
  <si>
    <t>04-095</t>
  </si>
  <si>
    <t>04-098</t>
  </si>
  <si>
    <t>04-101</t>
  </si>
  <si>
    <t>04-103</t>
  </si>
  <si>
    <t>04-104</t>
  </si>
  <si>
    <t>04-106</t>
  </si>
  <si>
    <t>04-108</t>
  </si>
  <si>
    <t>04-109</t>
  </si>
  <si>
    <t>04-111</t>
  </si>
  <si>
    <t>04-113</t>
  </si>
  <si>
    <t>04-115</t>
  </si>
  <si>
    <t>04-119</t>
  </si>
  <si>
    <t>04-124</t>
  </si>
  <si>
    <t>04-129</t>
  </si>
  <si>
    <t>04-133</t>
  </si>
  <si>
    <t>04-138</t>
  </si>
  <si>
    <t>04-141</t>
  </si>
  <si>
    <t>04-146</t>
  </si>
  <si>
    <t>04-149</t>
  </si>
  <si>
    <t>04-154</t>
  </si>
  <si>
    <t>04-158</t>
  </si>
  <si>
    <t>04-162</t>
  </si>
  <si>
    <t>04-168</t>
  </si>
  <si>
    <t>04-171</t>
  </si>
  <si>
    <t>04-175</t>
  </si>
  <si>
    <t>04-179</t>
  </si>
  <si>
    <t>04-183</t>
  </si>
  <si>
    <t>04-188</t>
  </si>
  <si>
    <t>04-193</t>
  </si>
  <si>
    <t>04-197</t>
  </si>
  <si>
    <t>05-002</t>
  </si>
  <si>
    <t>05-004</t>
  </si>
  <si>
    <t>05-008</t>
  </si>
  <si>
    <t>05-012</t>
  </si>
  <si>
    <t>05-015</t>
  </si>
  <si>
    <t>05-019</t>
  </si>
  <si>
    <t>05-023</t>
  </si>
  <si>
    <t>05-025</t>
  </si>
  <si>
    <t>05-028</t>
  </si>
  <si>
    <t>05-031</t>
  </si>
  <si>
    <t>05-035</t>
  </si>
  <si>
    <t>05-039</t>
  </si>
  <si>
    <t>05-042</t>
  </si>
  <si>
    <t>05-045</t>
  </si>
  <si>
    <t>05-048</t>
  </si>
  <si>
    <t>05-054</t>
  </si>
  <si>
    <t>05-058</t>
  </si>
  <si>
    <t>05-063</t>
  </si>
  <si>
    <t>05-068</t>
  </si>
  <si>
    <t>05-073</t>
  </si>
  <si>
    <t>05-077</t>
  </si>
  <si>
    <t>05-079</t>
  </si>
  <si>
    <t>05-084</t>
  </si>
  <si>
    <t>05-089</t>
  </si>
  <si>
    <t>05-093</t>
  </si>
  <si>
    <t>05-095</t>
  </si>
  <si>
    <t>05-097</t>
  </si>
  <si>
    <t>05-101</t>
  </si>
  <si>
    <t>05-105</t>
  </si>
  <si>
    <t>05-108</t>
  </si>
  <si>
    <t>05-111</t>
  </si>
  <si>
    <t>05-113</t>
  </si>
  <si>
    <t>05-116</t>
  </si>
  <si>
    <t>05-118</t>
  </si>
  <si>
    <t>05-121</t>
  </si>
  <si>
    <t>05-123</t>
  </si>
  <si>
    <t>05-125</t>
  </si>
  <si>
    <t>05-127</t>
  </si>
  <si>
    <t>05-129</t>
  </si>
  <si>
    <t>05-131</t>
  </si>
  <si>
    <t>05-133</t>
  </si>
  <si>
    <t>05-135</t>
  </si>
  <si>
    <t>05-137</t>
  </si>
  <si>
    <t>05-139</t>
  </si>
  <si>
    <t>05-141</t>
  </si>
  <si>
    <t>05-142</t>
  </si>
  <si>
    <t>05-145</t>
  </si>
  <si>
    <t>05-147</t>
  </si>
  <si>
    <t>05-150</t>
  </si>
  <si>
    <t>05-152</t>
  </si>
  <si>
    <t>05-156</t>
  </si>
  <si>
    <t>05-159</t>
  </si>
  <si>
    <t>05-161</t>
  </si>
  <si>
    <t>05-162</t>
  </si>
  <si>
    <t>05-164</t>
  </si>
  <si>
    <t>05-168</t>
  </si>
  <si>
    <t>05-171</t>
  </si>
  <si>
    <t>05-173</t>
  </si>
  <si>
    <t>05-176</t>
  </si>
  <si>
    <t>05-179</t>
  </si>
  <si>
    <t>05-182</t>
  </si>
  <si>
    <t>05-184</t>
  </si>
  <si>
    <t>05-188</t>
  </si>
  <si>
    <t>05-191</t>
  </si>
  <si>
    <t>05-193</t>
  </si>
  <si>
    <t>05-197</t>
  </si>
  <si>
    <t>05-199</t>
  </si>
  <si>
    <t>05-201</t>
  </si>
  <si>
    <t>06-002</t>
  </si>
  <si>
    <t>06-003</t>
  </si>
  <si>
    <t>06-009</t>
  </si>
  <si>
    <t>06-013</t>
  </si>
  <si>
    <t>06-016</t>
  </si>
  <si>
    <t>06-019</t>
  </si>
  <si>
    <t>06-021</t>
  </si>
  <si>
    <t>06-022</t>
  </si>
  <si>
    <t>06-024</t>
  </si>
  <si>
    <t>06-027</t>
  </si>
  <si>
    <t>06-031</t>
  </si>
  <si>
    <t>06-033</t>
  </si>
  <si>
    <t>06-036</t>
  </si>
  <si>
    <t>06-038</t>
  </si>
  <si>
    <t>06-041</t>
  </si>
  <si>
    <t>06-043</t>
  </si>
  <si>
    <t>06-046</t>
  </si>
  <si>
    <t>06-048</t>
  </si>
  <si>
    <t>06-052</t>
  </si>
  <si>
    <t>06-056</t>
  </si>
  <si>
    <t>06-058</t>
  </si>
  <si>
    <t>06-061</t>
  </si>
  <si>
    <t>06-064</t>
  </si>
  <si>
    <t>06-067</t>
  </si>
  <si>
    <t>06-071</t>
  </si>
  <si>
    <t>06-074</t>
  </si>
  <si>
    <t>06-077</t>
  </si>
  <si>
    <t>06-080</t>
  </si>
  <si>
    <t>06-083</t>
  </si>
  <si>
    <t>06-085</t>
  </si>
  <si>
    <t>06-087</t>
  </si>
  <si>
    <t>06-091</t>
  </si>
  <si>
    <t>06-093</t>
  </si>
  <si>
    <t>06-097</t>
  </si>
  <si>
    <t>06-102</t>
  </si>
  <si>
    <t>06-104</t>
  </si>
  <si>
    <t>06-108</t>
  </si>
  <si>
    <t>06-114</t>
  </si>
  <si>
    <t>06-117</t>
  </si>
  <si>
    <t>06-118</t>
  </si>
  <si>
    <t>06-122</t>
  </si>
  <si>
    <t>06-125</t>
  </si>
  <si>
    <t>06-128</t>
  </si>
  <si>
    <t>06-131</t>
  </si>
  <si>
    <t>06-134</t>
  </si>
  <si>
    <t>06-137</t>
  </si>
  <si>
    <t>06-139</t>
  </si>
  <si>
    <t>06-143</t>
  </si>
  <si>
    <t>06-158</t>
  </si>
  <si>
    <t>06-170</t>
  </si>
  <si>
    <t>06-184</t>
  </si>
  <si>
    <t>06-198</t>
  </si>
  <si>
    <t>07-011</t>
  </si>
  <si>
    <t>07-025</t>
  </si>
  <si>
    <t>07-038</t>
  </si>
  <si>
    <t>07-052</t>
  </si>
  <si>
    <t>07-066</t>
  </si>
  <si>
    <t>07-080</t>
  </si>
  <si>
    <t>07-094</t>
  </si>
  <si>
    <t>07-109</t>
  </si>
  <si>
    <t>07-123</t>
  </si>
  <si>
    <t>07-138</t>
  </si>
  <si>
    <t>07-150</t>
  </si>
  <si>
    <t>07-163</t>
  </si>
  <si>
    <t>07-176</t>
  </si>
  <si>
    <t>07-189</t>
  </si>
  <si>
    <t>08-002</t>
  </si>
  <si>
    <t>08-015</t>
  </si>
  <si>
    <t>08-028</t>
  </si>
  <si>
    <t>08-042</t>
  </si>
  <si>
    <t>08-055</t>
  </si>
  <si>
    <t>08-067</t>
  </si>
  <si>
    <t>08-079</t>
  </si>
  <si>
    <t>08-093</t>
  </si>
  <si>
    <t>08-107</t>
  </si>
  <si>
    <t>08-122</t>
  </si>
  <si>
    <t>08-135</t>
  </si>
  <si>
    <t>08-148</t>
  </si>
  <si>
    <t>08-162</t>
  </si>
  <si>
    <t>08-174</t>
  </si>
  <si>
    <t>08-186</t>
  </si>
  <si>
    <t>08-199</t>
  </si>
  <si>
    <t>09-011</t>
  </si>
  <si>
    <t>09-024</t>
  </si>
  <si>
    <t>09-036</t>
  </si>
  <si>
    <t>09-049</t>
  </si>
  <si>
    <t>09-062</t>
  </si>
  <si>
    <t>09-074</t>
  </si>
  <si>
    <t>09-088</t>
  </si>
  <si>
    <t>09-101</t>
  </si>
  <si>
    <t>09-114</t>
  </si>
  <si>
    <t>09-126</t>
  </si>
  <si>
    <t>09-138</t>
  </si>
  <si>
    <t>09-149</t>
  </si>
  <si>
    <t>09-162</t>
  </si>
  <si>
    <t>09-174</t>
  </si>
  <si>
    <t>09-187</t>
  </si>
  <si>
    <t>09-200</t>
  </si>
  <si>
    <t>10-012</t>
  </si>
  <si>
    <t>10-026</t>
  </si>
  <si>
    <t>10-039</t>
  </si>
  <si>
    <t>10-045</t>
  </si>
  <si>
    <t>10-056</t>
  </si>
  <si>
    <t>10-067</t>
  </si>
  <si>
    <t>10-078</t>
  </si>
  <si>
    <t>10-093</t>
  </si>
  <si>
    <t>10-100</t>
  </si>
  <si>
    <t>10-114</t>
  </si>
  <si>
    <t>10-124</t>
  </si>
  <si>
    <t>10-136</t>
  </si>
  <si>
    <t>10-146</t>
  </si>
  <si>
    <t>10-154</t>
  </si>
  <si>
    <t>10-163</t>
  </si>
  <si>
    <t>10-175</t>
  </si>
  <si>
    <t>10-184</t>
  </si>
  <si>
    <t>10-195</t>
  </si>
  <si>
    <t>11-004</t>
  </si>
  <si>
    <t>11-012</t>
  </si>
  <si>
    <t>11-022</t>
  </si>
  <si>
    <t>11-029</t>
  </si>
  <si>
    <t>11-040</t>
  </si>
  <si>
    <t>11-048</t>
  </si>
  <si>
    <t>11-058</t>
  </si>
  <si>
    <t>11-068</t>
  </si>
  <si>
    <t>11-077</t>
  </si>
  <si>
    <t>11-087</t>
  </si>
  <si>
    <t>11-097</t>
  </si>
  <si>
    <t>11-108</t>
  </si>
  <si>
    <t>11-118</t>
  </si>
  <si>
    <t>11-127</t>
  </si>
  <si>
    <t>11-137</t>
  </si>
  <si>
    <t>11-148</t>
  </si>
  <si>
    <t>11-157</t>
  </si>
  <si>
    <t>11-168</t>
  </si>
  <si>
    <t>11-178</t>
  </si>
  <si>
    <t>11-188</t>
  </si>
  <si>
    <t>11-198</t>
  </si>
  <si>
    <t>12-006</t>
  </si>
  <si>
    <t>12-017</t>
  </si>
  <si>
    <t>12-027</t>
  </si>
  <si>
    <t>12-036</t>
  </si>
  <si>
    <t>12-048</t>
  </si>
  <si>
    <t>12-058</t>
  </si>
  <si>
    <t>12-068</t>
  </si>
  <si>
    <t>12-080</t>
  </si>
  <si>
    <t>12-091</t>
  </si>
  <si>
    <t>12-100</t>
  </si>
  <si>
    <t>12-113</t>
  </si>
  <si>
    <t>12-118 (bag mean)</t>
  </si>
  <si>
    <t>12-135</t>
  </si>
  <si>
    <t>12-145</t>
  </si>
  <si>
    <t>12-155</t>
  </si>
  <si>
    <t>12-167</t>
  </si>
  <si>
    <t>12-177</t>
  </si>
  <si>
    <t>12-186</t>
  </si>
  <si>
    <t>12-196</t>
  </si>
  <si>
    <t>13-008</t>
  </si>
  <si>
    <t>13-017</t>
  </si>
  <si>
    <t>13-028</t>
  </si>
  <si>
    <t>13-037</t>
  </si>
  <si>
    <t>13-045</t>
  </si>
  <si>
    <t>13-063</t>
  </si>
  <si>
    <t>13-072</t>
  </si>
  <si>
    <t>13-082</t>
  </si>
  <si>
    <t>13-090</t>
  </si>
  <si>
    <t>13-100</t>
  </si>
  <si>
    <t>13-108</t>
  </si>
  <si>
    <t>13-115</t>
  </si>
  <si>
    <t>13-123</t>
  </si>
  <si>
    <t>13-131</t>
  </si>
  <si>
    <t>13-138</t>
  </si>
  <si>
    <t>13-148</t>
  </si>
  <si>
    <t>13-158</t>
  </si>
  <si>
    <t>13-169</t>
  </si>
  <si>
    <t>13-181</t>
  </si>
  <si>
    <t>13-194</t>
  </si>
  <si>
    <t>13-199 (bag mean)</t>
  </si>
  <si>
    <t>14-003</t>
  </si>
  <si>
    <t>14-016</t>
  </si>
  <si>
    <t>14-030</t>
  </si>
  <si>
    <t>14-039</t>
  </si>
  <si>
    <t>14-051</t>
  </si>
  <si>
    <t>14-064</t>
  </si>
  <si>
    <t>14-075</t>
  </si>
  <si>
    <t>14-087</t>
  </si>
  <si>
    <t>14-098</t>
  </si>
  <si>
    <t>14-112</t>
  </si>
  <si>
    <t>14-124</t>
  </si>
  <si>
    <t>14-137</t>
  </si>
  <si>
    <t>14-148</t>
  </si>
  <si>
    <t>14-161</t>
  </si>
  <si>
    <t>14-174</t>
  </si>
  <si>
    <t>14-186</t>
  </si>
  <si>
    <t>14-198</t>
  </si>
  <si>
    <t>15-012</t>
  </si>
  <si>
    <t>15-022</t>
  </si>
  <si>
    <t>15-033</t>
  </si>
  <si>
    <t>15-043</t>
  </si>
  <si>
    <t>15-053</t>
  </si>
  <si>
    <t>15-063</t>
  </si>
  <si>
    <t>15-082</t>
  </si>
  <si>
    <t>15-092</t>
  </si>
  <si>
    <t>15-098</t>
  </si>
  <si>
    <t>15-107</t>
  </si>
  <si>
    <t>15-116</t>
  </si>
  <si>
    <t>15-125</t>
  </si>
  <si>
    <t>15-133</t>
  </si>
  <si>
    <t>15-138</t>
  </si>
  <si>
    <t>15-146</t>
  </si>
  <si>
    <t>15-153</t>
  </si>
  <si>
    <t>15-160</t>
  </si>
  <si>
    <t>15-167</t>
  </si>
  <si>
    <t>15-175</t>
  </si>
  <si>
    <t>15-184</t>
  </si>
  <si>
    <t>15-192</t>
  </si>
  <si>
    <t>15-199</t>
  </si>
  <si>
    <t>16-009</t>
  </si>
  <si>
    <t>16-014</t>
  </si>
  <si>
    <t>16-020</t>
  </si>
  <si>
    <t>16-027</t>
  </si>
  <si>
    <t>16-036</t>
  </si>
  <si>
    <t>16-045</t>
  </si>
  <si>
    <t>16-054</t>
  </si>
  <si>
    <t>16-064</t>
  </si>
  <si>
    <t>16-073</t>
  </si>
  <si>
    <t>16-083</t>
  </si>
  <si>
    <t>16-093</t>
  </si>
  <si>
    <t>16-104</t>
  </si>
  <si>
    <t>16-112</t>
  </si>
  <si>
    <t>16-122</t>
  </si>
  <si>
    <t>16-132</t>
  </si>
  <si>
    <t>16-144</t>
  </si>
  <si>
    <t>16-154</t>
  </si>
  <si>
    <t>16-165</t>
  </si>
  <si>
    <t>16-176</t>
  </si>
  <si>
    <t>16-188</t>
  </si>
  <si>
    <t>16-198</t>
  </si>
  <si>
    <t>17-012</t>
  </si>
  <si>
    <t>17-025</t>
  </si>
  <si>
    <t>17-038</t>
  </si>
  <si>
    <t>17-053</t>
  </si>
  <si>
    <t>17-064</t>
  </si>
  <si>
    <t>17-077</t>
  </si>
  <si>
    <t>17-090</t>
  </si>
  <si>
    <t>17-106</t>
  </si>
  <si>
    <t>17-118</t>
  </si>
  <si>
    <t>17-135</t>
  </si>
  <si>
    <t>17-148</t>
  </si>
  <si>
    <t>17-162</t>
  </si>
  <si>
    <t>17-175</t>
  </si>
  <si>
    <t>17-186</t>
  </si>
  <si>
    <t>17-196</t>
  </si>
  <si>
    <t>18-007</t>
  </si>
  <si>
    <t>18-016</t>
  </si>
  <si>
    <t>18-024</t>
  </si>
  <si>
    <t>18-032</t>
  </si>
  <si>
    <t>18-041</t>
  </si>
  <si>
    <t>18-046</t>
  </si>
  <si>
    <t>18-052</t>
  </si>
  <si>
    <t>18-058</t>
  </si>
  <si>
    <t>18-063</t>
  </si>
  <si>
    <t>18-068</t>
  </si>
  <si>
    <t>18-074</t>
  </si>
  <si>
    <t>18-079</t>
  </si>
  <si>
    <t>18-084</t>
  </si>
  <si>
    <t>18-089</t>
  </si>
  <si>
    <t>18-094</t>
  </si>
  <si>
    <t>18-099</t>
  </si>
  <si>
    <t>18-106</t>
  </si>
  <si>
    <t>18-106-1</t>
  </si>
  <si>
    <t>18-106-2</t>
  </si>
  <si>
    <t>18-108-1</t>
  </si>
  <si>
    <t>18-108-2</t>
  </si>
  <si>
    <t>18-109-1</t>
  </si>
  <si>
    <t>18-109-2</t>
  </si>
  <si>
    <t>18-110-1</t>
  </si>
  <si>
    <t>18-110-2</t>
  </si>
  <si>
    <t>18-111</t>
  </si>
  <si>
    <t>18-111-1</t>
  </si>
  <si>
    <t>18-111-2</t>
  </si>
  <si>
    <t>18-113-1</t>
  </si>
  <si>
    <t>18-113-2</t>
  </si>
  <si>
    <t>18-114-1</t>
  </si>
  <si>
    <t>18-114-2</t>
  </si>
  <si>
    <t>18-115-1</t>
  </si>
  <si>
    <t>18-115-2</t>
  </si>
  <si>
    <t>18-117-1</t>
  </si>
  <si>
    <t>18-117-2</t>
  </si>
  <si>
    <t>18-118</t>
  </si>
  <si>
    <t>18-118-2</t>
  </si>
  <si>
    <t>18-119-1</t>
  </si>
  <si>
    <t>18-119-2</t>
  </si>
  <si>
    <t>18-121-1</t>
  </si>
  <si>
    <t>18-121-2</t>
  </si>
  <si>
    <t>18-122-1</t>
  </si>
  <si>
    <t>18-122-2</t>
  </si>
  <si>
    <t>18-123</t>
  </si>
  <si>
    <t>18-128</t>
  </si>
  <si>
    <t>18-133</t>
  </si>
  <si>
    <t>18-138</t>
  </si>
  <si>
    <t>18-142</t>
  </si>
  <si>
    <t>18-148</t>
  </si>
  <si>
    <t>18-153</t>
  </si>
  <si>
    <t>18-159</t>
  </si>
  <si>
    <t>18-163</t>
  </si>
  <si>
    <t>18-168</t>
  </si>
  <si>
    <t>18-173</t>
  </si>
  <si>
    <t>18-179</t>
  </si>
  <si>
    <t>18-186</t>
  </si>
  <si>
    <t>18-188 (bag mean)</t>
  </si>
  <si>
    <t>18-190</t>
  </si>
  <si>
    <t>18-196</t>
  </si>
  <si>
    <t>19-004</t>
  </si>
  <si>
    <t>19-008</t>
  </si>
  <si>
    <t>19-013</t>
  </si>
  <si>
    <t>19-018</t>
  </si>
  <si>
    <t>19-023</t>
  </si>
  <si>
    <t>19-029</t>
  </si>
  <si>
    <t>19-033</t>
  </si>
  <si>
    <t>19-038</t>
  </si>
  <si>
    <t>19-041</t>
  </si>
  <si>
    <t>19-044</t>
  </si>
  <si>
    <t>19-049</t>
  </si>
  <si>
    <t>19-052</t>
  </si>
  <si>
    <t>19-056</t>
  </si>
  <si>
    <t>19-059</t>
  </si>
  <si>
    <t>19-064</t>
  </si>
  <si>
    <t>19-068</t>
  </si>
  <si>
    <t>19-071</t>
  </si>
  <si>
    <t>19-076</t>
  </si>
  <si>
    <t>19-082</t>
  </si>
  <si>
    <t>19-086</t>
  </si>
  <si>
    <t>19-090</t>
  </si>
  <si>
    <t>19-099</t>
  </si>
  <si>
    <t>19-103</t>
  </si>
  <si>
    <t>19-108</t>
  </si>
  <si>
    <t>19-113</t>
  </si>
  <si>
    <t>19-117</t>
  </si>
  <si>
    <t>19-122</t>
  </si>
  <si>
    <t>19-126</t>
  </si>
  <si>
    <t>19-132</t>
  </si>
  <si>
    <t>19-136</t>
  </si>
  <si>
    <t>19-141</t>
  </si>
  <si>
    <t>19-145</t>
  </si>
  <si>
    <t>19-149</t>
  </si>
  <si>
    <t>19-154</t>
  </si>
  <si>
    <t>19-159</t>
  </si>
  <si>
    <t>19-165</t>
  </si>
  <si>
    <t>19-174</t>
  </si>
  <si>
    <t>19-185</t>
  </si>
  <si>
    <t>19-189</t>
  </si>
  <si>
    <t>19-193</t>
  </si>
  <si>
    <t>19-198</t>
  </si>
  <si>
    <t>20-003</t>
  </si>
  <si>
    <t>20-007</t>
  </si>
  <si>
    <t>20-013</t>
  </si>
  <si>
    <t>20-022</t>
  </si>
  <si>
    <t>20-027</t>
  </si>
  <si>
    <t>20-033</t>
  </si>
  <si>
    <t>20-036</t>
  </si>
  <si>
    <t>20-047</t>
  </si>
  <si>
    <t>20-052</t>
  </si>
  <si>
    <t>20-056</t>
  </si>
  <si>
    <t>20-065</t>
  </si>
  <si>
    <t>20-072</t>
  </si>
  <si>
    <t>20-082</t>
  </si>
  <si>
    <t>20-092</t>
  </si>
  <si>
    <t>20-099</t>
  </si>
  <si>
    <t>20-110</t>
  </si>
  <si>
    <t>20-118</t>
  </si>
  <si>
    <t>20-122</t>
  </si>
  <si>
    <t>DF2</t>
  </si>
  <si>
    <t>20-123</t>
  </si>
  <si>
    <t>20-132</t>
  </si>
  <si>
    <t>20-126</t>
  </si>
  <si>
    <t>20-142</t>
  </si>
  <si>
    <t>20-151</t>
  </si>
  <si>
    <t>20-158</t>
  </si>
  <si>
    <t>20-172</t>
  </si>
  <si>
    <t>20-177</t>
  </si>
  <si>
    <t>20-188</t>
  </si>
  <si>
    <t>20-198</t>
  </si>
  <si>
    <t>21-008</t>
  </si>
  <si>
    <t>21-012</t>
  </si>
  <si>
    <t>21-017</t>
  </si>
  <si>
    <t>21-038</t>
  </si>
  <si>
    <t>21-048</t>
  </si>
  <si>
    <t>21-064</t>
  </si>
  <si>
    <t>21-076</t>
  </si>
  <si>
    <t>21-083</t>
  </si>
  <si>
    <t>21-089</t>
  </si>
  <si>
    <t>21-098</t>
  </si>
  <si>
    <t>01-133</t>
  </si>
  <si>
    <t>03-191</t>
  </si>
  <si>
    <t>CH4 (ppb)</t>
    <phoneticPr fontId="2"/>
  </si>
  <si>
    <t>20-162</t>
    <phoneticPr fontId="2"/>
  </si>
  <si>
    <t>DF1</t>
    <phoneticPr fontId="2"/>
  </si>
  <si>
    <t>21-072</t>
    <phoneticPr fontId="2"/>
  </si>
  <si>
    <t>20-018</t>
    <phoneticPr fontId="2"/>
  </si>
  <si>
    <t>20-039</t>
  </si>
  <si>
    <t>20-043</t>
  </si>
  <si>
    <t>20-060</t>
  </si>
  <si>
    <t>20-068</t>
  </si>
  <si>
    <t>20-075</t>
  </si>
  <si>
    <t>20-086</t>
  </si>
  <si>
    <t>20-089</t>
  </si>
  <si>
    <t>20-096</t>
  </si>
  <si>
    <t>20-102</t>
  </si>
  <si>
    <t>20-114</t>
  </si>
  <si>
    <t>20-127</t>
  </si>
  <si>
    <t>20-137</t>
  </si>
  <si>
    <t>20-147</t>
  </si>
  <si>
    <t>20-154</t>
  </si>
  <si>
    <t>20-167</t>
  </si>
  <si>
    <t>20-182</t>
  </si>
  <si>
    <t>20-192</t>
  </si>
  <si>
    <t>21-003</t>
  </si>
  <si>
    <t>21-023</t>
  </si>
  <si>
    <t>21-028</t>
  </si>
  <si>
    <t>21-033</t>
  </si>
  <si>
    <t>21-042</t>
  </si>
  <si>
    <t>21-053</t>
  </si>
  <si>
    <t>21-058</t>
  </si>
  <si>
    <t>21-068</t>
  </si>
  <si>
    <t>21-079</t>
  </si>
  <si>
    <t>21-086</t>
  </si>
  <si>
    <t>21-093</t>
  </si>
  <si>
    <t>outer ice</t>
    <phoneticPr fontId="3"/>
  </si>
  <si>
    <t>19-169</t>
  </si>
  <si>
    <t>19-180</t>
  </si>
  <si>
    <t>No. of meas. for 15N</t>
    <phoneticPr fontId="2"/>
  </si>
  <si>
    <t>No. of meas. for O2N2</t>
    <phoneticPr fontId="2"/>
  </si>
  <si>
    <t>1st measurements</t>
    <phoneticPr fontId="2"/>
  </si>
  <si>
    <t>DF2021
Gas age
(yr b1950)</t>
    <phoneticPr fontId="2"/>
  </si>
  <si>
    <t>DF2021
Ice age
(yr b1950)</t>
    <phoneticPr fontId="2"/>
  </si>
  <si>
    <t>No. of meas. for CH4</t>
    <phoneticPr fontId="2"/>
  </si>
  <si>
    <t>01-013</t>
  </si>
  <si>
    <t>01-024</t>
    <phoneticPr fontId="14"/>
  </si>
  <si>
    <t>01-035</t>
  </si>
  <si>
    <t>01-054</t>
    <phoneticPr fontId="14"/>
  </si>
  <si>
    <t>01-073</t>
  </si>
  <si>
    <t>01-103</t>
    <phoneticPr fontId="14"/>
  </si>
  <si>
    <t>01-163</t>
    <phoneticPr fontId="14"/>
  </si>
  <si>
    <t>02-020</t>
    <phoneticPr fontId="14"/>
  </si>
  <si>
    <t>02-040</t>
    <phoneticPr fontId="14"/>
  </si>
  <si>
    <t>02-060</t>
    <phoneticPr fontId="14"/>
  </si>
  <si>
    <t>02-080</t>
    <phoneticPr fontId="14"/>
  </si>
  <si>
    <t>02-100</t>
    <phoneticPr fontId="14"/>
  </si>
  <si>
    <t>02-125</t>
    <phoneticPr fontId="14"/>
  </si>
  <si>
    <t>02-151</t>
    <phoneticPr fontId="14"/>
  </si>
  <si>
    <t>02-186</t>
    <phoneticPr fontId="14"/>
  </si>
  <si>
    <t>03-020</t>
    <phoneticPr fontId="14"/>
  </si>
  <si>
    <t>03-065</t>
    <phoneticPr fontId="14"/>
  </si>
  <si>
    <t>03-110</t>
  </si>
  <si>
    <t>03-120</t>
  </si>
  <si>
    <t>03-130</t>
    <phoneticPr fontId="14"/>
  </si>
  <si>
    <t>03-160</t>
    <phoneticPr fontId="14"/>
  </si>
  <si>
    <t>04-003</t>
    <phoneticPr fontId="14"/>
  </si>
  <si>
    <t>04-017</t>
    <phoneticPr fontId="14"/>
  </si>
  <si>
    <t>04-030</t>
    <phoneticPr fontId="14"/>
  </si>
  <si>
    <t>04-048</t>
    <phoneticPr fontId="14"/>
  </si>
  <si>
    <t>04-065</t>
    <phoneticPr fontId="14"/>
  </si>
  <si>
    <t>04-081</t>
    <phoneticPr fontId="14"/>
  </si>
  <si>
    <t>04-100</t>
    <phoneticPr fontId="14"/>
  </si>
  <si>
    <t>04-110</t>
    <phoneticPr fontId="14"/>
  </si>
  <si>
    <t>04-120</t>
    <phoneticPr fontId="14"/>
  </si>
  <si>
    <t>04-130</t>
    <phoneticPr fontId="14"/>
  </si>
  <si>
    <t>04-140</t>
    <phoneticPr fontId="14"/>
  </si>
  <si>
    <t>04-150</t>
    <phoneticPr fontId="14"/>
  </si>
  <si>
    <t>04-160</t>
  </si>
  <si>
    <t>04-170</t>
    <phoneticPr fontId="14"/>
  </si>
  <si>
    <t>04-180</t>
    <phoneticPr fontId="14"/>
  </si>
  <si>
    <t>04-190</t>
  </si>
  <si>
    <t>04-199</t>
    <phoneticPr fontId="14"/>
  </si>
  <si>
    <t>05-020</t>
    <phoneticPr fontId="14"/>
  </si>
  <si>
    <t>05-041</t>
  </si>
  <si>
    <t>05-060</t>
    <phoneticPr fontId="14"/>
  </si>
  <si>
    <t>05-081</t>
    <phoneticPr fontId="14"/>
  </si>
  <si>
    <t>05-100</t>
  </si>
  <si>
    <t>05-130</t>
    <phoneticPr fontId="14"/>
  </si>
  <si>
    <t>05-160</t>
    <phoneticPr fontId="14"/>
  </si>
  <si>
    <t>05-180</t>
    <phoneticPr fontId="14"/>
  </si>
  <si>
    <t>05-200</t>
    <phoneticPr fontId="14"/>
  </si>
  <si>
    <t>06-017</t>
    <phoneticPr fontId="14"/>
  </si>
  <si>
    <t>06-030</t>
    <phoneticPr fontId="14"/>
  </si>
  <si>
    <t>06-050</t>
    <phoneticPr fontId="14"/>
  </si>
  <si>
    <t>06-070</t>
    <phoneticPr fontId="14"/>
  </si>
  <si>
    <t>06-089</t>
    <phoneticPr fontId="14"/>
  </si>
  <si>
    <t>06-109</t>
    <phoneticPr fontId="14"/>
  </si>
  <si>
    <t>06-130</t>
  </si>
  <si>
    <t>06-160</t>
  </si>
  <si>
    <t>06-186</t>
    <phoneticPr fontId="14"/>
  </si>
  <si>
    <t>07-010</t>
  </si>
  <si>
    <t>07-020</t>
  </si>
  <si>
    <t>07-040</t>
    <phoneticPr fontId="14"/>
  </si>
  <si>
    <t>07-060</t>
    <phoneticPr fontId="14"/>
  </si>
  <si>
    <t>07-070</t>
    <phoneticPr fontId="14"/>
  </si>
  <si>
    <t>07-090</t>
    <phoneticPr fontId="14"/>
  </si>
  <si>
    <t>07-110</t>
    <phoneticPr fontId="14"/>
  </si>
  <si>
    <t>07-131</t>
    <phoneticPr fontId="14"/>
  </si>
  <si>
    <t>07-151</t>
    <phoneticPr fontId="14"/>
  </si>
  <si>
    <t>07-170</t>
    <phoneticPr fontId="14"/>
  </si>
  <si>
    <t>07-190</t>
    <phoneticPr fontId="14"/>
  </si>
  <si>
    <t>08-010</t>
    <phoneticPr fontId="14"/>
  </si>
  <si>
    <t>08-030</t>
    <phoneticPr fontId="14"/>
  </si>
  <si>
    <t>08-070</t>
  </si>
  <si>
    <t>08-092</t>
  </si>
  <si>
    <t>08-120</t>
  </si>
  <si>
    <t>08-150</t>
  </si>
  <si>
    <t>08-166</t>
    <phoneticPr fontId="14"/>
  </si>
  <si>
    <t>08-183</t>
    <phoneticPr fontId="14"/>
  </si>
  <si>
    <t>08-200</t>
    <phoneticPr fontId="14"/>
  </si>
  <si>
    <t>09-053</t>
    <phoneticPr fontId="14"/>
  </si>
  <si>
    <t>09-070</t>
    <phoneticPr fontId="14"/>
  </si>
  <si>
    <t>09-080</t>
    <phoneticPr fontId="14"/>
  </si>
  <si>
    <t>09-109</t>
    <phoneticPr fontId="14"/>
  </si>
  <si>
    <t>09-130</t>
  </si>
  <si>
    <t>09-150</t>
    <phoneticPr fontId="14"/>
  </si>
  <si>
    <t>09-170</t>
  </si>
  <si>
    <t>09-186</t>
    <phoneticPr fontId="14"/>
  </si>
  <si>
    <t>10-003</t>
    <phoneticPr fontId="14"/>
  </si>
  <si>
    <t>10-020</t>
  </si>
  <si>
    <t>10-040</t>
  </si>
  <si>
    <t>10-060</t>
    <phoneticPr fontId="14"/>
  </si>
  <si>
    <t>10-074</t>
    <phoneticPr fontId="14"/>
  </si>
  <si>
    <t>10-104</t>
    <phoneticPr fontId="14"/>
  </si>
  <si>
    <t>10-120</t>
    <phoneticPr fontId="14"/>
  </si>
  <si>
    <t>10-134</t>
    <phoneticPr fontId="14"/>
  </si>
  <si>
    <t>10-150</t>
    <phoneticPr fontId="14"/>
  </si>
  <si>
    <t>10-165</t>
    <phoneticPr fontId="14"/>
  </si>
  <si>
    <t>10-181</t>
    <phoneticPr fontId="14"/>
  </si>
  <si>
    <t>10-199</t>
    <phoneticPr fontId="14"/>
  </si>
  <si>
    <t>11-015</t>
    <phoneticPr fontId="14"/>
  </si>
  <si>
    <t>11-033</t>
    <phoneticPr fontId="14"/>
  </si>
  <si>
    <t>11-050</t>
    <phoneticPr fontId="14"/>
  </si>
  <si>
    <t>11-065</t>
    <phoneticPr fontId="14"/>
  </si>
  <si>
    <t>11-080</t>
  </si>
  <si>
    <t>11-100</t>
  </si>
  <si>
    <t>11-115</t>
    <phoneticPr fontId="14"/>
  </si>
  <si>
    <t>11-130</t>
    <phoneticPr fontId="14"/>
  </si>
  <si>
    <t>11-150</t>
    <phoneticPr fontId="14"/>
  </si>
  <si>
    <t>11-170</t>
    <phoneticPr fontId="14"/>
  </si>
  <si>
    <t>11-190</t>
    <phoneticPr fontId="14"/>
  </si>
  <si>
    <t>12-009</t>
    <phoneticPr fontId="14"/>
  </si>
  <si>
    <t>12-030</t>
    <phoneticPr fontId="14"/>
  </si>
  <si>
    <t>12-045</t>
    <phoneticPr fontId="14"/>
  </si>
  <si>
    <t>12-060</t>
    <phoneticPr fontId="14"/>
  </si>
  <si>
    <t>12-085</t>
    <phoneticPr fontId="14"/>
  </si>
  <si>
    <t>12-110</t>
  </si>
  <si>
    <t>12-131</t>
    <phoneticPr fontId="14"/>
  </si>
  <si>
    <t>12-150</t>
  </si>
  <si>
    <t>12-170</t>
  </si>
  <si>
    <t>12-188</t>
    <phoneticPr fontId="14"/>
  </si>
  <si>
    <t>13-010</t>
    <phoneticPr fontId="14"/>
  </si>
  <si>
    <t>13-025</t>
    <phoneticPr fontId="14"/>
  </si>
  <si>
    <t>13-040</t>
    <phoneticPr fontId="14"/>
  </si>
  <si>
    <t>13-060</t>
    <phoneticPr fontId="14"/>
  </si>
  <si>
    <t>13-080</t>
    <phoneticPr fontId="14"/>
  </si>
  <si>
    <t>13-098</t>
  </si>
  <si>
    <t>13-118</t>
    <phoneticPr fontId="14"/>
  </si>
  <si>
    <t>13-140</t>
    <phoneticPr fontId="14"/>
  </si>
  <si>
    <t>13-160</t>
    <phoneticPr fontId="14"/>
  </si>
  <si>
    <t>13-190</t>
    <phoneticPr fontId="14"/>
  </si>
  <si>
    <t>14-020</t>
  </si>
  <si>
    <t>14-045</t>
    <phoneticPr fontId="14"/>
  </si>
  <si>
    <t>14-070</t>
  </si>
  <si>
    <t>14-090</t>
  </si>
  <si>
    <t>14-100</t>
    <phoneticPr fontId="14"/>
  </si>
  <si>
    <t>14-120</t>
    <phoneticPr fontId="14"/>
  </si>
  <si>
    <t>14-140</t>
    <phoneticPr fontId="14"/>
  </si>
  <si>
    <t>14-150</t>
    <phoneticPr fontId="14"/>
  </si>
  <si>
    <t>14-170</t>
    <phoneticPr fontId="14"/>
  </si>
  <si>
    <t>14-190</t>
    <phoneticPr fontId="14"/>
  </si>
  <si>
    <t>15-010</t>
    <phoneticPr fontId="14"/>
  </si>
  <si>
    <t>15-030</t>
    <phoneticPr fontId="14"/>
  </si>
  <si>
    <t>15-050</t>
  </si>
  <si>
    <t>15-069</t>
    <phoneticPr fontId="14"/>
  </si>
  <si>
    <t>15-090</t>
  </si>
  <si>
    <t>15-110</t>
  </si>
  <si>
    <t>15-131</t>
    <phoneticPr fontId="14"/>
  </si>
  <si>
    <t>15-150</t>
    <phoneticPr fontId="14"/>
  </si>
  <si>
    <t>15-170</t>
    <phoneticPr fontId="14"/>
  </si>
  <si>
    <t>15-181</t>
    <phoneticPr fontId="14"/>
  </si>
  <si>
    <t>15-190</t>
    <phoneticPr fontId="14"/>
  </si>
  <si>
    <t>16-007</t>
    <phoneticPr fontId="14"/>
  </si>
  <si>
    <t>16-040</t>
    <phoneticPr fontId="14"/>
  </si>
  <si>
    <t>16-060</t>
  </si>
  <si>
    <t>16-080</t>
  </si>
  <si>
    <t>16-100</t>
  </si>
  <si>
    <t>16-110</t>
    <phoneticPr fontId="14"/>
  </si>
  <si>
    <t>16-130</t>
    <phoneticPr fontId="14"/>
  </si>
  <si>
    <t>16-150</t>
    <phoneticPr fontId="14"/>
  </si>
  <si>
    <t>16-170</t>
    <phoneticPr fontId="14"/>
  </si>
  <si>
    <t>16-190</t>
    <phoneticPr fontId="14"/>
  </si>
  <si>
    <t>17-010</t>
    <phoneticPr fontId="14"/>
  </si>
  <si>
    <t>17-020</t>
  </si>
  <si>
    <t>17-040</t>
  </si>
  <si>
    <t>17-050</t>
  </si>
  <si>
    <t>17-070</t>
    <phoneticPr fontId="14"/>
  </si>
  <si>
    <t>17-080</t>
    <phoneticPr fontId="14"/>
  </si>
  <si>
    <t>17-096</t>
    <phoneticPr fontId="14"/>
  </si>
  <si>
    <t>17-111</t>
    <phoneticPr fontId="14"/>
  </si>
  <si>
    <t>17-131</t>
    <phoneticPr fontId="14"/>
  </si>
  <si>
    <t>17-150</t>
    <phoneticPr fontId="14"/>
  </si>
  <si>
    <t>17-178</t>
    <phoneticPr fontId="14"/>
  </si>
  <si>
    <t>17-190</t>
    <phoneticPr fontId="14"/>
  </si>
  <si>
    <t>18-005</t>
    <phoneticPr fontId="14"/>
  </si>
  <si>
    <t>18-020</t>
    <phoneticPr fontId="14"/>
  </si>
  <si>
    <t>18-030</t>
    <phoneticPr fontId="14"/>
  </si>
  <si>
    <t>18-040</t>
  </si>
  <si>
    <t>18-050</t>
    <phoneticPr fontId="14"/>
  </si>
  <si>
    <t>18-060</t>
  </si>
  <si>
    <t>18-075</t>
    <phoneticPr fontId="14"/>
  </si>
  <si>
    <t>18-090</t>
  </si>
  <si>
    <t>18-107</t>
    <phoneticPr fontId="14"/>
  </si>
  <si>
    <t>18-120</t>
    <phoneticPr fontId="14"/>
  </si>
  <si>
    <t>18-135</t>
    <phoneticPr fontId="14"/>
  </si>
  <si>
    <t>18-150</t>
    <phoneticPr fontId="14"/>
  </si>
  <si>
    <t>18-175</t>
    <phoneticPr fontId="14"/>
  </si>
  <si>
    <t>18-200</t>
    <phoneticPr fontId="14"/>
  </si>
  <si>
    <t>19-020</t>
    <phoneticPr fontId="14"/>
  </si>
  <si>
    <t>19-040</t>
    <phoneticPr fontId="14"/>
  </si>
  <si>
    <t>19-060</t>
  </si>
  <si>
    <t>19-080</t>
    <phoneticPr fontId="14"/>
  </si>
  <si>
    <t>19-100</t>
  </si>
  <si>
    <t>19-110</t>
  </si>
  <si>
    <t>19-130</t>
    <phoneticPr fontId="14"/>
  </si>
  <si>
    <t>19-150</t>
    <phoneticPr fontId="14"/>
  </si>
  <si>
    <t>19-170</t>
    <phoneticPr fontId="14"/>
  </si>
  <si>
    <t>19-190</t>
    <phoneticPr fontId="14"/>
  </si>
  <si>
    <t>19-200</t>
    <phoneticPr fontId="14"/>
  </si>
  <si>
    <t>20-015</t>
    <phoneticPr fontId="14"/>
  </si>
  <si>
    <t>20-030</t>
    <phoneticPr fontId="14"/>
  </si>
  <si>
    <t>20-040</t>
    <phoneticPr fontId="14"/>
  </si>
  <si>
    <t>20-050</t>
  </si>
  <si>
    <t>20-057</t>
    <phoneticPr fontId="14"/>
  </si>
  <si>
    <t>20-070</t>
  </si>
  <si>
    <t>20-085</t>
    <phoneticPr fontId="14"/>
  </si>
  <si>
    <t>20-100</t>
  </si>
  <si>
    <t>20-116</t>
    <phoneticPr fontId="14"/>
  </si>
  <si>
    <t>20-130</t>
    <phoneticPr fontId="14"/>
  </si>
  <si>
    <t>20-141</t>
    <phoneticPr fontId="14"/>
  </si>
  <si>
    <t>20-150</t>
    <phoneticPr fontId="14"/>
  </si>
  <si>
    <t>20-160</t>
    <phoneticPr fontId="14"/>
  </si>
  <si>
    <t>20-170</t>
    <phoneticPr fontId="14"/>
  </si>
  <si>
    <t>20-181</t>
    <phoneticPr fontId="14"/>
  </si>
  <si>
    <t>20-190</t>
    <phoneticPr fontId="14"/>
  </si>
  <si>
    <t>20-200</t>
    <phoneticPr fontId="14"/>
  </si>
  <si>
    <t>21-010</t>
    <phoneticPr fontId="14"/>
  </si>
  <si>
    <t>21-020</t>
    <phoneticPr fontId="14"/>
  </si>
  <si>
    <t>21-030</t>
    <phoneticPr fontId="14"/>
  </si>
  <si>
    <t>21-040</t>
    <phoneticPr fontId="14"/>
  </si>
  <si>
    <t>21-050</t>
  </si>
  <si>
    <t>21-061</t>
    <phoneticPr fontId="14"/>
  </si>
  <si>
    <t>21-070</t>
  </si>
  <si>
    <t>21-080</t>
    <phoneticPr fontId="14"/>
  </si>
  <si>
    <t>21-090</t>
  </si>
  <si>
    <t>Depth (m)</t>
    <phoneticPr fontId="16"/>
  </si>
  <si>
    <t>CH4 (ppb)</t>
    <phoneticPr fontId="16"/>
  </si>
  <si>
    <t>DF2021
gas age
(yr b1950)</t>
    <phoneticPr fontId="3"/>
  </si>
  <si>
    <t>NIPR</t>
    <phoneticPr fontId="3"/>
  </si>
  <si>
    <t>Institute</t>
    <phoneticPr fontId="3"/>
  </si>
  <si>
    <t>TU</t>
  </si>
  <si>
    <t>TU</t>
    <phoneticPr fontId="2"/>
  </si>
  <si>
    <t>This file contains 4 worksheets:</t>
    <phoneticPr fontId="2"/>
  </si>
  <si>
    <t>Data description</t>
  </si>
  <si>
    <t>column A</t>
  </si>
  <si>
    <t>Sample depth in meter below the surface</t>
  </si>
  <si>
    <t>column B</t>
  </si>
  <si>
    <t>column C</t>
  </si>
  <si>
    <t>column D</t>
  </si>
  <si>
    <r>
      <t>Dome Fuji CH</t>
    </r>
    <r>
      <rPr>
        <b/>
        <vertAlign val="subscript"/>
        <sz val="16"/>
        <color theme="1"/>
        <rFont val="Calibri"/>
        <family val="2"/>
        <scheme val="minor"/>
      </rPr>
      <t>4</t>
    </r>
    <r>
      <rPr>
        <b/>
        <sz val="16"/>
        <color theme="1"/>
        <rFont val="Calibri"/>
        <family val="2"/>
        <scheme val="minor"/>
      </rPr>
      <t xml:space="preserve"> data</t>
    </r>
    <phoneticPr fontId="2"/>
  </si>
  <si>
    <r>
      <t>Dome Fuji DF1 Methane (CH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) measurements performed at Institut des Géosciences de l’Environnement (IGE), Grenoble France</t>
    </r>
    <phoneticPr fontId="2"/>
  </si>
  <si>
    <t>Data are ~23.5 ppb lower than the NIPR data, mainly due to the difference in calibration scales.</t>
    <phoneticPr fontId="2"/>
  </si>
  <si>
    <t>Methane mixing ratio in ice sample by adding 23.5 ppb</t>
    <phoneticPr fontId="2"/>
  </si>
  <si>
    <t>column E</t>
    <phoneticPr fontId="2"/>
  </si>
  <si>
    <t>column F</t>
    <phoneticPr fontId="2"/>
  </si>
  <si>
    <t>column G</t>
    <phoneticPr fontId="2"/>
  </si>
  <si>
    <t>column H</t>
    <phoneticPr fontId="2"/>
  </si>
  <si>
    <t>Sample depth at top in meter below the surface</t>
    <phoneticPr fontId="2"/>
  </si>
  <si>
    <t>Sample depth at bottom in meter below the surface</t>
    <phoneticPr fontId="2"/>
  </si>
  <si>
    <t>Sample depth at center in meter below the surface</t>
    <phoneticPr fontId="2"/>
  </si>
  <si>
    <t>Gas extraction date (yyyy/mm/dd)</t>
    <phoneticPr fontId="2"/>
  </si>
  <si>
    <t>Methane mixing ratio in ice sample in ppb</t>
    <phoneticPr fontId="2"/>
  </si>
  <si>
    <t>Methane mixing ratio in ice sample in ppb after gravitational correction</t>
    <phoneticPr fontId="2"/>
  </si>
  <si>
    <t>column I</t>
    <phoneticPr fontId="2"/>
  </si>
  <si>
    <t>Sample ID</t>
    <phoneticPr fontId="2"/>
  </si>
  <si>
    <t>d15N-N2 data in permil</t>
    <phoneticPr fontId="2"/>
  </si>
  <si>
    <t>Dome Fuji gas data</t>
    <phoneticPr fontId="2"/>
  </si>
  <si>
    <t>Core name</t>
    <phoneticPr fontId="2"/>
  </si>
  <si>
    <t>Number of sample measurement for CH4</t>
    <phoneticPr fontId="2"/>
  </si>
  <si>
    <t>Number of sample measurement for d15N</t>
    <phoneticPr fontId="2"/>
  </si>
  <si>
    <t>Number of sample measurement for O2/N2</t>
    <phoneticPr fontId="2"/>
  </si>
  <si>
    <t>column J</t>
    <phoneticPr fontId="2"/>
  </si>
  <si>
    <t>column K</t>
    <phoneticPr fontId="2"/>
  </si>
  <si>
    <t>column L</t>
    <phoneticPr fontId="2"/>
  </si>
  <si>
    <t>column M</t>
    <phoneticPr fontId="2"/>
  </si>
  <si>
    <t>column N</t>
    <phoneticPr fontId="2"/>
  </si>
  <si>
    <t>column O</t>
    <phoneticPr fontId="2"/>
  </si>
  <si>
    <t>column P</t>
    <phoneticPr fontId="2"/>
  </si>
  <si>
    <t>Sample depth at center in meter below the surface converted to DF1 depth scale</t>
    <phoneticPr fontId="2"/>
  </si>
  <si>
    <t>Mean of methane mixing ratio in ice sample in ppb</t>
    <phoneticPr fontId="2"/>
  </si>
  <si>
    <t>Mean of methane mixing ratio in ice sample in ppb after gravitational correction</t>
    <phoneticPr fontId="2"/>
  </si>
  <si>
    <t>Mean of d15N-N2 data in permil</t>
    <phoneticPr fontId="2"/>
  </si>
  <si>
    <t>Mean of O2/N2 in ice sample in permil</t>
    <phoneticPr fontId="2"/>
  </si>
  <si>
    <t>Mean of O2/N2 in ice sample in permil after gravitational correction</t>
    <phoneticPr fontId="2"/>
  </si>
  <si>
    <t>Surface removal thickness in mm</t>
    <phoneticPr fontId="2"/>
  </si>
  <si>
    <t>O2/N2 in ice sample in permil</t>
    <phoneticPr fontId="2"/>
  </si>
  <si>
    <t>O2/N2 in ice sample in permil after gravitational correction</t>
    <phoneticPr fontId="2"/>
  </si>
  <si>
    <t>column Q, X, AE, AL, AS, AZ</t>
    <phoneticPr fontId="2"/>
  </si>
  <si>
    <t>column R, Y, AF, AM, AT, BA</t>
    <phoneticPr fontId="2"/>
  </si>
  <si>
    <t>column S, Z, AG, AN, AU, BB</t>
    <phoneticPr fontId="2"/>
  </si>
  <si>
    <t>column T, AA, AH, AO, AV, BC</t>
    <phoneticPr fontId="2"/>
  </si>
  <si>
    <t>column U, AB, AI, AP, AW, BD</t>
    <phoneticPr fontId="2"/>
  </si>
  <si>
    <t>column V, AC, AJ, AQ, AX, BE</t>
    <phoneticPr fontId="2"/>
  </si>
  <si>
    <t>column W, AD, AK, AR, AY, BF</t>
    <phoneticPr fontId="2"/>
  </si>
  <si>
    <r>
      <t>Dome Fuji DF1 Methane (CH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) measurements performed at National Institute of Polar Research (NIPR), Tokyo Japan, at Tohoku University (TU), Sendai Japan and at Institut des Géosciences de l’Environnement (IGE), Grenoble France</t>
    </r>
    <phoneticPr fontId="2"/>
  </si>
  <si>
    <t xml:space="preserve">Methane mixing ratio in ice sample in ppb </t>
    <phoneticPr fontId="2"/>
  </si>
  <si>
    <t>Place of the samle measurement</t>
    <phoneticPr fontId="2"/>
  </si>
  <si>
    <t>Uncert. (ppb, 1σ)</t>
    <phoneticPr fontId="2"/>
  </si>
  <si>
    <t>Uncertainty in ppb (1σ)</t>
    <phoneticPr fontId="2"/>
  </si>
  <si>
    <t>IGE (+23.5 ppb)</t>
    <phoneticPr fontId="2"/>
  </si>
  <si>
    <t>Gas age in years before 1950 CE</t>
    <phoneticPr fontId="2"/>
  </si>
  <si>
    <t>Gas age at center depth in years before 1950 CE</t>
    <phoneticPr fontId="2"/>
  </si>
  <si>
    <t>Ice age at center depth in years before 1950 CE</t>
    <phoneticPr fontId="2"/>
  </si>
  <si>
    <t>Data from IGE are added by 23.5 ppb from original values.</t>
    <phoneticPr fontId="2"/>
  </si>
  <si>
    <t>This is a Supplementary Information Data file for:</t>
    <phoneticPr fontId="2"/>
  </si>
  <si>
    <t>Please cite the original references when using these data. Additional references are given with the data files.</t>
    <phoneticPr fontId="3"/>
  </si>
  <si>
    <t>Additional reference:</t>
    <phoneticPr fontId="3"/>
  </si>
  <si>
    <t>Oyabu, I., Kawamura, K., Uchida, T., Fujita, S., Kitamura, K., Hirabayashi, M., Aoki, S., Morimoto, S., Nakazawa, T., Severinghaus, J. P., and Morgan, J.</t>
    <phoneticPr fontId="2"/>
  </si>
  <si>
    <t>Fractionation of O2/N2 and Ar/N2 in the Antarctic ice sheet during bubble formation and bubble-clathrate hydrate transition from precise gas measurements of the Dome Fuji ice core</t>
    <phoneticPr fontId="2"/>
  </si>
  <si>
    <t>Data description:</t>
    <phoneticPr fontId="2"/>
  </si>
  <si>
    <t>Additional reference:</t>
    <phoneticPr fontId="2"/>
  </si>
  <si>
    <t>Kawamura, K.</t>
    <phoneticPr fontId="2"/>
  </si>
  <si>
    <t>Variations of atmospheric components over the past
 340000 years from Dome Fuji deep ice core, Antarctica</t>
    <phoneticPr fontId="2"/>
  </si>
  <si>
    <t>PhD thesis, Tohoku University, Japan, 2001</t>
    <phoneticPr fontId="2"/>
  </si>
  <si>
    <t xml:space="preserve"> http://hdl.handle.net/10097/38833 (last access: 10 December 2020)</t>
    <phoneticPr fontId="2"/>
  </si>
  <si>
    <t>Antarctic surface temperature and elevation during the Last Glacial Maximum</t>
    <phoneticPr fontId="2"/>
  </si>
  <si>
    <t>Science, 372(6546), 1097-1101, 2021</t>
    <phoneticPr fontId="2"/>
  </si>
  <si>
    <t>DOI: 10.1126/science.abd2897</t>
    <phoneticPr fontId="2"/>
  </si>
  <si>
    <t xml:space="preserve">Buizert, C., Fudge, T. J., Roberts, W. H. G., Steig, E. J., Sherriff-Tadano, T., Ritz, C., Lefebvre, E., Edwards, J., Kawamura, K., Oyabu, I., Motoyama, H., Kahle, E. C., Jones, T. R., Abe-Ouchi, A., Obase, T., Martin, C., Corr, H., Severinghaus, J. P., Beaudette, R., Epifanio, J. A., Brook, E. J., Martin, K., </t>
    <phoneticPr fontId="2"/>
  </si>
  <si>
    <t>Chappellaz, J., Aoki, S., Nakazawa, T., Sowers, T. A., Alley, R. B., Ahn, J., Sigl, M., Severi, M., Dunbar, N. W., Svensson, A., Fegyveresi, J. M., He, C., Liu, Z., Zhu, J., Otto-Bliesner, B. L., Lipenkov, V. Y., Kageyama, M., Schwander, J.</t>
    <phoneticPr fontId="2"/>
  </si>
  <si>
    <t>This cover sheet</t>
  </si>
  <si>
    <t>Gas data (d15N, O2/N2 and CH4) measured at NIPR</t>
  </si>
  <si>
    <t>Gas data (d15N and CH4) measured at Tohoku Univ.</t>
  </si>
  <si>
    <t>Gas data (CH4) measured at IGE</t>
  </si>
  <si>
    <t>Composite of CH4 records</t>
  </si>
  <si>
    <t>(1)</t>
    <phoneticPr fontId="2"/>
  </si>
  <si>
    <t>(2)</t>
  </si>
  <si>
    <t>(3)</t>
  </si>
  <si>
    <t>(4)</t>
  </si>
  <si>
    <t>(5)</t>
  </si>
  <si>
    <t>Dome Fuji gas measurements performed at National Institute of Polar Research (NIPR), Tokyo Japan</t>
    <phoneticPr fontId="2"/>
  </si>
  <si>
    <t>Dome Fuji DF1 gas measurements performed at Tohoku University (TU), Sendai Japan</t>
    <phoneticPr fontId="2"/>
  </si>
  <si>
    <t>plus 23.5 ppb</t>
    <phoneticPr fontId="2"/>
  </si>
  <si>
    <t>The Cryosphere,  15, 5529–5555, 2021</t>
    <phoneticPr fontId="2"/>
  </si>
  <si>
    <t>https://doi.org/10.5194/tc-15-5529-2021</t>
    <phoneticPr fontId="2"/>
  </si>
  <si>
    <t>Original reference:</t>
    <phoneticPr fontId="2"/>
  </si>
  <si>
    <t>CH4 grav.corr. (ppb) (TU-2008 scale)</t>
    <phoneticPr fontId="2"/>
  </si>
  <si>
    <t>Center depth (m)
converted to DF1 depth scale</t>
    <phoneticPr fontId="2"/>
  </si>
  <si>
    <t>Oyabu, I., Kawamura, K., Buizert, C., Parrenin, F., Orsi, A., Kitamura, K., Aoki, S., Nakazawa, T., The Dome Fuji ice core DF2021 chronology (0 - 207 kyr BP), Quaternary Science Reviews (accepted in 2022, 31 August).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</si>
</sst>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0"/>
    <numFmt numFmtId="177" formatCode="0.000_);[Red]\(0.000\)"/>
    <numFmt numFmtId="178" formatCode="0.00_);[Red]\(0.00\)"/>
    <numFmt numFmtId="179" formatCode="0.0"/>
    <numFmt numFmtId="180" formatCode="0_);[Red]\(0\)"/>
    <numFmt numFmtId="181" formatCode="0.0_);[Red]\(0.0\)"/>
    <numFmt numFmtId="182" formatCode="0.000_ "/>
    <numFmt numFmtId="183" formatCode="0.00_ "/>
    <numFmt numFmtId="184" formatCode="0.0000_);[Red]\(0.0000\)"/>
  </numFmts>
  <fonts count="21">
    <font>
      <sz val="12"/>
      <color theme="1"/>
      <name val="Arial"/>
    </font>
    <font>
      <sz val="12"/>
      <color theme="1"/>
      <name val="Arial"/>
      <family val="2"/>
    </font>
    <font>
      <sz val="6"/>
      <name val="hkreikk"/>
      <family val="3"/>
      <charset val="128"/>
    </font>
    <font>
      <sz val="6"/>
      <name val="Calibri"/>
      <family val="2"/>
      <charset val="12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Osaka"/>
      <family val="3"/>
      <charset val="128"/>
    </font>
    <font>
      <sz val="12"/>
      <name val="Calibri"/>
      <family val="2"/>
      <scheme val="major"/>
    </font>
    <font>
      <sz val="6"/>
      <name val="ＭＳ Ｐゴシック"/>
      <family val="2"/>
      <charset val="128"/>
    </font>
    <font>
      <vertAlign val="sub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1"/>
  </cellStyleXfs>
  <cellXfs count="153">
    <xf numFmtId="0" fontId="0" fillId="0" borderId="0" xfId="0" applyFont="1" applyAlignment="1">
      <alignment vertical="center"/>
    </xf>
    <xf numFmtId="177" fontId="8" fillId="0" borderId="1" xfId="0" applyNumberFormat="1" applyFont="1" applyFill="1" applyBorder="1" applyAlignment="1"/>
    <xf numFmtId="182" fontId="8" fillId="0" borderId="1" xfId="0" applyNumberFormat="1" applyFont="1" applyFill="1" applyBorder="1" applyAlignment="1"/>
    <xf numFmtId="182" fontId="8" fillId="0" borderId="2" xfId="0" applyNumberFormat="1" applyFont="1" applyFill="1" applyBorder="1" applyAlignment="1"/>
    <xf numFmtId="177" fontId="8" fillId="0" borderId="1" xfId="0" applyNumberFormat="1" applyFont="1" applyFill="1" applyBorder="1" applyAlignment="1">
      <alignment horizontal="right"/>
    </xf>
    <xf numFmtId="0" fontId="8" fillId="0" borderId="2" xfId="0" applyFont="1" applyFill="1" applyBorder="1" applyAlignment="1"/>
    <xf numFmtId="0" fontId="8" fillId="0" borderId="1" xfId="0" applyFont="1" applyFill="1" applyBorder="1" applyAlignment="1"/>
    <xf numFmtId="0" fontId="8" fillId="0" borderId="15" xfId="0" applyFont="1" applyFill="1" applyBorder="1" applyAlignment="1"/>
    <xf numFmtId="0" fontId="9" fillId="0" borderId="2" xfId="0" applyFont="1" applyFill="1" applyBorder="1" applyAlignment="1"/>
    <xf numFmtId="0" fontId="9" fillId="0" borderId="1" xfId="0" applyFont="1" applyFill="1" applyBorder="1" applyAlignment="1"/>
    <xf numFmtId="0" fontId="9" fillId="0" borderId="15" xfId="0" applyFont="1" applyFill="1" applyBorder="1" applyAlignment="1"/>
    <xf numFmtId="0" fontId="10" fillId="0" borderId="2" xfId="0" applyFont="1" applyFill="1" applyBorder="1" applyAlignment="1"/>
    <xf numFmtId="0" fontId="10" fillId="0" borderId="1" xfId="0" applyFont="1" applyFill="1" applyBorder="1" applyAlignment="1"/>
    <xf numFmtId="0" fontId="10" fillId="0" borderId="15" xfId="0" applyFont="1" applyFill="1" applyBorder="1" applyAlignment="1"/>
    <xf numFmtId="0" fontId="11" fillId="0" borderId="2" xfId="0" applyFont="1" applyFill="1" applyBorder="1" applyAlignment="1"/>
    <xf numFmtId="0" fontId="11" fillId="0" borderId="1" xfId="0" applyFont="1" applyFill="1" applyBorder="1" applyAlignment="1"/>
    <xf numFmtId="0" fontId="11" fillId="0" borderId="15" xfId="0" applyFont="1" applyFill="1" applyBorder="1" applyAlignment="1"/>
    <xf numFmtId="0" fontId="12" fillId="0" borderId="2" xfId="0" applyFont="1" applyFill="1" applyBorder="1" applyAlignment="1"/>
    <xf numFmtId="0" fontId="12" fillId="0" borderId="1" xfId="0" applyFont="1" applyFill="1" applyBorder="1" applyAlignment="1"/>
    <xf numFmtId="0" fontId="12" fillId="0" borderId="15" xfId="0" applyFont="1" applyFill="1" applyBorder="1" applyAlignment="1"/>
    <xf numFmtId="176" fontId="8" fillId="0" borderId="1" xfId="0" applyNumberFormat="1" applyFont="1" applyFill="1" applyBorder="1" applyAlignment="1"/>
    <xf numFmtId="176" fontId="8" fillId="0" borderId="2" xfId="0" applyNumberFormat="1" applyFont="1" applyFill="1" applyBorder="1" applyAlignment="1"/>
    <xf numFmtId="14" fontId="8" fillId="0" borderId="2" xfId="0" applyNumberFormat="1" applyFont="1" applyFill="1" applyBorder="1" applyAlignment="1">
      <alignment horizontal="right"/>
    </xf>
    <xf numFmtId="180" fontId="8" fillId="0" borderId="1" xfId="0" applyNumberFormat="1" applyFont="1" applyFill="1" applyBorder="1" applyAlignment="1">
      <alignment horizontal="right"/>
    </xf>
    <xf numFmtId="181" fontId="8" fillId="0" borderId="1" xfId="0" applyNumberFormat="1" applyFont="1" applyFill="1" applyBorder="1" applyAlignment="1">
      <alignment horizontal="right"/>
    </xf>
    <xf numFmtId="179" fontId="8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8" fillId="0" borderId="1" xfId="0" applyFont="1" applyFill="1" applyBorder="1" applyAlignment="1">
      <alignment vertical="center"/>
    </xf>
    <xf numFmtId="2" fontId="8" fillId="0" borderId="1" xfId="0" applyNumberFormat="1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vertical="center"/>
    </xf>
    <xf numFmtId="178" fontId="8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vertical="center"/>
    </xf>
    <xf numFmtId="176" fontId="5" fillId="0" borderId="12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vertical="center" wrapText="1"/>
    </xf>
    <xf numFmtId="1" fontId="5" fillId="0" borderId="12" xfId="0" applyNumberFormat="1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176" fontId="5" fillId="0" borderId="11" xfId="0" applyNumberFormat="1" applyFont="1" applyFill="1" applyBorder="1" applyAlignment="1">
      <alignment horizontal="center" vertical="center" wrapText="1"/>
    </xf>
    <xf numFmtId="14" fontId="5" fillId="0" borderId="1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vertical="center"/>
    </xf>
    <xf numFmtId="14" fontId="8" fillId="0" borderId="10" xfId="0" applyNumberFormat="1" applyFont="1" applyFill="1" applyBorder="1" applyAlignment="1">
      <alignment horizontal="right"/>
    </xf>
    <xf numFmtId="177" fontId="8" fillId="0" borderId="9" xfId="0" applyNumberFormat="1" applyFont="1" applyFill="1" applyBorder="1" applyAlignment="1">
      <alignment horizontal="right"/>
    </xf>
    <xf numFmtId="2" fontId="8" fillId="0" borderId="1" xfId="0" applyNumberFormat="1" applyFont="1" applyFill="1" applyBorder="1" applyAlignment="1">
      <alignment horizontal="right" vertical="center"/>
    </xf>
    <xf numFmtId="2" fontId="8" fillId="0" borderId="1" xfId="0" applyNumberFormat="1" applyFont="1" applyFill="1" applyBorder="1" applyAlignment="1"/>
    <xf numFmtId="1" fontId="8" fillId="0" borderId="1" xfId="0" applyNumberFormat="1" applyFont="1" applyFill="1" applyBorder="1" applyAlignment="1"/>
    <xf numFmtId="177" fontId="4" fillId="0" borderId="1" xfId="0" applyNumberFormat="1" applyFont="1" applyFill="1" applyBorder="1" applyAlignment="1"/>
    <xf numFmtId="182" fontId="4" fillId="0" borderId="1" xfId="0" applyNumberFormat="1" applyFont="1" applyFill="1" applyBorder="1" applyAlignment="1"/>
    <xf numFmtId="178" fontId="8" fillId="0" borderId="1" xfId="0" applyNumberFormat="1" applyFont="1" applyFill="1" applyBorder="1" applyAlignment="1"/>
    <xf numFmtId="0" fontId="8" fillId="0" borderId="1" xfId="0" applyFont="1" applyFill="1" applyBorder="1"/>
    <xf numFmtId="180" fontId="8" fillId="0" borderId="1" xfId="0" applyNumberFormat="1" applyFont="1" applyFill="1" applyBorder="1" applyAlignment="1"/>
    <xf numFmtId="0" fontId="13" fillId="0" borderId="1" xfId="0" applyFont="1" applyFill="1" applyBorder="1"/>
    <xf numFmtId="0" fontId="4" fillId="0" borderId="2" xfId="0" applyFont="1" applyFill="1" applyBorder="1" applyAlignment="1"/>
    <xf numFmtId="0" fontId="4" fillId="0" borderId="1" xfId="0" applyFont="1" applyFill="1" applyBorder="1" applyAlignment="1"/>
    <xf numFmtId="183" fontId="12" fillId="0" borderId="1" xfId="0" applyNumberFormat="1" applyFont="1" applyFill="1" applyBorder="1" applyAlignment="1">
      <alignment vertical="center"/>
    </xf>
    <xf numFmtId="14" fontId="8" fillId="0" borderId="14" xfId="0" applyNumberFormat="1" applyFont="1" applyFill="1" applyBorder="1" applyAlignment="1">
      <alignment horizontal="right"/>
    </xf>
    <xf numFmtId="177" fontId="8" fillId="0" borderId="1" xfId="0" applyNumberFormat="1" applyFont="1" applyFill="1" applyBorder="1"/>
    <xf numFmtId="182" fontId="8" fillId="0" borderId="1" xfId="0" applyNumberFormat="1" applyFont="1" applyFill="1" applyBorder="1"/>
    <xf numFmtId="0" fontId="8" fillId="0" borderId="15" xfId="0" applyFont="1" applyFill="1" applyBorder="1" applyAlignment="1">
      <alignment vertical="center"/>
    </xf>
    <xf numFmtId="0" fontId="4" fillId="0" borderId="15" xfId="0" applyFont="1" applyFill="1" applyBorder="1" applyAlignment="1"/>
    <xf numFmtId="14" fontId="8" fillId="0" borderId="6" xfId="0" applyNumberFormat="1" applyFont="1" applyFill="1" applyBorder="1" applyAlignment="1">
      <alignment horizontal="right"/>
    </xf>
    <xf numFmtId="180" fontId="8" fillId="0" borderId="7" xfId="0" applyNumberFormat="1" applyFont="1" applyFill="1" applyBorder="1" applyAlignment="1">
      <alignment horizontal="right"/>
    </xf>
    <xf numFmtId="178" fontId="8" fillId="0" borderId="7" xfId="0" applyNumberFormat="1" applyFont="1" applyFill="1" applyBorder="1" applyAlignment="1">
      <alignment horizontal="right"/>
    </xf>
    <xf numFmtId="181" fontId="8" fillId="0" borderId="7" xfId="0" applyNumberFormat="1" applyFont="1" applyFill="1" applyBorder="1" applyAlignment="1">
      <alignment horizontal="right"/>
    </xf>
    <xf numFmtId="177" fontId="8" fillId="0" borderId="7" xfId="0" applyNumberFormat="1" applyFont="1" applyFill="1" applyBorder="1" applyAlignment="1"/>
    <xf numFmtId="182" fontId="8" fillId="0" borderId="7" xfId="0" applyNumberFormat="1" applyFont="1" applyFill="1" applyBorder="1" applyAlignment="1"/>
    <xf numFmtId="14" fontId="8" fillId="0" borderId="16" xfId="0" applyNumberFormat="1" applyFont="1" applyFill="1" applyBorder="1" applyAlignment="1">
      <alignment horizontal="right"/>
    </xf>
    <xf numFmtId="177" fontId="8" fillId="0" borderId="7" xfId="0" applyNumberFormat="1" applyFont="1" applyFill="1" applyBorder="1" applyAlignment="1">
      <alignment horizontal="right"/>
    </xf>
    <xf numFmtId="182" fontId="8" fillId="0" borderId="16" xfId="0" applyNumberFormat="1" applyFont="1" applyFill="1" applyBorder="1" applyAlignment="1"/>
    <xf numFmtId="0" fontId="8" fillId="0" borderId="16" xfId="0" applyFont="1" applyFill="1" applyBorder="1" applyAlignment="1"/>
    <xf numFmtId="0" fontId="8" fillId="0" borderId="7" xfId="0" applyFont="1" applyFill="1" applyBorder="1" applyAlignment="1"/>
    <xf numFmtId="0" fontId="8" fillId="0" borderId="8" xfId="0" applyFont="1" applyFill="1" applyBorder="1" applyAlignment="1"/>
    <xf numFmtId="0" fontId="7" fillId="0" borderId="13" xfId="0" applyFont="1" applyFill="1" applyBorder="1" applyAlignment="1">
      <alignment horizontal="center" vertical="center" wrapText="1"/>
    </xf>
    <xf numFmtId="176" fontId="8" fillId="0" borderId="15" xfId="0" applyNumberFormat="1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2" fontId="8" fillId="0" borderId="7" xfId="0" applyNumberFormat="1" applyFont="1" applyFill="1" applyBorder="1" applyAlignment="1">
      <alignment vertical="center"/>
    </xf>
    <xf numFmtId="1" fontId="8" fillId="0" borderId="7" xfId="0" applyNumberFormat="1" applyFont="1" applyFill="1" applyBorder="1" applyAlignment="1">
      <alignment vertical="center"/>
    </xf>
    <xf numFmtId="179" fontId="8" fillId="0" borderId="7" xfId="0" applyNumberFormat="1" applyFont="1" applyFill="1" applyBorder="1" applyAlignment="1">
      <alignment vertical="center"/>
    </xf>
    <xf numFmtId="176" fontId="8" fillId="0" borderId="7" xfId="0" applyNumberFormat="1" applyFont="1" applyFill="1" applyBorder="1" applyAlignment="1">
      <alignment vertical="center"/>
    </xf>
    <xf numFmtId="176" fontId="8" fillId="0" borderId="8" xfId="0" applyNumberFormat="1" applyFont="1" applyFill="1" applyBorder="1" applyAlignment="1">
      <alignment vertical="center"/>
    </xf>
    <xf numFmtId="1" fontId="5" fillId="0" borderId="12" xfId="0" applyNumberFormat="1" applyFont="1" applyFill="1" applyBorder="1" applyAlignment="1">
      <alignment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wrapText="1"/>
    </xf>
    <xf numFmtId="49" fontId="15" fillId="0" borderId="1" xfId="0" applyNumberFormat="1" applyFont="1" applyFill="1" applyBorder="1"/>
    <xf numFmtId="2" fontId="15" fillId="0" borderId="1" xfId="0" applyNumberFormat="1" applyFont="1" applyFill="1" applyBorder="1"/>
    <xf numFmtId="14" fontId="15" fillId="0" borderId="1" xfId="0" applyNumberFormat="1" applyFont="1" applyFill="1" applyBorder="1"/>
    <xf numFmtId="181" fontId="15" fillId="0" borderId="1" xfId="0" applyNumberFormat="1" applyFont="1" applyFill="1" applyBorder="1"/>
    <xf numFmtId="184" fontId="15" fillId="0" borderId="1" xfId="0" applyNumberFormat="1" applyFont="1" applyFill="1" applyBorder="1"/>
    <xf numFmtId="0" fontId="15" fillId="0" borderId="1" xfId="0" applyFont="1" applyFill="1" applyBorder="1"/>
    <xf numFmtId="176" fontId="15" fillId="0" borderId="1" xfId="0" applyNumberFormat="1" applyFont="1" applyFill="1" applyBorder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1" xfId="0" applyFont="1" applyFill="1" applyBorder="1" applyAlignment="1">
      <alignment horizontal="center" vertical="center"/>
    </xf>
    <xf numFmtId="2" fontId="4" fillId="0" borderId="1" xfId="0" applyNumberFormat="1" applyFont="1" applyBorder="1"/>
    <xf numFmtId="179" fontId="4" fillId="0" borderId="1" xfId="0" applyNumberFormat="1" applyFont="1" applyBorder="1"/>
    <xf numFmtId="179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8" fillId="0" borderId="0" xfId="0" applyFont="1"/>
    <xf numFmtId="0" fontId="4" fillId="0" borderId="0" xfId="0" applyFont="1" applyAlignment="1"/>
    <xf numFmtId="0" fontId="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15" fillId="0" borderId="1" xfId="0" applyNumberFormat="1" applyFont="1" applyFill="1" applyBorder="1"/>
    <xf numFmtId="1" fontId="4" fillId="0" borderId="1" xfId="0" applyNumberFormat="1" applyFont="1" applyBorder="1"/>
    <xf numFmtId="0" fontId="4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 vertical="center"/>
    </xf>
    <xf numFmtId="14" fontId="8" fillId="0" borderId="14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16" fontId="8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 wrapText="1"/>
    </xf>
    <xf numFmtId="1" fontId="5" fillId="0" borderId="17" xfId="0" applyNumberFormat="1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wrapText="1"/>
    </xf>
    <xf numFmtId="181" fontId="6" fillId="0" borderId="1" xfId="0" applyNumberFormat="1" applyFont="1" applyFill="1" applyBorder="1" applyAlignment="1">
      <alignment wrapText="1"/>
    </xf>
    <xf numFmtId="2" fontId="4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79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/>
    <xf numFmtId="181" fontId="6" fillId="0" borderId="1" xfId="0" applyNumberFormat="1" applyFont="1" applyFill="1" applyBorder="1"/>
    <xf numFmtId="1" fontId="6" fillId="0" borderId="1" xfId="0" applyNumberFormat="1" applyFont="1" applyFill="1" applyBorder="1"/>
    <xf numFmtId="179" fontId="6" fillId="0" borderId="0" xfId="0" applyNumberFormat="1" applyFont="1" applyFill="1"/>
    <xf numFmtId="0" fontId="4" fillId="0" borderId="1" xfId="0" applyFont="1" applyFill="1" applyBorder="1"/>
    <xf numFmtId="1" fontId="4" fillId="0" borderId="1" xfId="0" applyNumberFormat="1" applyFont="1" applyFill="1" applyBorder="1"/>
    <xf numFmtId="179" fontId="4" fillId="0" borderId="1" xfId="0" applyNumberFormat="1" applyFont="1" applyFill="1" applyBorder="1"/>
    <xf numFmtId="181" fontId="6" fillId="0" borderId="0" xfId="0" applyNumberFormat="1" applyFont="1" applyFill="1"/>
    <xf numFmtId="179" fontId="6" fillId="0" borderId="1" xfId="0" applyNumberFormat="1" applyFont="1" applyFill="1" applyBorder="1"/>
    <xf numFmtId="181" fontId="4" fillId="0" borderId="1" xfId="0" applyNumberFormat="1" applyFont="1" applyFill="1" applyBorder="1" applyAlignment="1">
      <alignment horizontal="right"/>
    </xf>
    <xf numFmtId="183" fontId="4" fillId="0" borderId="1" xfId="0" applyNumberFormat="1" applyFont="1" applyFill="1" applyBorder="1" applyAlignment="1">
      <alignment vertical="center"/>
    </xf>
    <xf numFmtId="183" fontId="4" fillId="0" borderId="0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vertical="center"/>
    </xf>
    <xf numFmtId="179" fontId="4" fillId="0" borderId="0" xfId="0" applyNumberFormat="1" applyFont="1" applyFill="1" applyBorder="1" applyAlignment="1">
      <alignment vertical="center"/>
    </xf>
    <xf numFmtId="2" fontId="6" fillId="0" borderId="0" xfId="0" applyNumberFormat="1" applyFont="1" applyFill="1" applyBorder="1"/>
    <xf numFmtId="1" fontId="6" fillId="0" borderId="0" xfId="0" applyNumberFormat="1" applyFont="1" applyFill="1" applyBorder="1"/>
    <xf numFmtId="2" fontId="4" fillId="0" borderId="0" xfId="0" applyNumberFormat="1" applyFont="1" applyFill="1" applyBorder="1" applyAlignment="1">
      <alignment vertical="center"/>
    </xf>
    <xf numFmtId="179" fontId="6" fillId="0" borderId="0" xfId="0" applyNumberFormat="1" applyFont="1" applyFill="1" applyBorder="1"/>
    <xf numFmtId="2" fontId="6" fillId="0" borderId="0" xfId="0" applyNumberFormat="1" applyFont="1" applyFill="1"/>
    <xf numFmtId="1" fontId="6" fillId="0" borderId="0" xfId="0" applyNumberFormat="1" applyFont="1" applyFill="1"/>
    <xf numFmtId="0" fontId="20" fillId="0" borderId="0" xfId="0" applyFont="1"/>
    <xf numFmtId="49" fontId="4" fillId="0" borderId="0" xfId="0" applyNumberFormat="1" applyFont="1" applyAlignment="1">
      <alignment horizontal="center" vertical="center"/>
    </xf>
    <xf numFmtId="1" fontId="15" fillId="0" borderId="1" xfId="0" applyNumberFormat="1" applyFont="1" applyFill="1" applyBorder="1"/>
    <xf numFmtId="1" fontId="5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1" fontId="5" fillId="0" borderId="3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</cellXfs>
  <cellStyles count="2">
    <cellStyle name="標準" xfId="0" builtinId="0"/>
    <cellStyle name="標準 2" xfId="1" xr:uid="{F87BAE75-D491-5045-AE6B-A017ED9E3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0905-757F-2140-B20E-DD5CF59047DE}">
  <dimension ref="A1:B26"/>
  <sheetViews>
    <sheetView tabSelected="1" workbookViewId="0">
      <selection activeCell="A3" sqref="A3"/>
    </sheetView>
  </sheetViews>
  <sheetFormatPr baseColWidth="10" defaultRowHeight="16"/>
  <cols>
    <col min="1" max="1" width="4.28515625" style="89" customWidth="1"/>
    <col min="2" max="16384" width="10.7109375" style="89"/>
  </cols>
  <sheetData>
    <row r="1" spans="1:2">
      <c r="A1" s="91" t="s">
        <v>1131</v>
      </c>
    </row>
    <row r="2" spans="1:2">
      <c r="A2" s="90"/>
    </row>
    <row r="3" spans="1:2">
      <c r="A3" s="90" t="s">
        <v>1165</v>
      </c>
    </row>
    <row r="4" spans="1:2">
      <c r="A4" s="90"/>
    </row>
    <row r="5" spans="1:2">
      <c r="A5" s="145" t="s">
        <v>1132</v>
      </c>
    </row>
    <row r="6" spans="1:2">
      <c r="A6" s="90"/>
    </row>
    <row r="7" spans="1:2">
      <c r="A7" s="90"/>
    </row>
    <row r="8" spans="1:2">
      <c r="A8" s="90"/>
    </row>
    <row r="9" spans="1:2">
      <c r="A9" s="90"/>
    </row>
    <row r="10" spans="1:2">
      <c r="A10" s="91" t="s">
        <v>1069</v>
      </c>
    </row>
    <row r="11" spans="1:2">
      <c r="A11" s="146" t="s">
        <v>1152</v>
      </c>
      <c r="B11" s="89" t="s">
        <v>1147</v>
      </c>
    </row>
    <row r="12" spans="1:2">
      <c r="A12" s="146" t="s">
        <v>1153</v>
      </c>
      <c r="B12" s="89" t="s">
        <v>1148</v>
      </c>
    </row>
    <row r="13" spans="1:2">
      <c r="A13" s="146" t="s">
        <v>1154</v>
      </c>
      <c r="B13" s="89" t="s">
        <v>1149</v>
      </c>
    </row>
    <row r="14" spans="1:2">
      <c r="A14" s="146" t="s">
        <v>1155</v>
      </c>
      <c r="B14" s="89" t="s">
        <v>1150</v>
      </c>
    </row>
    <row r="15" spans="1:2">
      <c r="A15" s="146" t="s">
        <v>1156</v>
      </c>
      <c r="B15" s="89" t="s">
        <v>1151</v>
      </c>
    </row>
    <row r="16" spans="1:2">
      <c r="A16" s="90"/>
    </row>
    <row r="17" spans="1:1">
      <c r="A17" s="91"/>
    </row>
    <row r="18" spans="1:1">
      <c r="A18" s="90"/>
    </row>
    <row r="19" spans="1:1">
      <c r="A19" s="90"/>
    </row>
    <row r="20" spans="1:1">
      <c r="A20" s="90"/>
    </row>
    <row r="21" spans="1:1">
      <c r="A21" s="90"/>
    </row>
    <row r="22" spans="1:1">
      <c r="A22" s="90"/>
    </row>
    <row r="23" spans="1:1">
      <c r="A23" s="90"/>
    </row>
    <row r="24" spans="1:1">
      <c r="A24" s="90"/>
    </row>
    <row r="25" spans="1:1">
      <c r="A25" s="90"/>
    </row>
    <row r="26" spans="1:1">
      <c r="A26" s="90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866"/>
  <sheetViews>
    <sheetView topLeftCell="A25" workbookViewId="0">
      <selection activeCell="H39" sqref="H39:H856"/>
    </sheetView>
  </sheetViews>
  <sheetFormatPr baseColWidth="10" defaultColWidth="11.28515625" defaultRowHeight="15" customHeight="1"/>
  <cols>
    <col min="1" max="1" width="3.85546875" style="26" customWidth="1"/>
    <col min="2" max="2" width="21.7109375" style="26" customWidth="1"/>
    <col min="3" max="3" width="8.7109375" style="26" customWidth="1"/>
    <col min="4" max="4" width="6.7109375" style="26" customWidth="1"/>
    <col min="5" max="5" width="11.28515625" style="26" customWidth="1"/>
    <col min="6" max="6" width="12.140625" style="26" customWidth="1"/>
    <col min="7" max="8" width="9" style="26" bestFit="1" customWidth="1"/>
    <col min="9" max="9" width="8.42578125" style="26" bestFit="1" customWidth="1"/>
    <col min="10" max="10" width="7" style="26" bestFit="1" customWidth="1"/>
    <col min="11" max="11" width="8.42578125" style="26" bestFit="1" customWidth="1"/>
    <col min="12" max="12" width="5.7109375" style="26" customWidth="1"/>
    <col min="13" max="13" width="7.5703125" style="26" customWidth="1"/>
    <col min="14" max="14" width="6.7109375" style="26" customWidth="1"/>
    <col min="15" max="15" width="6.85546875" style="26" bestFit="1" customWidth="1"/>
    <col min="16" max="16" width="9.7109375" style="26" customWidth="1"/>
    <col min="17" max="17" width="9.7109375" style="26" bestFit="1" customWidth="1"/>
    <col min="18" max="18" width="7.5703125" style="26" bestFit="1" customWidth="1"/>
    <col min="19" max="19" width="6.7109375" style="26" customWidth="1"/>
    <col min="20" max="20" width="8" style="26" customWidth="1"/>
    <col min="21" max="22" width="6.7109375" style="26" customWidth="1"/>
    <col min="23" max="23" width="7.42578125" style="26" customWidth="1"/>
    <col min="24" max="24" width="9.7109375" style="26" bestFit="1" customWidth="1"/>
    <col min="25" max="25" width="7.5703125" style="26" bestFit="1" customWidth="1"/>
    <col min="26" max="28" width="6" style="26" bestFit="1" customWidth="1"/>
    <col min="29" max="30" width="7.140625" style="26" bestFit="1" customWidth="1"/>
    <col min="31" max="31" width="9.7109375" style="26" bestFit="1" customWidth="1"/>
    <col min="32" max="32" width="7.5703125" style="26" bestFit="1" customWidth="1"/>
    <col min="33" max="33" width="6" style="26" bestFit="1" customWidth="1"/>
    <col min="34" max="34" width="7.42578125" style="26" bestFit="1" customWidth="1"/>
    <col min="35" max="35" width="6" style="26" bestFit="1" customWidth="1"/>
    <col min="36" max="36" width="7.140625" style="26" bestFit="1" customWidth="1"/>
    <col min="37" max="37" width="7.42578125" style="26" bestFit="1" customWidth="1"/>
    <col min="38" max="38" width="9.7109375" style="26" bestFit="1" customWidth="1"/>
    <col min="39" max="39" width="7.5703125" style="26" bestFit="1" customWidth="1"/>
    <col min="40" max="40" width="6" style="26" bestFit="1" customWidth="1"/>
    <col min="41" max="41" width="7.42578125" style="31" customWidth="1"/>
    <col min="42" max="42" width="6" style="26" bestFit="1" customWidth="1"/>
    <col min="43" max="43" width="6.42578125" style="26" bestFit="1" customWidth="1"/>
    <col min="44" max="44" width="8.42578125" style="26" bestFit="1" customWidth="1"/>
    <col min="45" max="45" width="9.7109375" style="26" bestFit="1" customWidth="1"/>
    <col min="46" max="46" width="7.5703125" style="26" bestFit="1" customWidth="1"/>
    <col min="47" max="47" width="6" style="26" bestFit="1" customWidth="1"/>
    <col min="48" max="48" width="8.42578125" style="26" bestFit="1" customWidth="1"/>
    <col min="49" max="49" width="5.5703125" style="26" bestFit="1" customWidth="1"/>
    <col min="50" max="50" width="6.42578125" style="26" bestFit="1" customWidth="1"/>
    <col min="51" max="51" width="8.42578125" style="26" bestFit="1" customWidth="1"/>
    <col min="52" max="52" width="9.7109375" style="26" bestFit="1" customWidth="1"/>
    <col min="53" max="53" width="7.5703125" style="26" bestFit="1" customWidth="1"/>
    <col min="54" max="54" width="6" style="26" bestFit="1" customWidth="1"/>
    <col min="55" max="55" width="8.42578125" style="26" bestFit="1" customWidth="1"/>
    <col min="56" max="56" width="4.5703125" style="26" bestFit="1" customWidth="1"/>
    <col min="57" max="57" width="6.42578125" style="26" bestFit="1" customWidth="1"/>
    <col min="58" max="58" width="8.42578125" style="26" bestFit="1" customWidth="1"/>
    <col min="59" max="16384" width="11.28515625" style="26"/>
  </cols>
  <sheetData>
    <row r="1" spans="1:3" s="90" customFormat="1" ht="21">
      <c r="B1" s="99" t="s">
        <v>1093</v>
      </c>
    </row>
    <row r="2" spans="1:3" s="90" customFormat="1" ht="16"/>
    <row r="3" spans="1:3" s="90" customFormat="1" ht="16">
      <c r="B3" s="90" t="s">
        <v>1157</v>
      </c>
    </row>
    <row r="4" spans="1:3" s="90" customFormat="1" ht="16"/>
    <row r="5" spans="1:3" s="90" customFormat="1" ht="16">
      <c r="B5" s="145" t="s">
        <v>1133</v>
      </c>
    </row>
    <row r="6" spans="1:3" s="90" customFormat="1" ht="16">
      <c r="B6" s="90" t="s">
        <v>1134</v>
      </c>
    </row>
    <row r="7" spans="1:3" s="90" customFormat="1" ht="16">
      <c r="B7" s="90" t="s">
        <v>1135</v>
      </c>
    </row>
    <row r="8" spans="1:3" s="90" customFormat="1" ht="16">
      <c r="B8" s="90" t="s">
        <v>1160</v>
      </c>
    </row>
    <row r="9" spans="1:3" s="90" customFormat="1" ht="16">
      <c r="B9" s="90" t="s">
        <v>1161</v>
      </c>
    </row>
    <row r="10" spans="1:3" s="90" customFormat="1" ht="16">
      <c r="A10" s="92"/>
    </row>
    <row r="11" spans="1:3" s="90" customFormat="1" ht="16">
      <c r="B11" s="91" t="s">
        <v>1136</v>
      </c>
    </row>
    <row r="12" spans="1:3" s="90" customFormat="1" ht="16">
      <c r="B12" s="90" t="s">
        <v>1071</v>
      </c>
      <c r="C12" s="90" t="s">
        <v>1094</v>
      </c>
    </row>
    <row r="13" spans="1:3" s="90" customFormat="1" ht="16">
      <c r="B13" s="90" t="s">
        <v>1073</v>
      </c>
      <c r="C13" s="90" t="s">
        <v>1091</v>
      </c>
    </row>
    <row r="14" spans="1:3" s="90" customFormat="1" ht="16">
      <c r="B14" s="90" t="s">
        <v>1074</v>
      </c>
      <c r="C14" s="90" t="s">
        <v>1084</v>
      </c>
    </row>
    <row r="15" spans="1:3" s="90" customFormat="1" ht="16">
      <c r="B15" s="90" t="s">
        <v>1075</v>
      </c>
      <c r="C15" s="90" t="s">
        <v>1085</v>
      </c>
    </row>
    <row r="16" spans="1:3" s="90" customFormat="1" ht="16">
      <c r="B16" s="90" t="s">
        <v>1080</v>
      </c>
      <c r="C16" s="90" t="s">
        <v>1086</v>
      </c>
    </row>
    <row r="17" spans="2:3" s="90" customFormat="1" ht="16">
      <c r="B17" s="90" t="s">
        <v>1081</v>
      </c>
      <c r="C17" s="90" t="s">
        <v>1105</v>
      </c>
    </row>
    <row r="18" spans="2:3" s="90" customFormat="1" ht="16">
      <c r="B18" s="90" t="s">
        <v>1082</v>
      </c>
      <c r="C18" s="90" t="s">
        <v>1129</v>
      </c>
    </row>
    <row r="19" spans="2:3" s="90" customFormat="1" ht="16">
      <c r="B19" s="90" t="s">
        <v>1083</v>
      </c>
      <c r="C19" s="90" t="s">
        <v>1128</v>
      </c>
    </row>
    <row r="20" spans="2:3" s="90" customFormat="1" ht="16">
      <c r="B20" s="90" t="s">
        <v>1090</v>
      </c>
      <c r="C20" s="90" t="s">
        <v>1095</v>
      </c>
    </row>
    <row r="21" spans="2:3" s="90" customFormat="1" ht="16">
      <c r="B21" s="90" t="s">
        <v>1098</v>
      </c>
      <c r="C21" s="90" t="s">
        <v>1096</v>
      </c>
    </row>
    <row r="22" spans="2:3" s="90" customFormat="1" ht="16">
      <c r="B22" s="90" t="s">
        <v>1099</v>
      </c>
      <c r="C22" s="90" t="s">
        <v>1097</v>
      </c>
    </row>
    <row r="23" spans="2:3" s="90" customFormat="1" ht="16">
      <c r="B23" s="90" t="s">
        <v>1100</v>
      </c>
      <c r="C23" s="90" t="s">
        <v>1106</v>
      </c>
    </row>
    <row r="24" spans="2:3" s="90" customFormat="1" ht="16">
      <c r="B24" s="90" t="s">
        <v>1101</v>
      </c>
      <c r="C24" s="90" t="s">
        <v>1107</v>
      </c>
    </row>
    <row r="25" spans="2:3" s="90" customFormat="1" ht="16">
      <c r="B25" s="90" t="s">
        <v>1102</v>
      </c>
      <c r="C25" s="90" t="s">
        <v>1108</v>
      </c>
    </row>
    <row r="26" spans="2:3" s="90" customFormat="1" ht="16">
      <c r="B26" s="90" t="s">
        <v>1103</v>
      </c>
      <c r="C26" s="90" t="s">
        <v>1109</v>
      </c>
    </row>
    <row r="27" spans="2:3" s="90" customFormat="1" ht="16">
      <c r="B27" s="90" t="s">
        <v>1104</v>
      </c>
      <c r="C27" s="90" t="s">
        <v>1110</v>
      </c>
    </row>
    <row r="28" spans="2:3" s="90" customFormat="1" ht="16">
      <c r="B28" s="90" t="s">
        <v>1114</v>
      </c>
      <c r="C28" s="90" t="s">
        <v>1087</v>
      </c>
    </row>
    <row r="29" spans="2:3" s="90" customFormat="1" ht="16">
      <c r="B29" s="90" t="s">
        <v>1115</v>
      </c>
      <c r="C29" s="90" t="s">
        <v>1111</v>
      </c>
    </row>
    <row r="30" spans="2:3" s="90" customFormat="1" ht="16">
      <c r="B30" s="90" t="s">
        <v>1116</v>
      </c>
      <c r="C30" s="90" t="s">
        <v>1088</v>
      </c>
    </row>
    <row r="31" spans="2:3" s="90" customFormat="1" ht="16">
      <c r="B31" s="90" t="s">
        <v>1117</v>
      </c>
      <c r="C31" s="90" t="s">
        <v>1089</v>
      </c>
    </row>
    <row r="32" spans="2:3" s="90" customFormat="1" ht="16">
      <c r="B32" s="90" t="s">
        <v>1118</v>
      </c>
      <c r="C32" s="90" t="s">
        <v>1092</v>
      </c>
    </row>
    <row r="33" spans="1:58" s="90" customFormat="1" ht="16">
      <c r="B33" s="90" t="s">
        <v>1119</v>
      </c>
      <c r="C33" s="90" t="s">
        <v>1112</v>
      </c>
    </row>
    <row r="34" spans="1:58" s="89" customFormat="1" ht="16">
      <c r="B34" s="90" t="s">
        <v>1120</v>
      </c>
      <c r="C34" s="90" t="s">
        <v>1113</v>
      </c>
    </row>
    <row r="35" spans="1:58" s="89" customFormat="1" ht="16">
      <c r="A35" s="90"/>
    </row>
    <row r="36" spans="1:58" s="89" customFormat="1" ht="17" thickBot="1">
      <c r="A36" s="90"/>
    </row>
    <row r="37" spans="1:58" ht="18" customHeight="1" thickBo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148" t="s">
        <v>837</v>
      </c>
      <c r="R37" s="149"/>
      <c r="S37" s="149"/>
      <c r="T37" s="149"/>
      <c r="U37" s="149"/>
      <c r="V37" s="149"/>
      <c r="W37" s="149"/>
      <c r="X37" s="148" t="s">
        <v>0</v>
      </c>
      <c r="Y37" s="149"/>
      <c r="Z37" s="149"/>
      <c r="AA37" s="149"/>
      <c r="AB37" s="149"/>
      <c r="AC37" s="149"/>
      <c r="AD37" s="149"/>
      <c r="AE37" s="148" t="s">
        <v>1</v>
      </c>
      <c r="AF37" s="149"/>
      <c r="AG37" s="149"/>
      <c r="AH37" s="149"/>
      <c r="AI37" s="149"/>
      <c r="AJ37" s="149"/>
      <c r="AK37" s="149"/>
      <c r="AL37" s="151" t="s">
        <v>2</v>
      </c>
      <c r="AM37" s="152"/>
      <c r="AN37" s="152"/>
      <c r="AO37" s="152"/>
      <c r="AP37" s="152"/>
      <c r="AQ37" s="152"/>
      <c r="AR37" s="152"/>
      <c r="AS37" s="151" t="s">
        <v>3</v>
      </c>
      <c r="AT37" s="152"/>
      <c r="AU37" s="152"/>
      <c r="AV37" s="152"/>
      <c r="AW37" s="152"/>
      <c r="AX37" s="152"/>
      <c r="AY37" s="152"/>
      <c r="AZ37" s="148" t="s">
        <v>4</v>
      </c>
      <c r="BA37" s="149"/>
      <c r="BB37" s="149"/>
      <c r="BC37" s="149"/>
      <c r="BD37" s="149"/>
      <c r="BE37" s="149"/>
      <c r="BF37" s="150"/>
    </row>
    <row r="38" spans="1:58" ht="69" thickBot="1">
      <c r="A38" s="105"/>
      <c r="B38" s="110" t="s">
        <v>5</v>
      </c>
      <c r="C38" s="32" t="s">
        <v>6</v>
      </c>
      <c r="D38" s="32" t="s">
        <v>7</v>
      </c>
      <c r="E38" s="32" t="s">
        <v>8</v>
      </c>
      <c r="F38" s="32" t="s">
        <v>1164</v>
      </c>
      <c r="G38" s="32" t="s">
        <v>839</v>
      </c>
      <c r="H38" s="32" t="s">
        <v>838</v>
      </c>
      <c r="I38" s="33" t="s">
        <v>840</v>
      </c>
      <c r="J38" s="78" t="s">
        <v>835</v>
      </c>
      <c r="K38" s="33" t="s">
        <v>836</v>
      </c>
      <c r="L38" s="34" t="s">
        <v>799</v>
      </c>
      <c r="M38" s="34" t="s">
        <v>9</v>
      </c>
      <c r="N38" s="35" t="s">
        <v>10</v>
      </c>
      <c r="O38" s="35" t="s">
        <v>11</v>
      </c>
      <c r="P38" s="70" t="s">
        <v>12</v>
      </c>
      <c r="Q38" s="36" t="s">
        <v>13</v>
      </c>
      <c r="R38" s="32" t="s">
        <v>14</v>
      </c>
      <c r="S38" s="34" t="s">
        <v>799</v>
      </c>
      <c r="T38" s="34" t="s">
        <v>9</v>
      </c>
      <c r="U38" s="35" t="s">
        <v>10</v>
      </c>
      <c r="V38" s="35" t="s">
        <v>11</v>
      </c>
      <c r="W38" s="35" t="s">
        <v>12</v>
      </c>
      <c r="X38" s="36" t="s">
        <v>13</v>
      </c>
      <c r="Y38" s="32" t="s">
        <v>14</v>
      </c>
      <c r="Z38" s="34" t="s">
        <v>799</v>
      </c>
      <c r="AA38" s="34" t="s">
        <v>9</v>
      </c>
      <c r="AB38" s="35" t="s">
        <v>10</v>
      </c>
      <c r="AC38" s="35" t="s">
        <v>11</v>
      </c>
      <c r="AD38" s="35" t="s">
        <v>12</v>
      </c>
      <c r="AE38" s="37" t="s">
        <v>13</v>
      </c>
      <c r="AF38" s="34" t="s">
        <v>14</v>
      </c>
      <c r="AG38" s="34" t="s">
        <v>799</v>
      </c>
      <c r="AH38" s="34" t="s">
        <v>9</v>
      </c>
      <c r="AI38" s="35" t="s">
        <v>10</v>
      </c>
      <c r="AJ38" s="35" t="s">
        <v>11</v>
      </c>
      <c r="AK38" s="35" t="s">
        <v>12</v>
      </c>
      <c r="AL38" s="37" t="s">
        <v>13</v>
      </c>
      <c r="AM38" s="34" t="s">
        <v>14</v>
      </c>
      <c r="AN38" s="34" t="s">
        <v>799</v>
      </c>
      <c r="AO38" s="34" t="s">
        <v>9</v>
      </c>
      <c r="AP38" s="35" t="s">
        <v>10</v>
      </c>
      <c r="AQ38" s="35" t="s">
        <v>11</v>
      </c>
      <c r="AR38" s="35" t="s">
        <v>12</v>
      </c>
      <c r="AS38" s="36" t="s">
        <v>13</v>
      </c>
      <c r="AT38" s="32" t="s">
        <v>14</v>
      </c>
      <c r="AU38" s="34" t="s">
        <v>799</v>
      </c>
      <c r="AV38" s="34" t="s">
        <v>9</v>
      </c>
      <c r="AW38" s="35" t="s">
        <v>10</v>
      </c>
      <c r="AX38" s="35" t="s">
        <v>11</v>
      </c>
      <c r="AY38" s="35" t="s">
        <v>12</v>
      </c>
      <c r="AZ38" s="36" t="s">
        <v>13</v>
      </c>
      <c r="BA38" s="32" t="s">
        <v>14</v>
      </c>
      <c r="BB38" s="34" t="s">
        <v>799</v>
      </c>
      <c r="BC38" s="34" t="s">
        <v>9</v>
      </c>
      <c r="BD38" s="35" t="s">
        <v>10</v>
      </c>
      <c r="BE38" s="35" t="s">
        <v>11</v>
      </c>
      <c r="BF38" s="70" t="s">
        <v>12</v>
      </c>
    </row>
    <row r="39" spans="1:58" ht="16">
      <c r="A39" s="106" t="s">
        <v>15</v>
      </c>
      <c r="B39" s="93" t="s">
        <v>16</v>
      </c>
      <c r="C39" s="28">
        <v>112.88</v>
      </c>
      <c r="D39" s="28">
        <v>113.09</v>
      </c>
      <c r="E39" s="28">
        <v>112.985</v>
      </c>
      <c r="F39" s="28">
        <v>112.985</v>
      </c>
      <c r="G39" s="29">
        <v>2881.2576074574299</v>
      </c>
      <c r="H39" s="29">
        <v>256.72762925842898</v>
      </c>
      <c r="I39" s="27">
        <f>COUNT(T39,AA39,AH39,AO39,AV39,BC39)</f>
        <v>1</v>
      </c>
      <c r="J39" s="27">
        <f>COUNT(U39,AB39,AI39,AP39,AW39,BD39)</f>
        <v>1</v>
      </c>
      <c r="K39" s="27">
        <f t="shared" ref="K39:K102" si="0">COUNT(V39,AC39,AJ39,AQ39,AX39,BF39)</f>
        <v>1</v>
      </c>
      <c r="L39" s="25">
        <v>692.80561050000006</v>
      </c>
      <c r="M39" s="25">
        <v>697.58944809565708</v>
      </c>
      <c r="N39" s="38">
        <v>0.53444438405758632</v>
      </c>
      <c r="O39" s="38">
        <v>-10.624632873819429</v>
      </c>
      <c r="P39" s="71">
        <v>-12.762410410049775</v>
      </c>
      <c r="Q39" s="53">
        <v>42683</v>
      </c>
      <c r="R39" s="23">
        <v>5</v>
      </c>
      <c r="S39" s="24">
        <v>692.80561050000006</v>
      </c>
      <c r="T39" s="24">
        <v>697.58944809565708</v>
      </c>
      <c r="U39" s="1">
        <v>0.53444438405758632</v>
      </c>
      <c r="V39" s="2">
        <v>-10.624632873819429</v>
      </c>
      <c r="W39" s="2">
        <v>-12.762410410049775</v>
      </c>
      <c r="X39" s="22" t="s">
        <v>17</v>
      </c>
      <c r="Y39" s="23"/>
      <c r="Z39" s="24" t="s">
        <v>17</v>
      </c>
      <c r="AA39" s="24" t="s">
        <v>17</v>
      </c>
      <c r="AB39" s="1" t="s">
        <v>17</v>
      </c>
      <c r="AC39" s="2" t="s">
        <v>17</v>
      </c>
      <c r="AD39" s="2" t="s">
        <v>17</v>
      </c>
      <c r="AE39" s="22" t="s">
        <v>17</v>
      </c>
      <c r="AF39" s="23"/>
      <c r="AG39" s="24" t="s">
        <v>17</v>
      </c>
      <c r="AH39" s="24" t="s">
        <v>17</v>
      </c>
      <c r="AI39" s="1" t="s">
        <v>17</v>
      </c>
      <c r="AJ39" s="2" t="s">
        <v>17</v>
      </c>
      <c r="AK39" s="2" t="s">
        <v>17</v>
      </c>
      <c r="AL39" s="3"/>
      <c r="AM39" s="2"/>
      <c r="AN39" s="24" t="s">
        <v>17</v>
      </c>
      <c r="AO39" s="24" t="s">
        <v>17</v>
      </c>
      <c r="AP39" s="1" t="s">
        <v>17</v>
      </c>
      <c r="AQ39" s="2" t="s">
        <v>17</v>
      </c>
      <c r="AR39" s="2" t="s">
        <v>17</v>
      </c>
      <c r="AS39" s="3"/>
      <c r="AT39" s="2"/>
      <c r="AU39" s="4"/>
      <c r="AV39" s="2"/>
      <c r="AW39" s="1" t="s">
        <v>17</v>
      </c>
      <c r="AX39" s="2" t="s">
        <v>17</v>
      </c>
      <c r="AY39" s="2" t="s">
        <v>17</v>
      </c>
      <c r="AZ39" s="5"/>
      <c r="BA39" s="6"/>
      <c r="BB39" s="4"/>
      <c r="BC39" s="6"/>
      <c r="BD39" s="6"/>
      <c r="BE39" s="6"/>
      <c r="BF39" s="7"/>
    </row>
    <row r="40" spans="1:58" ht="18" customHeight="1">
      <c r="A40" s="106" t="s">
        <v>15</v>
      </c>
      <c r="B40" s="93" t="s">
        <v>18</v>
      </c>
      <c r="C40" s="28">
        <v>113.59</v>
      </c>
      <c r="D40" s="28">
        <v>113.71</v>
      </c>
      <c r="E40" s="28">
        <v>113.65</v>
      </c>
      <c r="F40" s="28">
        <v>113.65</v>
      </c>
      <c r="G40" s="29">
        <v>2900.3670610137001</v>
      </c>
      <c r="H40" s="29">
        <v>281.82167814019999</v>
      </c>
      <c r="I40" s="27">
        <f t="shared" ref="I40:I103" si="1">COUNT(T40,AA40,AH40,AO40,AV40,BC40)</f>
        <v>2</v>
      </c>
      <c r="J40" s="27">
        <f t="shared" ref="J40:J103" si="2">COUNT(U40,AB40,AI40,AP40,AW40,BD40)</f>
        <v>2</v>
      </c>
      <c r="K40" s="27">
        <f t="shared" si="0"/>
        <v>0</v>
      </c>
      <c r="L40" s="25">
        <v>684.93702100000007</v>
      </c>
      <c r="M40" s="25">
        <v>689.35483981440643</v>
      </c>
      <c r="N40" s="38">
        <v>0.49922382773925911</v>
      </c>
      <c r="O40" s="38"/>
      <c r="P40" s="71"/>
      <c r="Q40" s="53">
        <v>42625</v>
      </c>
      <c r="R40" s="23">
        <v>3</v>
      </c>
      <c r="S40" s="24">
        <v>685.18025850000004</v>
      </c>
      <c r="T40" s="24">
        <v>689.58361495545148</v>
      </c>
      <c r="U40" s="1">
        <v>0.49741226325106247</v>
      </c>
      <c r="V40" s="2"/>
      <c r="W40" s="2"/>
      <c r="X40" s="22">
        <v>42625</v>
      </c>
      <c r="Y40" s="23">
        <v>3</v>
      </c>
      <c r="Z40" s="24">
        <v>684.69378350000011</v>
      </c>
      <c r="AA40" s="24">
        <v>689.1260646733615</v>
      </c>
      <c r="AB40" s="1">
        <v>0.50103539222745574</v>
      </c>
      <c r="AC40" s="2"/>
      <c r="AD40" s="2"/>
      <c r="AE40" s="22" t="s">
        <v>17</v>
      </c>
      <c r="AF40" s="23"/>
      <c r="AG40" s="24" t="s">
        <v>17</v>
      </c>
      <c r="AH40" s="24" t="s">
        <v>17</v>
      </c>
      <c r="AI40" s="1" t="s">
        <v>17</v>
      </c>
      <c r="AJ40" s="2" t="s">
        <v>17</v>
      </c>
      <c r="AK40" s="2" t="s">
        <v>17</v>
      </c>
      <c r="AL40" s="3"/>
      <c r="AM40" s="2"/>
      <c r="AN40" s="24" t="s">
        <v>17</v>
      </c>
      <c r="AO40" s="24" t="s">
        <v>17</v>
      </c>
      <c r="AP40" s="1" t="s">
        <v>17</v>
      </c>
      <c r="AQ40" s="2" t="s">
        <v>17</v>
      </c>
      <c r="AR40" s="2" t="s">
        <v>17</v>
      </c>
      <c r="AS40" s="3"/>
      <c r="AT40" s="2"/>
      <c r="AU40" s="4"/>
      <c r="AV40" s="2"/>
      <c r="AW40" s="1" t="s">
        <v>17</v>
      </c>
      <c r="AX40" s="2" t="s">
        <v>17</v>
      </c>
      <c r="AY40" s="2" t="s">
        <v>17</v>
      </c>
      <c r="AZ40" s="5"/>
      <c r="BA40" s="6"/>
      <c r="BB40" s="4"/>
      <c r="BC40" s="6"/>
      <c r="BD40" s="6"/>
      <c r="BE40" s="6"/>
      <c r="BF40" s="7"/>
    </row>
    <row r="41" spans="1:58" ht="18" customHeight="1">
      <c r="A41" s="106" t="s">
        <v>15</v>
      </c>
      <c r="B41" s="93" t="s">
        <v>19</v>
      </c>
      <c r="C41" s="28">
        <v>114.3</v>
      </c>
      <c r="D41" s="28">
        <v>114.45</v>
      </c>
      <c r="E41" s="28">
        <v>114.375</v>
      </c>
      <c r="F41" s="28">
        <v>114.375</v>
      </c>
      <c r="G41" s="29">
        <v>2921.8274614601401</v>
      </c>
      <c r="H41" s="29">
        <v>309.38197098419897</v>
      </c>
      <c r="I41" s="27">
        <f t="shared" si="1"/>
        <v>1</v>
      </c>
      <c r="J41" s="27">
        <f t="shared" si="2"/>
        <v>0</v>
      </c>
      <c r="K41" s="27">
        <f t="shared" si="0"/>
        <v>0</v>
      </c>
      <c r="L41" s="25">
        <v>687.9806544999999</v>
      </c>
      <c r="M41" s="25">
        <v>692.43421282937413</v>
      </c>
      <c r="N41" s="38"/>
      <c r="O41" s="38"/>
      <c r="P41" s="71"/>
      <c r="Q41" s="53">
        <v>44165</v>
      </c>
      <c r="R41" s="23">
        <v>3</v>
      </c>
      <c r="S41" s="24">
        <v>687.9806544999999</v>
      </c>
      <c r="T41" s="24">
        <v>692.43421282937413</v>
      </c>
      <c r="U41" s="1"/>
      <c r="V41" s="2"/>
      <c r="W41" s="2"/>
      <c r="X41" s="22" t="s">
        <v>17</v>
      </c>
      <c r="Y41" s="23"/>
      <c r="Z41" s="24" t="s">
        <v>17</v>
      </c>
      <c r="AA41" s="24" t="s">
        <v>17</v>
      </c>
      <c r="AB41" s="1"/>
      <c r="AC41" s="2"/>
      <c r="AD41" s="2"/>
      <c r="AE41" s="22" t="s">
        <v>17</v>
      </c>
      <c r="AF41" s="23"/>
      <c r="AG41" s="24"/>
      <c r="AH41" s="24"/>
      <c r="AI41" s="1"/>
      <c r="AJ41" s="2"/>
      <c r="AK41" s="2"/>
      <c r="AL41" s="3"/>
      <c r="AM41" s="2"/>
      <c r="AN41" s="24"/>
      <c r="AO41" s="24"/>
      <c r="AP41" s="1"/>
      <c r="AQ41" s="2"/>
      <c r="AR41" s="2"/>
      <c r="AS41" s="3"/>
      <c r="AT41" s="2"/>
      <c r="AU41" s="4"/>
      <c r="AV41" s="2"/>
      <c r="AW41" s="1"/>
      <c r="AX41" s="2"/>
      <c r="AY41" s="2"/>
      <c r="AZ41" s="5"/>
      <c r="BA41" s="6"/>
      <c r="BB41" s="4"/>
      <c r="BC41" s="6"/>
      <c r="BD41" s="6"/>
      <c r="BE41" s="6"/>
      <c r="BF41" s="7"/>
    </row>
    <row r="42" spans="1:58" ht="18" customHeight="1">
      <c r="A42" s="106" t="s">
        <v>15</v>
      </c>
      <c r="B42" s="93" t="s">
        <v>20</v>
      </c>
      <c r="C42" s="28">
        <v>115.09</v>
      </c>
      <c r="D42" s="28">
        <v>115.21</v>
      </c>
      <c r="E42" s="28">
        <v>115.15</v>
      </c>
      <c r="F42" s="28">
        <v>115.15</v>
      </c>
      <c r="G42" s="29">
        <v>2944.7759506033999</v>
      </c>
      <c r="H42" s="29">
        <v>337.9476581742</v>
      </c>
      <c r="I42" s="27">
        <f t="shared" si="1"/>
        <v>1</v>
      </c>
      <c r="J42" s="27">
        <f t="shared" si="2"/>
        <v>1</v>
      </c>
      <c r="K42" s="27">
        <f t="shared" si="0"/>
        <v>1</v>
      </c>
      <c r="L42" s="25">
        <v>684.44759299999998</v>
      </c>
      <c r="M42" s="25">
        <v>689.06586157373272</v>
      </c>
      <c r="N42" s="38">
        <v>0.52224762224839516</v>
      </c>
      <c r="O42" s="38">
        <v>-11.422384776672235</v>
      </c>
      <c r="P42" s="71">
        <v>-13.511375265665816</v>
      </c>
      <c r="Q42" s="53">
        <v>42710</v>
      </c>
      <c r="R42" s="23">
        <v>10</v>
      </c>
      <c r="S42" s="24">
        <v>684.44759299999998</v>
      </c>
      <c r="T42" s="24">
        <v>689.06586157373272</v>
      </c>
      <c r="U42" s="1">
        <v>0.52224762224839516</v>
      </c>
      <c r="V42" s="2">
        <v>-11.422384776672235</v>
      </c>
      <c r="W42" s="2">
        <v>-13.511375265665816</v>
      </c>
      <c r="X42" s="22" t="s">
        <v>17</v>
      </c>
      <c r="Y42" s="23"/>
      <c r="Z42" s="24" t="s">
        <v>17</v>
      </c>
      <c r="AA42" s="24" t="s">
        <v>17</v>
      </c>
      <c r="AB42" s="1" t="s">
        <v>17</v>
      </c>
      <c r="AC42" s="2" t="s">
        <v>17</v>
      </c>
      <c r="AD42" s="2" t="s">
        <v>17</v>
      </c>
      <c r="AE42" s="22" t="s">
        <v>17</v>
      </c>
      <c r="AF42" s="23"/>
      <c r="AG42" s="24" t="s">
        <v>17</v>
      </c>
      <c r="AH42" s="24" t="s">
        <v>17</v>
      </c>
      <c r="AI42" s="1" t="s">
        <v>17</v>
      </c>
      <c r="AJ42" s="2" t="s">
        <v>17</v>
      </c>
      <c r="AK42" s="2" t="s">
        <v>17</v>
      </c>
      <c r="AL42" s="3"/>
      <c r="AM42" s="2"/>
      <c r="AN42" s="24" t="s">
        <v>17</v>
      </c>
      <c r="AO42" s="24" t="s">
        <v>17</v>
      </c>
      <c r="AP42" s="1" t="s">
        <v>17</v>
      </c>
      <c r="AQ42" s="2" t="s">
        <v>17</v>
      </c>
      <c r="AR42" s="2" t="s">
        <v>17</v>
      </c>
      <c r="AS42" s="3"/>
      <c r="AT42" s="2"/>
      <c r="AU42" s="4"/>
      <c r="AV42" s="2"/>
      <c r="AW42" s="1" t="s">
        <v>17</v>
      </c>
      <c r="AX42" s="2" t="s">
        <v>17</v>
      </c>
      <c r="AY42" s="2" t="s">
        <v>17</v>
      </c>
      <c r="AZ42" s="5"/>
      <c r="BA42" s="6"/>
      <c r="BB42" s="4"/>
      <c r="BC42" s="6"/>
      <c r="BD42" s="6"/>
      <c r="BE42" s="6"/>
      <c r="BF42" s="7"/>
    </row>
    <row r="43" spans="1:58" ht="18" customHeight="1">
      <c r="A43" s="106" t="s">
        <v>15</v>
      </c>
      <c r="B43" s="93" t="s">
        <v>21</v>
      </c>
      <c r="C43" s="28">
        <v>116.375</v>
      </c>
      <c r="D43" s="28">
        <v>116.52500000000001</v>
      </c>
      <c r="E43" s="28">
        <v>116.45</v>
      </c>
      <c r="F43" s="28">
        <v>116.45</v>
      </c>
      <c r="G43" s="29">
        <v>2983.6407390317499</v>
      </c>
      <c r="H43" s="29">
        <v>383.29867417915</v>
      </c>
      <c r="I43" s="27">
        <f t="shared" si="1"/>
        <v>1</v>
      </c>
      <c r="J43" s="27">
        <f t="shared" si="2"/>
        <v>0</v>
      </c>
      <c r="K43" s="27">
        <f t="shared" si="0"/>
        <v>0</v>
      </c>
      <c r="L43" s="25">
        <v>691.49662549999994</v>
      </c>
      <c r="M43" s="25">
        <v>696.16245699250521</v>
      </c>
      <c r="N43" s="38"/>
      <c r="O43" s="38"/>
      <c r="P43" s="71"/>
      <c r="Q43" s="53">
        <v>44165</v>
      </c>
      <c r="R43" s="23">
        <v>3</v>
      </c>
      <c r="S43" s="24">
        <v>691.49662549999994</v>
      </c>
      <c r="T43" s="24">
        <v>696.16245699250521</v>
      </c>
      <c r="U43" s="1"/>
      <c r="V43" s="2"/>
      <c r="W43" s="2"/>
      <c r="X43" s="22" t="s">
        <v>17</v>
      </c>
      <c r="Y43" s="23"/>
      <c r="Z43" s="24" t="s">
        <v>17</v>
      </c>
      <c r="AA43" s="24" t="s">
        <v>17</v>
      </c>
      <c r="AB43" s="1"/>
      <c r="AC43" s="2"/>
      <c r="AD43" s="2"/>
      <c r="AE43" s="22" t="s">
        <v>17</v>
      </c>
      <c r="AF43" s="23"/>
      <c r="AG43" s="24"/>
      <c r="AH43" s="24"/>
      <c r="AI43" s="1"/>
      <c r="AJ43" s="2"/>
      <c r="AK43" s="2"/>
      <c r="AL43" s="3"/>
      <c r="AM43" s="2"/>
      <c r="AN43" s="24"/>
      <c r="AO43" s="24"/>
      <c r="AP43" s="1"/>
      <c r="AQ43" s="2"/>
      <c r="AR43" s="2"/>
      <c r="AS43" s="3"/>
      <c r="AT43" s="2"/>
      <c r="AU43" s="4"/>
      <c r="AV43" s="2"/>
      <c r="AW43" s="1"/>
      <c r="AX43" s="2"/>
      <c r="AY43" s="2"/>
      <c r="AZ43" s="5"/>
      <c r="BA43" s="6"/>
      <c r="BB43" s="4"/>
      <c r="BC43" s="6"/>
      <c r="BD43" s="6"/>
      <c r="BE43" s="6"/>
      <c r="BF43" s="7"/>
    </row>
    <row r="44" spans="1:58" ht="18" customHeight="1">
      <c r="A44" s="106" t="s">
        <v>15</v>
      </c>
      <c r="B44" s="93" t="s">
        <v>22</v>
      </c>
      <c r="C44" s="28">
        <v>118.605</v>
      </c>
      <c r="D44" s="28">
        <v>118.79</v>
      </c>
      <c r="E44" s="28">
        <v>118.69750000000001</v>
      </c>
      <c r="F44" s="28">
        <v>118.69750000000001</v>
      </c>
      <c r="G44" s="29">
        <v>3051.1526600481002</v>
      </c>
      <c r="H44" s="29">
        <v>466.3878934544</v>
      </c>
      <c r="I44" s="27">
        <f t="shared" si="1"/>
        <v>1</v>
      </c>
      <c r="J44" s="27">
        <f t="shared" si="2"/>
        <v>1</v>
      </c>
      <c r="K44" s="27">
        <f t="shared" si="0"/>
        <v>1</v>
      </c>
      <c r="L44" s="25">
        <v>686.49875199999997</v>
      </c>
      <c r="M44" s="25">
        <v>691.05790126796319</v>
      </c>
      <c r="N44" s="38">
        <v>0.5140218089394466</v>
      </c>
      <c r="O44" s="38">
        <v>-11.58703077896439</v>
      </c>
      <c r="P44" s="71">
        <v>-13.643118014722177</v>
      </c>
      <c r="Q44" s="53">
        <v>42681</v>
      </c>
      <c r="R44" s="23">
        <v>5</v>
      </c>
      <c r="S44" s="24">
        <v>686.49875199999997</v>
      </c>
      <c r="T44" s="24">
        <v>691.05790126796319</v>
      </c>
      <c r="U44" s="1">
        <v>0.5140218089394466</v>
      </c>
      <c r="V44" s="2">
        <v>-11.58703077896439</v>
      </c>
      <c r="W44" s="2">
        <v>-13.643118014722177</v>
      </c>
      <c r="X44" s="22" t="s">
        <v>17</v>
      </c>
      <c r="Y44" s="23"/>
      <c r="Z44" s="24" t="s">
        <v>17</v>
      </c>
      <c r="AA44" s="24" t="s">
        <v>17</v>
      </c>
      <c r="AB44" s="1" t="s">
        <v>17</v>
      </c>
      <c r="AC44" s="2" t="s">
        <v>17</v>
      </c>
      <c r="AD44" s="2" t="s">
        <v>17</v>
      </c>
      <c r="AE44" s="22" t="s">
        <v>17</v>
      </c>
      <c r="AF44" s="23"/>
      <c r="AG44" s="24" t="s">
        <v>17</v>
      </c>
      <c r="AH44" s="24" t="s">
        <v>17</v>
      </c>
      <c r="AI44" s="1" t="s">
        <v>17</v>
      </c>
      <c r="AJ44" s="2" t="s">
        <v>17</v>
      </c>
      <c r="AK44" s="2" t="s">
        <v>17</v>
      </c>
      <c r="AL44" s="3"/>
      <c r="AM44" s="2"/>
      <c r="AN44" s="24" t="s">
        <v>17</v>
      </c>
      <c r="AO44" s="24" t="s">
        <v>17</v>
      </c>
      <c r="AP44" s="1" t="s">
        <v>17</v>
      </c>
      <c r="AQ44" s="2" t="s">
        <v>17</v>
      </c>
      <c r="AR44" s="2" t="s">
        <v>17</v>
      </c>
      <c r="AS44" s="3"/>
      <c r="AT44" s="2"/>
      <c r="AU44" s="4"/>
      <c r="AV44" s="2"/>
      <c r="AW44" s="1" t="s">
        <v>17</v>
      </c>
      <c r="AX44" s="2" t="s">
        <v>17</v>
      </c>
      <c r="AY44" s="2" t="s">
        <v>17</v>
      </c>
      <c r="AZ44" s="5"/>
      <c r="BA44" s="6"/>
      <c r="BB44" s="4"/>
      <c r="BC44" s="6"/>
      <c r="BD44" s="6"/>
      <c r="BE44" s="6"/>
      <c r="BF44" s="7"/>
    </row>
    <row r="45" spans="1:58" ht="18" customHeight="1">
      <c r="A45" s="106" t="s">
        <v>15</v>
      </c>
      <c r="B45" s="93" t="s">
        <v>23</v>
      </c>
      <c r="C45" s="28">
        <v>119.17</v>
      </c>
      <c r="D45" s="28">
        <v>119.29</v>
      </c>
      <c r="E45" s="28">
        <v>119.23</v>
      </c>
      <c r="F45" s="28">
        <v>119.23</v>
      </c>
      <c r="G45" s="29">
        <v>3067.1067539519399</v>
      </c>
      <c r="H45" s="29">
        <v>490.78632868608003</v>
      </c>
      <c r="I45" s="27">
        <f t="shared" si="1"/>
        <v>1</v>
      </c>
      <c r="J45" s="27">
        <f t="shared" si="2"/>
        <v>1</v>
      </c>
      <c r="K45" s="27">
        <f t="shared" si="0"/>
        <v>1</v>
      </c>
      <c r="L45" s="25">
        <v>676.16504699999996</v>
      </c>
      <c r="M45" s="25">
        <v>680.68328664160106</v>
      </c>
      <c r="N45" s="38">
        <v>0.51719465852295698</v>
      </c>
      <c r="O45" s="38">
        <v>-7.7408426888921911</v>
      </c>
      <c r="P45" s="71">
        <v>-9.8096213229840181</v>
      </c>
      <c r="Q45" s="53">
        <v>43391</v>
      </c>
      <c r="R45" s="23">
        <v>9</v>
      </c>
      <c r="S45" s="24">
        <v>676.16504699999996</v>
      </c>
      <c r="T45" s="24">
        <v>680.68328664160106</v>
      </c>
      <c r="U45" s="1">
        <v>0.51719465852295698</v>
      </c>
      <c r="V45" s="2">
        <v>-7.7408426888921911</v>
      </c>
      <c r="W45" s="2">
        <v>-9.8096213229840181</v>
      </c>
      <c r="X45" s="22" t="s">
        <v>17</v>
      </c>
      <c r="Y45" s="23"/>
      <c r="Z45" s="24" t="s">
        <v>17</v>
      </c>
      <c r="AA45" s="24" t="s">
        <v>17</v>
      </c>
      <c r="AB45" s="1" t="s">
        <v>17</v>
      </c>
      <c r="AC45" s="2" t="s">
        <v>17</v>
      </c>
      <c r="AD45" s="2" t="s">
        <v>17</v>
      </c>
      <c r="AE45" s="22" t="s">
        <v>17</v>
      </c>
      <c r="AF45" s="23"/>
      <c r="AG45" s="24" t="s">
        <v>17</v>
      </c>
      <c r="AH45" s="24" t="s">
        <v>17</v>
      </c>
      <c r="AI45" s="1" t="s">
        <v>17</v>
      </c>
      <c r="AJ45" s="2" t="s">
        <v>17</v>
      </c>
      <c r="AK45" s="2" t="s">
        <v>17</v>
      </c>
      <c r="AL45" s="3"/>
      <c r="AM45" s="2"/>
      <c r="AN45" s="24" t="s">
        <v>17</v>
      </c>
      <c r="AO45" s="24" t="s">
        <v>17</v>
      </c>
      <c r="AP45" s="1" t="s">
        <v>17</v>
      </c>
      <c r="AQ45" s="2" t="s">
        <v>17</v>
      </c>
      <c r="AR45" s="2" t="s">
        <v>17</v>
      </c>
      <c r="AS45" s="3"/>
      <c r="AT45" s="2"/>
      <c r="AU45" s="4"/>
      <c r="AV45" s="2"/>
      <c r="AW45" s="1" t="s">
        <v>17</v>
      </c>
      <c r="AX45" s="2" t="s">
        <v>17</v>
      </c>
      <c r="AY45" s="2" t="s">
        <v>17</v>
      </c>
      <c r="AZ45" s="5"/>
      <c r="BA45" s="6"/>
      <c r="BB45" s="4"/>
      <c r="BC45" s="6"/>
      <c r="BD45" s="6"/>
      <c r="BE45" s="6"/>
      <c r="BF45" s="7"/>
    </row>
    <row r="46" spans="1:58" ht="18" customHeight="1">
      <c r="A46" s="106" t="s">
        <v>15</v>
      </c>
      <c r="B46" s="93" t="s">
        <v>24</v>
      </c>
      <c r="C46" s="28">
        <v>120.58</v>
      </c>
      <c r="D46" s="28">
        <v>120.78</v>
      </c>
      <c r="E46" s="28">
        <v>120.68</v>
      </c>
      <c r="F46" s="28">
        <v>120.68</v>
      </c>
      <c r="G46" s="29">
        <v>3115.9376698516799</v>
      </c>
      <c r="H46" s="29">
        <v>558.90494822404003</v>
      </c>
      <c r="I46" s="27">
        <f t="shared" si="1"/>
        <v>1</v>
      </c>
      <c r="J46" s="27">
        <f t="shared" si="2"/>
        <v>1</v>
      </c>
      <c r="K46" s="27">
        <f t="shared" si="0"/>
        <v>1</v>
      </c>
      <c r="L46" s="25">
        <v>678.17047749999995</v>
      </c>
      <c r="M46" s="25">
        <v>682.69059497814919</v>
      </c>
      <c r="N46" s="38">
        <v>0.51587956949128433</v>
      </c>
      <c r="O46" s="38">
        <v>-11.309603082353291</v>
      </c>
      <c r="P46" s="71">
        <v>-13.373121360318429</v>
      </c>
      <c r="Q46" s="53">
        <v>42682</v>
      </c>
      <c r="R46" s="23">
        <v>5</v>
      </c>
      <c r="S46" s="24">
        <v>678.17047749999995</v>
      </c>
      <c r="T46" s="24">
        <v>682.69059497814919</v>
      </c>
      <c r="U46" s="1">
        <v>0.51587956949128433</v>
      </c>
      <c r="V46" s="2">
        <v>-11.309603082353291</v>
      </c>
      <c r="W46" s="2">
        <v>-13.373121360318429</v>
      </c>
      <c r="X46" s="22" t="s">
        <v>17</v>
      </c>
      <c r="Y46" s="23"/>
      <c r="Z46" s="24" t="s">
        <v>17</v>
      </c>
      <c r="AA46" s="24" t="s">
        <v>17</v>
      </c>
      <c r="AB46" s="1" t="s">
        <v>17</v>
      </c>
      <c r="AC46" s="2" t="s">
        <v>17</v>
      </c>
      <c r="AD46" s="2" t="s">
        <v>17</v>
      </c>
      <c r="AE46" s="22" t="s">
        <v>17</v>
      </c>
      <c r="AF46" s="23"/>
      <c r="AG46" s="24" t="s">
        <v>17</v>
      </c>
      <c r="AH46" s="24" t="s">
        <v>17</v>
      </c>
      <c r="AI46" s="1" t="s">
        <v>17</v>
      </c>
      <c r="AJ46" s="2" t="s">
        <v>17</v>
      </c>
      <c r="AK46" s="2" t="s">
        <v>17</v>
      </c>
      <c r="AL46" s="3"/>
      <c r="AM46" s="2"/>
      <c r="AN46" s="24" t="s">
        <v>17</v>
      </c>
      <c r="AO46" s="24" t="s">
        <v>17</v>
      </c>
      <c r="AP46" s="1" t="s">
        <v>17</v>
      </c>
      <c r="AQ46" s="2" t="s">
        <v>17</v>
      </c>
      <c r="AR46" s="2" t="s">
        <v>17</v>
      </c>
      <c r="AS46" s="3"/>
      <c r="AT46" s="2"/>
      <c r="AU46" s="4"/>
      <c r="AV46" s="2"/>
      <c r="AW46" s="1" t="s">
        <v>17</v>
      </c>
      <c r="AX46" s="2" t="s">
        <v>17</v>
      </c>
      <c r="AY46" s="2" t="s">
        <v>17</v>
      </c>
      <c r="AZ46" s="5"/>
      <c r="BA46" s="6"/>
      <c r="BB46" s="4"/>
      <c r="BC46" s="6"/>
      <c r="BD46" s="6"/>
      <c r="BE46" s="6"/>
      <c r="BF46" s="7"/>
    </row>
    <row r="47" spans="1:58" ht="18" customHeight="1">
      <c r="A47" s="106" t="s">
        <v>15</v>
      </c>
      <c r="B47" s="93" t="s">
        <v>25</v>
      </c>
      <c r="C47" s="28">
        <v>120.78</v>
      </c>
      <c r="D47" s="28">
        <v>120.9</v>
      </c>
      <c r="E47" s="28">
        <v>120.84</v>
      </c>
      <c r="F47" s="28">
        <v>120.84</v>
      </c>
      <c r="G47" s="29">
        <v>3121.9664361278401</v>
      </c>
      <c r="H47" s="29">
        <v>564.79548164452001</v>
      </c>
      <c r="I47" s="27">
        <f t="shared" si="1"/>
        <v>1</v>
      </c>
      <c r="J47" s="27">
        <f t="shared" si="2"/>
        <v>1</v>
      </c>
      <c r="K47" s="27">
        <f t="shared" si="0"/>
        <v>1</v>
      </c>
      <c r="L47" s="25">
        <v>677.03266299999996</v>
      </c>
      <c r="M47" s="25">
        <v>681.47738636188615</v>
      </c>
      <c r="N47" s="38">
        <v>0.50812738418692938</v>
      </c>
      <c r="O47" s="38">
        <v>-3.7262940288128599</v>
      </c>
      <c r="P47" s="71">
        <v>-5.7588035655605774</v>
      </c>
      <c r="Q47" s="53">
        <v>43269</v>
      </c>
      <c r="R47" s="23">
        <v>7</v>
      </c>
      <c r="S47" s="24">
        <v>677.03266299999996</v>
      </c>
      <c r="T47" s="24">
        <v>681.47738636188615</v>
      </c>
      <c r="U47" s="1">
        <v>0.50812738418692938</v>
      </c>
      <c r="V47" s="2">
        <v>-3.7262940288128599</v>
      </c>
      <c r="W47" s="2">
        <v>-5.7588035655605774</v>
      </c>
      <c r="X47" s="22" t="s">
        <v>17</v>
      </c>
      <c r="Y47" s="23"/>
      <c r="Z47" s="24" t="s">
        <v>17</v>
      </c>
      <c r="AA47" s="24" t="s">
        <v>17</v>
      </c>
      <c r="AB47" s="1" t="s">
        <v>17</v>
      </c>
      <c r="AC47" s="2" t="s">
        <v>17</v>
      </c>
      <c r="AD47" s="2" t="s">
        <v>17</v>
      </c>
      <c r="AE47" s="22" t="s">
        <v>17</v>
      </c>
      <c r="AF47" s="23"/>
      <c r="AG47" s="24" t="s">
        <v>17</v>
      </c>
      <c r="AH47" s="24" t="s">
        <v>17</v>
      </c>
      <c r="AI47" s="1" t="s">
        <v>17</v>
      </c>
      <c r="AJ47" s="2" t="s">
        <v>17</v>
      </c>
      <c r="AK47" s="2" t="s">
        <v>17</v>
      </c>
      <c r="AL47" s="3"/>
      <c r="AM47" s="2"/>
      <c r="AN47" s="24" t="s">
        <v>17</v>
      </c>
      <c r="AO47" s="24" t="s">
        <v>17</v>
      </c>
      <c r="AP47" s="1" t="s">
        <v>17</v>
      </c>
      <c r="AQ47" s="2" t="s">
        <v>17</v>
      </c>
      <c r="AR47" s="2" t="s">
        <v>17</v>
      </c>
      <c r="AS47" s="3"/>
      <c r="AT47" s="2"/>
      <c r="AU47" s="4"/>
      <c r="AV47" s="2"/>
      <c r="AW47" s="1" t="s">
        <v>17</v>
      </c>
      <c r="AX47" s="2" t="s">
        <v>17</v>
      </c>
      <c r="AY47" s="2" t="s">
        <v>17</v>
      </c>
      <c r="AZ47" s="5"/>
      <c r="BA47" s="6"/>
      <c r="BB47" s="4"/>
      <c r="BC47" s="6"/>
      <c r="BD47" s="6"/>
      <c r="BE47" s="6"/>
      <c r="BF47" s="7"/>
    </row>
    <row r="48" spans="1:58" ht="18" customHeight="1">
      <c r="A48" s="106" t="s">
        <v>15</v>
      </c>
      <c r="B48" s="93" t="s">
        <v>26</v>
      </c>
      <c r="C48" s="28">
        <v>122.16</v>
      </c>
      <c r="D48" s="28">
        <v>122.28</v>
      </c>
      <c r="E48" s="28">
        <v>122.22</v>
      </c>
      <c r="F48" s="28">
        <v>122.22</v>
      </c>
      <c r="G48" s="29">
        <v>3171.6244231103601</v>
      </c>
      <c r="H48" s="29">
        <v>612.35492370367899</v>
      </c>
      <c r="I48" s="27">
        <f t="shared" si="1"/>
        <v>2</v>
      </c>
      <c r="J48" s="27">
        <f t="shared" si="2"/>
        <v>2</v>
      </c>
      <c r="K48" s="27">
        <f t="shared" si="0"/>
        <v>2</v>
      </c>
      <c r="L48" s="25">
        <v>678.91692749999993</v>
      </c>
      <c r="M48" s="25">
        <v>683.42393916829894</v>
      </c>
      <c r="N48" s="38">
        <v>0.51381181387255559</v>
      </c>
      <c r="O48" s="38">
        <v>-9.2628567169753531</v>
      </c>
      <c r="P48" s="71">
        <v>-11.318103972465575</v>
      </c>
      <c r="Q48" s="53">
        <v>43368</v>
      </c>
      <c r="R48" s="23">
        <v>9</v>
      </c>
      <c r="S48" s="24">
        <v>683.73093749999998</v>
      </c>
      <c r="T48" s="24">
        <v>688.27787735532229</v>
      </c>
      <c r="U48" s="1">
        <v>0.51472049904033312</v>
      </c>
      <c r="V48" s="2">
        <v>-9.3295388751331032</v>
      </c>
      <c r="W48" s="2">
        <v>-11.388420871294436</v>
      </c>
      <c r="X48" s="22">
        <v>43368</v>
      </c>
      <c r="Y48" s="23">
        <v>9</v>
      </c>
      <c r="Z48" s="24">
        <v>674.10291749999999</v>
      </c>
      <c r="AA48" s="24">
        <v>678.5700009812756</v>
      </c>
      <c r="AB48" s="1">
        <v>0.51290312870477806</v>
      </c>
      <c r="AC48" s="2">
        <v>-9.1961745588176047</v>
      </c>
      <c r="AD48" s="2">
        <v>-11.247787073636717</v>
      </c>
      <c r="AE48" s="22" t="s">
        <v>17</v>
      </c>
      <c r="AF48" s="23"/>
      <c r="AG48" s="24" t="s">
        <v>17</v>
      </c>
      <c r="AH48" s="24" t="s">
        <v>17</v>
      </c>
      <c r="AI48" s="1" t="s">
        <v>17</v>
      </c>
      <c r="AJ48" s="2" t="s">
        <v>17</v>
      </c>
      <c r="AK48" s="2" t="s">
        <v>17</v>
      </c>
      <c r="AL48" s="3"/>
      <c r="AM48" s="2"/>
      <c r="AN48" s="24" t="s">
        <v>17</v>
      </c>
      <c r="AO48" s="24" t="s">
        <v>17</v>
      </c>
      <c r="AP48" s="1" t="s">
        <v>17</v>
      </c>
      <c r="AQ48" s="2" t="s">
        <v>17</v>
      </c>
      <c r="AR48" s="2" t="s">
        <v>17</v>
      </c>
      <c r="AS48" s="3"/>
      <c r="AT48" s="2"/>
      <c r="AU48" s="4"/>
      <c r="AV48" s="2"/>
      <c r="AW48" s="1" t="s">
        <v>17</v>
      </c>
      <c r="AX48" s="2" t="s">
        <v>17</v>
      </c>
      <c r="AY48" s="2" t="s">
        <v>17</v>
      </c>
      <c r="AZ48" s="5"/>
      <c r="BA48" s="6"/>
      <c r="BB48" s="4"/>
      <c r="BC48" s="6"/>
      <c r="BD48" s="6"/>
      <c r="BE48" s="6"/>
      <c r="BF48" s="7"/>
    </row>
    <row r="49" spans="1:58" ht="18" customHeight="1">
      <c r="A49" s="106" t="s">
        <v>15</v>
      </c>
      <c r="B49" s="93" t="s">
        <v>27</v>
      </c>
      <c r="C49" s="28">
        <v>122.59</v>
      </c>
      <c r="D49" s="28">
        <v>122.74</v>
      </c>
      <c r="E49" s="28">
        <v>122.66499999999999</v>
      </c>
      <c r="F49" s="28">
        <v>122.66499999999999</v>
      </c>
      <c r="G49" s="29">
        <v>3187.1150633099601</v>
      </c>
      <c r="H49" s="29">
        <v>628.11185727847999</v>
      </c>
      <c r="I49" s="27">
        <f t="shared" si="1"/>
        <v>1</v>
      </c>
      <c r="J49" s="27">
        <f t="shared" si="2"/>
        <v>0</v>
      </c>
      <c r="K49" s="27">
        <f t="shared" si="0"/>
        <v>0</v>
      </c>
      <c r="L49" s="25">
        <v>677.09773799999994</v>
      </c>
      <c r="M49" s="25">
        <v>681.60056582598349</v>
      </c>
      <c r="N49" s="38"/>
      <c r="O49" s="38"/>
      <c r="P49" s="71"/>
      <c r="Q49" s="53">
        <v>44165</v>
      </c>
      <c r="R49" s="23">
        <v>3</v>
      </c>
      <c r="S49" s="24">
        <v>677.09773799999994</v>
      </c>
      <c r="T49" s="24">
        <v>681.60056582598349</v>
      </c>
      <c r="U49" s="1"/>
      <c r="V49" s="2"/>
      <c r="W49" s="2"/>
      <c r="X49" s="22" t="s">
        <v>17</v>
      </c>
      <c r="Y49" s="23"/>
      <c r="Z49" s="24" t="s">
        <v>17</v>
      </c>
      <c r="AA49" s="24" t="s">
        <v>17</v>
      </c>
      <c r="AB49" s="1"/>
      <c r="AC49" s="2"/>
      <c r="AD49" s="2"/>
      <c r="AE49" s="22" t="s">
        <v>17</v>
      </c>
      <c r="AF49" s="23"/>
      <c r="AG49" s="24"/>
      <c r="AH49" s="24"/>
      <c r="AI49" s="1"/>
      <c r="AJ49" s="2"/>
      <c r="AK49" s="2"/>
      <c r="AL49" s="3"/>
      <c r="AM49" s="2"/>
      <c r="AN49" s="24"/>
      <c r="AO49" s="24"/>
      <c r="AP49" s="1"/>
      <c r="AQ49" s="2"/>
      <c r="AR49" s="2"/>
      <c r="AS49" s="3"/>
      <c r="AT49" s="2"/>
      <c r="AU49" s="4"/>
      <c r="AV49" s="2"/>
      <c r="AW49" s="1"/>
      <c r="AX49" s="2"/>
      <c r="AY49" s="2"/>
      <c r="AZ49" s="5"/>
      <c r="BA49" s="6"/>
      <c r="BB49" s="4"/>
      <c r="BC49" s="6"/>
      <c r="BD49" s="6"/>
      <c r="BE49" s="6"/>
      <c r="BF49" s="7"/>
    </row>
    <row r="50" spans="1:58" ht="18" customHeight="1">
      <c r="A50" s="106" t="s">
        <v>15</v>
      </c>
      <c r="B50" s="93" t="s">
        <v>28</v>
      </c>
      <c r="C50" s="28">
        <v>123.28</v>
      </c>
      <c r="D50" s="28">
        <v>123.4</v>
      </c>
      <c r="E50" s="28">
        <v>123.34</v>
      </c>
      <c r="F50" s="28">
        <v>123.34</v>
      </c>
      <c r="G50" s="29">
        <v>3209.75380655032</v>
      </c>
      <c r="H50" s="29">
        <v>652.16598489813998</v>
      </c>
      <c r="I50" s="27">
        <f t="shared" si="1"/>
        <v>2</v>
      </c>
      <c r="J50" s="27">
        <f t="shared" si="2"/>
        <v>2</v>
      </c>
      <c r="K50" s="27">
        <f t="shared" si="0"/>
        <v>2</v>
      </c>
      <c r="L50" s="25">
        <v>677.3221887499999</v>
      </c>
      <c r="M50" s="25">
        <v>681.94701991643922</v>
      </c>
      <c r="N50" s="38">
        <v>0.52852251655399751</v>
      </c>
      <c r="O50" s="38">
        <v>-11.105412538539195</v>
      </c>
      <c r="P50" s="71">
        <v>-13.219502604755185</v>
      </c>
      <c r="Q50" s="53">
        <v>42662</v>
      </c>
      <c r="R50" s="23">
        <v>8</v>
      </c>
      <c r="S50" s="24">
        <v>679.87444699999992</v>
      </c>
      <c r="T50" s="24">
        <v>684.44484318807054</v>
      </c>
      <c r="U50" s="1">
        <v>0.52031053167378438</v>
      </c>
      <c r="V50" s="2">
        <v>-11.121756240249692</v>
      </c>
      <c r="W50" s="2">
        <v>-13.202998366944829</v>
      </c>
      <c r="X50" s="22">
        <v>42662</v>
      </c>
      <c r="Y50" s="23">
        <v>8</v>
      </c>
      <c r="Z50" s="24">
        <v>674.76993049999999</v>
      </c>
      <c r="AA50" s="24">
        <v>679.4491966448079</v>
      </c>
      <c r="AB50" s="1">
        <v>0.53673450143421064</v>
      </c>
      <c r="AC50" s="2">
        <v>-11.089068836828698</v>
      </c>
      <c r="AD50" s="2">
        <v>-13.236006842565541</v>
      </c>
      <c r="AE50" s="22" t="s">
        <v>17</v>
      </c>
      <c r="AF50" s="23"/>
      <c r="AG50" s="24" t="s">
        <v>17</v>
      </c>
      <c r="AH50" s="24" t="s">
        <v>17</v>
      </c>
      <c r="AI50" s="1" t="s">
        <v>17</v>
      </c>
      <c r="AJ50" s="2" t="s">
        <v>17</v>
      </c>
      <c r="AK50" s="2" t="s">
        <v>17</v>
      </c>
      <c r="AL50" s="3"/>
      <c r="AM50" s="2"/>
      <c r="AN50" s="24" t="s">
        <v>17</v>
      </c>
      <c r="AO50" s="24" t="s">
        <v>17</v>
      </c>
      <c r="AP50" s="1" t="s">
        <v>17</v>
      </c>
      <c r="AQ50" s="2" t="s">
        <v>17</v>
      </c>
      <c r="AR50" s="2" t="s">
        <v>17</v>
      </c>
      <c r="AS50" s="3"/>
      <c r="AT50" s="2"/>
      <c r="AU50" s="4"/>
      <c r="AV50" s="2"/>
      <c r="AW50" s="1" t="s">
        <v>17</v>
      </c>
      <c r="AX50" s="2" t="s">
        <v>17</v>
      </c>
      <c r="AY50" s="2" t="s">
        <v>17</v>
      </c>
      <c r="AZ50" s="5"/>
      <c r="BA50" s="6"/>
      <c r="BB50" s="4"/>
      <c r="BC50" s="6"/>
      <c r="BD50" s="6"/>
      <c r="BE50" s="6"/>
      <c r="BF50" s="7"/>
    </row>
    <row r="51" spans="1:58" ht="18" customHeight="1">
      <c r="A51" s="106" t="s">
        <v>15</v>
      </c>
      <c r="B51" s="93" t="s">
        <v>29</v>
      </c>
      <c r="C51" s="28">
        <v>125.05</v>
      </c>
      <c r="D51" s="28">
        <v>125.28</v>
      </c>
      <c r="E51" s="28">
        <v>125.16499999999999</v>
      </c>
      <c r="F51" s="28">
        <v>125.16499999999999</v>
      </c>
      <c r="G51" s="29">
        <v>3270.4311556548901</v>
      </c>
      <c r="H51" s="29">
        <v>718.65874135079002</v>
      </c>
      <c r="I51" s="27">
        <f t="shared" si="1"/>
        <v>1</v>
      </c>
      <c r="J51" s="27">
        <f t="shared" si="2"/>
        <v>1</v>
      </c>
      <c r="K51" s="27">
        <f t="shared" si="0"/>
        <v>1</v>
      </c>
      <c r="L51" s="25">
        <v>678.93948649999993</v>
      </c>
      <c r="M51" s="25">
        <v>683.54994832934517</v>
      </c>
      <c r="N51" s="38">
        <v>0.52559454548117834</v>
      </c>
      <c r="O51" s="38">
        <v>-11.086603035648789</v>
      </c>
      <c r="P51" s="71">
        <v>-13.188981217573502</v>
      </c>
      <c r="Q51" s="53">
        <v>42683</v>
      </c>
      <c r="R51" s="23">
        <v>5</v>
      </c>
      <c r="S51" s="24">
        <v>678.93948649999993</v>
      </c>
      <c r="T51" s="24">
        <v>683.54994832934517</v>
      </c>
      <c r="U51" s="1">
        <v>0.52559454548117834</v>
      </c>
      <c r="V51" s="2">
        <v>-11.086603035648789</v>
      </c>
      <c r="W51" s="2">
        <v>-13.188981217573502</v>
      </c>
      <c r="X51" s="22" t="s">
        <v>17</v>
      </c>
      <c r="Y51" s="23"/>
      <c r="Z51" s="24" t="s">
        <v>17</v>
      </c>
      <c r="AA51" s="24" t="s">
        <v>17</v>
      </c>
      <c r="AB51" s="1" t="s">
        <v>17</v>
      </c>
      <c r="AC51" s="2" t="s">
        <v>17</v>
      </c>
      <c r="AD51" s="2" t="s">
        <v>17</v>
      </c>
      <c r="AE51" s="22" t="s">
        <v>17</v>
      </c>
      <c r="AF51" s="23"/>
      <c r="AG51" s="24" t="s">
        <v>17</v>
      </c>
      <c r="AH51" s="24" t="s">
        <v>17</v>
      </c>
      <c r="AI51" s="1" t="s">
        <v>17</v>
      </c>
      <c r="AJ51" s="2" t="s">
        <v>17</v>
      </c>
      <c r="AK51" s="2" t="s">
        <v>17</v>
      </c>
      <c r="AL51" s="3"/>
      <c r="AM51" s="2"/>
      <c r="AN51" s="24" t="s">
        <v>17</v>
      </c>
      <c r="AO51" s="24" t="s">
        <v>17</v>
      </c>
      <c r="AP51" s="1" t="s">
        <v>17</v>
      </c>
      <c r="AQ51" s="2" t="s">
        <v>17</v>
      </c>
      <c r="AR51" s="2" t="s">
        <v>17</v>
      </c>
      <c r="AS51" s="3"/>
      <c r="AT51" s="2"/>
      <c r="AU51" s="4"/>
      <c r="AV51" s="2"/>
      <c r="AW51" s="1" t="s">
        <v>17</v>
      </c>
      <c r="AX51" s="2" t="s">
        <v>17</v>
      </c>
      <c r="AY51" s="2" t="s">
        <v>17</v>
      </c>
      <c r="AZ51" s="5"/>
      <c r="BA51" s="6"/>
      <c r="BB51" s="4"/>
      <c r="BC51" s="6"/>
      <c r="BD51" s="6"/>
      <c r="BE51" s="6"/>
      <c r="BF51" s="7"/>
    </row>
    <row r="52" spans="1:58" ht="18" customHeight="1">
      <c r="A52" s="106" t="s">
        <v>15</v>
      </c>
      <c r="B52" s="93" t="s">
        <v>30</v>
      </c>
      <c r="C52" s="28">
        <v>126.64</v>
      </c>
      <c r="D52" s="28">
        <v>126.76</v>
      </c>
      <c r="E52" s="28">
        <v>126.7</v>
      </c>
      <c r="F52" s="28">
        <v>126.7</v>
      </c>
      <c r="G52" s="29">
        <v>3321.0956843522999</v>
      </c>
      <c r="H52" s="29">
        <v>770.43165356969996</v>
      </c>
      <c r="I52" s="27">
        <f t="shared" si="1"/>
        <v>2</v>
      </c>
      <c r="J52" s="27">
        <f t="shared" si="2"/>
        <v>2</v>
      </c>
      <c r="K52" s="27">
        <f t="shared" si="0"/>
        <v>2</v>
      </c>
      <c r="L52" s="25">
        <v>676.95891625000002</v>
      </c>
      <c r="M52" s="25">
        <v>681.47289844700254</v>
      </c>
      <c r="N52" s="38">
        <v>0.51614149969669842</v>
      </c>
      <c r="O52" s="38">
        <v>-11.738718516340953</v>
      </c>
      <c r="P52" s="71">
        <v>-13.803284515127746</v>
      </c>
      <c r="Q52" s="53">
        <v>43368</v>
      </c>
      <c r="R52" s="23">
        <v>9</v>
      </c>
      <c r="S52" s="24">
        <v>679.92009200000007</v>
      </c>
      <c r="T52" s="24">
        <v>684.37358989809786</v>
      </c>
      <c r="U52" s="1">
        <v>0.50696836846664262</v>
      </c>
      <c r="V52" s="2">
        <v>-11.396102684418041</v>
      </c>
      <c r="W52" s="2">
        <v>-13.423976158284612</v>
      </c>
      <c r="X52" s="22">
        <v>43368</v>
      </c>
      <c r="Y52" s="23">
        <v>9</v>
      </c>
      <c r="Z52" s="24">
        <v>673.99774049999996</v>
      </c>
      <c r="AA52" s="24">
        <v>678.57220699590721</v>
      </c>
      <c r="AB52" s="1">
        <v>0.52531463092675423</v>
      </c>
      <c r="AC52" s="2">
        <v>-12.081334348263862</v>
      </c>
      <c r="AD52" s="2">
        <v>-14.182592871970879</v>
      </c>
      <c r="AE52" s="22" t="s">
        <v>17</v>
      </c>
      <c r="AF52" s="23"/>
      <c r="AG52" s="24" t="s">
        <v>17</v>
      </c>
      <c r="AH52" s="24" t="s">
        <v>17</v>
      </c>
      <c r="AI52" s="1" t="s">
        <v>17</v>
      </c>
      <c r="AJ52" s="2" t="s">
        <v>17</v>
      </c>
      <c r="AK52" s="2" t="s">
        <v>17</v>
      </c>
      <c r="AL52" s="3"/>
      <c r="AM52" s="2"/>
      <c r="AN52" s="24" t="s">
        <v>17</v>
      </c>
      <c r="AO52" s="24" t="s">
        <v>17</v>
      </c>
      <c r="AP52" s="1" t="s">
        <v>17</v>
      </c>
      <c r="AQ52" s="2" t="s">
        <v>17</v>
      </c>
      <c r="AR52" s="2" t="s">
        <v>17</v>
      </c>
      <c r="AS52" s="3"/>
      <c r="AT52" s="2"/>
      <c r="AU52" s="4"/>
      <c r="AV52" s="2"/>
      <c r="AW52" s="1" t="s">
        <v>17</v>
      </c>
      <c r="AX52" s="2" t="s">
        <v>17</v>
      </c>
      <c r="AY52" s="2" t="s">
        <v>17</v>
      </c>
      <c r="AZ52" s="5"/>
      <c r="BA52" s="6"/>
      <c r="BB52" s="4"/>
      <c r="BC52" s="6"/>
      <c r="BD52" s="6"/>
      <c r="BE52" s="6"/>
      <c r="BF52" s="7"/>
    </row>
    <row r="53" spans="1:58" ht="18" customHeight="1">
      <c r="A53" s="106" t="s">
        <v>15</v>
      </c>
      <c r="B53" s="93" t="s">
        <v>31</v>
      </c>
      <c r="C53" s="28">
        <v>127.095</v>
      </c>
      <c r="D53" s="28">
        <v>127.23</v>
      </c>
      <c r="E53" s="28">
        <v>127.16249999999999</v>
      </c>
      <c r="F53" s="28">
        <v>127.16249999999999</v>
      </c>
      <c r="G53" s="29">
        <v>3336.1179521784402</v>
      </c>
      <c r="H53" s="29">
        <v>788.846642001399</v>
      </c>
      <c r="I53" s="27">
        <f t="shared" si="1"/>
        <v>1</v>
      </c>
      <c r="J53" s="27">
        <f t="shared" si="2"/>
        <v>1</v>
      </c>
      <c r="K53" s="27">
        <f t="shared" si="0"/>
        <v>0</v>
      </c>
      <c r="L53" s="25">
        <v>679.05161150000004</v>
      </c>
      <c r="M53" s="25">
        <v>683.68139012475081</v>
      </c>
      <c r="N53" s="38">
        <v>0.52770951832092905</v>
      </c>
      <c r="O53" s="38"/>
      <c r="P53" s="71"/>
      <c r="Q53" s="53">
        <v>42684</v>
      </c>
      <c r="R53" s="23">
        <v>4</v>
      </c>
      <c r="S53" s="24">
        <v>679.05161150000004</v>
      </c>
      <c r="T53" s="24">
        <v>683.68139012475081</v>
      </c>
      <c r="U53" s="1">
        <v>0.52770951832092905</v>
      </c>
      <c r="V53" s="2"/>
      <c r="W53" s="2"/>
      <c r="X53" s="22" t="s">
        <v>17</v>
      </c>
      <c r="Y53" s="23"/>
      <c r="Z53" s="24" t="s">
        <v>17</v>
      </c>
      <c r="AA53" s="24" t="s">
        <v>17</v>
      </c>
      <c r="AB53" s="1" t="s">
        <v>17</v>
      </c>
      <c r="AC53" s="2" t="s">
        <v>17</v>
      </c>
      <c r="AD53" s="2" t="s">
        <v>17</v>
      </c>
      <c r="AE53" s="22" t="s">
        <v>17</v>
      </c>
      <c r="AF53" s="23"/>
      <c r="AG53" s="24" t="s">
        <v>17</v>
      </c>
      <c r="AH53" s="24" t="s">
        <v>17</v>
      </c>
      <c r="AI53" s="1" t="s">
        <v>17</v>
      </c>
      <c r="AJ53" s="2" t="s">
        <v>17</v>
      </c>
      <c r="AK53" s="2" t="s">
        <v>17</v>
      </c>
      <c r="AL53" s="3"/>
      <c r="AM53" s="2"/>
      <c r="AN53" s="24" t="s">
        <v>17</v>
      </c>
      <c r="AO53" s="24" t="s">
        <v>17</v>
      </c>
      <c r="AP53" s="1" t="s">
        <v>17</v>
      </c>
      <c r="AQ53" s="2" t="s">
        <v>17</v>
      </c>
      <c r="AR53" s="2" t="s">
        <v>17</v>
      </c>
      <c r="AS53" s="3"/>
      <c r="AT53" s="2"/>
      <c r="AU53" s="4"/>
      <c r="AV53" s="2"/>
      <c r="AW53" s="1" t="s">
        <v>17</v>
      </c>
      <c r="AX53" s="2" t="s">
        <v>17</v>
      </c>
      <c r="AY53" s="2" t="s">
        <v>17</v>
      </c>
      <c r="AZ53" s="5"/>
      <c r="BA53" s="6"/>
      <c r="BB53" s="4"/>
      <c r="BC53" s="6"/>
      <c r="BD53" s="6"/>
      <c r="BE53" s="6"/>
      <c r="BF53" s="7"/>
    </row>
    <row r="54" spans="1:58" ht="18" customHeight="1">
      <c r="A54" s="106" t="s">
        <v>15</v>
      </c>
      <c r="B54" s="93" t="s">
        <v>32</v>
      </c>
      <c r="C54" s="28">
        <v>127.73</v>
      </c>
      <c r="D54" s="28">
        <v>127.85</v>
      </c>
      <c r="E54" s="28">
        <v>127.78999999999999</v>
      </c>
      <c r="F54" s="28">
        <v>127.78999999999999</v>
      </c>
      <c r="G54" s="29">
        <v>3356.4869108518601</v>
      </c>
      <c r="H54" s="29">
        <v>820.03221521634998</v>
      </c>
      <c r="I54" s="27">
        <f t="shared" si="1"/>
        <v>1</v>
      </c>
      <c r="J54" s="27">
        <f t="shared" si="2"/>
        <v>1</v>
      </c>
      <c r="K54" s="27">
        <f t="shared" si="0"/>
        <v>1</v>
      </c>
      <c r="L54" s="25">
        <v>678.6568585</v>
      </c>
      <c r="M54" s="25">
        <v>683.13857121772185</v>
      </c>
      <c r="N54" s="38">
        <v>0.51112986622436907</v>
      </c>
      <c r="O54" s="38">
        <v>-8.9103295979565686</v>
      </c>
      <c r="P54" s="71">
        <v>-10.954849062854045</v>
      </c>
      <c r="Q54" s="53">
        <v>43388</v>
      </c>
      <c r="R54" s="23">
        <v>9</v>
      </c>
      <c r="S54" s="24">
        <v>678.6568585</v>
      </c>
      <c r="T54" s="24">
        <v>683.13857121772185</v>
      </c>
      <c r="U54" s="1">
        <v>0.51112986622436907</v>
      </c>
      <c r="V54" s="2">
        <v>-8.9103295979565686</v>
      </c>
      <c r="W54" s="2">
        <v>-10.954849062854045</v>
      </c>
      <c r="X54" s="22" t="s">
        <v>17</v>
      </c>
      <c r="Y54" s="23"/>
      <c r="Z54" s="24" t="s">
        <v>17</v>
      </c>
      <c r="AA54" s="24" t="s">
        <v>17</v>
      </c>
      <c r="AB54" s="1" t="s">
        <v>17</v>
      </c>
      <c r="AC54" s="2" t="s">
        <v>17</v>
      </c>
      <c r="AD54" s="2" t="s">
        <v>17</v>
      </c>
      <c r="AE54" s="22" t="s">
        <v>17</v>
      </c>
      <c r="AF54" s="23"/>
      <c r="AG54" s="24" t="s">
        <v>17</v>
      </c>
      <c r="AH54" s="24" t="s">
        <v>17</v>
      </c>
      <c r="AI54" s="1" t="s">
        <v>17</v>
      </c>
      <c r="AJ54" s="2" t="s">
        <v>17</v>
      </c>
      <c r="AK54" s="2" t="s">
        <v>17</v>
      </c>
      <c r="AL54" s="3"/>
      <c r="AM54" s="2"/>
      <c r="AN54" s="24" t="s">
        <v>17</v>
      </c>
      <c r="AO54" s="24" t="s">
        <v>17</v>
      </c>
      <c r="AP54" s="1" t="s">
        <v>17</v>
      </c>
      <c r="AQ54" s="2" t="s">
        <v>17</v>
      </c>
      <c r="AR54" s="2" t="s">
        <v>17</v>
      </c>
      <c r="AS54" s="3"/>
      <c r="AT54" s="2"/>
      <c r="AU54" s="4"/>
      <c r="AV54" s="2"/>
      <c r="AW54" s="1" t="s">
        <v>17</v>
      </c>
      <c r="AX54" s="2" t="s">
        <v>17</v>
      </c>
      <c r="AY54" s="2" t="s">
        <v>17</v>
      </c>
      <c r="AZ54" s="5"/>
      <c r="BA54" s="6"/>
      <c r="BB54" s="4"/>
      <c r="BC54" s="6"/>
      <c r="BD54" s="6"/>
      <c r="BE54" s="6"/>
      <c r="BF54" s="7"/>
    </row>
    <row r="55" spans="1:58" ht="18" customHeight="1">
      <c r="A55" s="106" t="s">
        <v>15</v>
      </c>
      <c r="B55" s="93" t="s">
        <v>33</v>
      </c>
      <c r="C55" s="28">
        <v>129.08500000000001</v>
      </c>
      <c r="D55" s="28">
        <v>129.22999999999999</v>
      </c>
      <c r="E55" s="28">
        <v>129.1575</v>
      </c>
      <c r="F55" s="28">
        <v>129.1575</v>
      </c>
      <c r="G55" s="29">
        <v>3403.3087389480802</v>
      </c>
      <c r="H55" s="29">
        <v>879.69635501091898</v>
      </c>
      <c r="I55" s="27">
        <f t="shared" si="1"/>
        <v>1</v>
      </c>
      <c r="J55" s="27">
        <f t="shared" si="2"/>
        <v>1</v>
      </c>
      <c r="K55" s="27">
        <f t="shared" si="0"/>
        <v>0</v>
      </c>
      <c r="L55" s="25">
        <v>676.38754999999992</v>
      </c>
      <c r="M55" s="25">
        <v>680.98306919454046</v>
      </c>
      <c r="N55" s="38">
        <v>0.5258676629023018</v>
      </c>
      <c r="O55" s="38"/>
      <c r="P55" s="71"/>
      <c r="Q55" s="53">
        <v>42605</v>
      </c>
      <c r="R55" s="23">
        <v>3</v>
      </c>
      <c r="S55" s="24">
        <v>676.38754999999992</v>
      </c>
      <c r="T55" s="24">
        <v>680.98306919454046</v>
      </c>
      <c r="U55" s="1">
        <v>0.5258676629023018</v>
      </c>
      <c r="V55" s="2"/>
      <c r="W55" s="2"/>
      <c r="X55" s="22" t="s">
        <v>17</v>
      </c>
      <c r="Y55" s="23"/>
      <c r="Z55" s="24" t="s">
        <v>17</v>
      </c>
      <c r="AA55" s="24" t="s">
        <v>17</v>
      </c>
      <c r="AB55" s="1" t="s">
        <v>17</v>
      </c>
      <c r="AC55" s="2" t="s">
        <v>17</v>
      </c>
      <c r="AD55" s="2" t="s">
        <v>17</v>
      </c>
      <c r="AE55" s="22" t="s">
        <v>17</v>
      </c>
      <c r="AF55" s="23"/>
      <c r="AG55" s="24" t="s">
        <v>17</v>
      </c>
      <c r="AH55" s="24" t="s">
        <v>17</v>
      </c>
      <c r="AI55" s="1" t="s">
        <v>17</v>
      </c>
      <c r="AJ55" s="2" t="s">
        <v>17</v>
      </c>
      <c r="AK55" s="2" t="s">
        <v>17</v>
      </c>
      <c r="AL55" s="3"/>
      <c r="AM55" s="2"/>
      <c r="AN55" s="24" t="s">
        <v>17</v>
      </c>
      <c r="AO55" s="24" t="s">
        <v>17</v>
      </c>
      <c r="AP55" s="1" t="s">
        <v>17</v>
      </c>
      <c r="AQ55" s="2" t="s">
        <v>17</v>
      </c>
      <c r="AR55" s="2" t="s">
        <v>17</v>
      </c>
      <c r="AS55" s="3"/>
      <c r="AT55" s="2"/>
      <c r="AU55" s="4"/>
      <c r="AV55" s="2"/>
      <c r="AW55" s="1" t="s">
        <v>17</v>
      </c>
      <c r="AX55" s="2" t="s">
        <v>17</v>
      </c>
      <c r="AY55" s="2" t="s">
        <v>17</v>
      </c>
      <c r="AZ55" s="5"/>
      <c r="BA55" s="6"/>
      <c r="BB55" s="4"/>
      <c r="BC55" s="6"/>
      <c r="BD55" s="6"/>
      <c r="BE55" s="6"/>
      <c r="BF55" s="7"/>
    </row>
    <row r="56" spans="1:58" ht="18" customHeight="1">
      <c r="A56" s="106" t="s">
        <v>15</v>
      </c>
      <c r="B56" s="93" t="s">
        <v>34</v>
      </c>
      <c r="C56" s="28">
        <v>129.61000000000001</v>
      </c>
      <c r="D56" s="28">
        <v>129.72999999999999</v>
      </c>
      <c r="E56" s="28">
        <v>129.67000000000002</v>
      </c>
      <c r="F56" s="28">
        <v>129.67000000000002</v>
      </c>
      <c r="G56" s="29">
        <v>3421.8053713971999</v>
      </c>
      <c r="H56" s="29">
        <v>899.67926579703897</v>
      </c>
      <c r="I56" s="27">
        <f t="shared" si="1"/>
        <v>1</v>
      </c>
      <c r="J56" s="27">
        <f t="shared" si="2"/>
        <v>1</v>
      </c>
      <c r="K56" s="27">
        <f t="shared" si="0"/>
        <v>1</v>
      </c>
      <c r="L56" s="25">
        <v>675.05905600000006</v>
      </c>
      <c r="M56" s="25">
        <v>679.6826629514369</v>
      </c>
      <c r="N56" s="38">
        <v>0.53012297508781003</v>
      </c>
      <c r="O56" s="38">
        <v>-9.1184164908786336</v>
      </c>
      <c r="P56" s="71">
        <v>-11.238908391229874</v>
      </c>
      <c r="Q56" s="53">
        <v>43398</v>
      </c>
      <c r="R56" s="23">
        <v>9</v>
      </c>
      <c r="S56" s="24">
        <v>675.05905600000006</v>
      </c>
      <c r="T56" s="24">
        <v>679.6826629514369</v>
      </c>
      <c r="U56" s="1">
        <v>0.53012297508781003</v>
      </c>
      <c r="V56" s="2">
        <v>-9.1184164908786336</v>
      </c>
      <c r="W56" s="2">
        <v>-11.238908391229874</v>
      </c>
      <c r="X56" s="22" t="s">
        <v>17</v>
      </c>
      <c r="Y56" s="23"/>
      <c r="Z56" s="24" t="s">
        <v>17</v>
      </c>
      <c r="AA56" s="24" t="s">
        <v>17</v>
      </c>
      <c r="AB56" s="1" t="s">
        <v>17</v>
      </c>
      <c r="AC56" s="2" t="s">
        <v>17</v>
      </c>
      <c r="AD56" s="2" t="s">
        <v>17</v>
      </c>
      <c r="AE56" s="22" t="s">
        <v>17</v>
      </c>
      <c r="AF56" s="23"/>
      <c r="AG56" s="24" t="s">
        <v>17</v>
      </c>
      <c r="AH56" s="24" t="s">
        <v>17</v>
      </c>
      <c r="AI56" s="1" t="s">
        <v>17</v>
      </c>
      <c r="AJ56" s="2" t="s">
        <v>17</v>
      </c>
      <c r="AK56" s="2" t="s">
        <v>17</v>
      </c>
      <c r="AL56" s="3"/>
      <c r="AM56" s="2"/>
      <c r="AN56" s="24" t="s">
        <v>17</v>
      </c>
      <c r="AO56" s="24" t="s">
        <v>17</v>
      </c>
      <c r="AP56" s="1" t="s">
        <v>17</v>
      </c>
      <c r="AQ56" s="2" t="s">
        <v>17</v>
      </c>
      <c r="AR56" s="2" t="s">
        <v>17</v>
      </c>
      <c r="AS56" s="3"/>
      <c r="AT56" s="2"/>
      <c r="AU56" s="4"/>
      <c r="AV56" s="2"/>
      <c r="AW56" s="1" t="s">
        <v>17</v>
      </c>
      <c r="AX56" s="2" t="s">
        <v>17</v>
      </c>
      <c r="AY56" s="2" t="s">
        <v>17</v>
      </c>
      <c r="AZ56" s="5"/>
      <c r="BA56" s="6"/>
      <c r="BB56" s="4"/>
      <c r="BC56" s="6"/>
      <c r="BD56" s="6"/>
      <c r="BE56" s="6"/>
      <c r="BF56" s="7"/>
    </row>
    <row r="57" spans="1:58" ht="18" customHeight="1">
      <c r="A57" s="106" t="s">
        <v>15</v>
      </c>
      <c r="B57" s="93" t="s">
        <v>35</v>
      </c>
      <c r="C57" s="28">
        <v>130.58500000000001</v>
      </c>
      <c r="D57" s="28">
        <v>130.72999999999999</v>
      </c>
      <c r="E57" s="28">
        <v>130.6575</v>
      </c>
      <c r="F57" s="28">
        <v>130.6575</v>
      </c>
      <c r="G57" s="29">
        <v>3459.0928753019598</v>
      </c>
      <c r="H57" s="29">
        <v>934.09759881093896</v>
      </c>
      <c r="I57" s="27">
        <f t="shared" si="1"/>
        <v>1</v>
      </c>
      <c r="J57" s="27">
        <f t="shared" si="2"/>
        <v>1</v>
      </c>
      <c r="K57" s="27">
        <f t="shared" si="0"/>
        <v>0</v>
      </c>
      <c r="L57" s="25">
        <v>668.26039300000002</v>
      </c>
      <c r="M57" s="25">
        <v>672.85730811845315</v>
      </c>
      <c r="N57" s="38">
        <v>0.53242476661519156</v>
      </c>
      <c r="O57" s="38"/>
      <c r="P57" s="71"/>
      <c r="Q57" s="53">
        <v>42710</v>
      </c>
      <c r="R57" s="23">
        <v>4</v>
      </c>
      <c r="S57" s="24">
        <v>668.26039300000002</v>
      </c>
      <c r="T57" s="24">
        <v>672.85730811845315</v>
      </c>
      <c r="U57" s="1">
        <v>0.53242476661519156</v>
      </c>
      <c r="V57" s="2"/>
      <c r="W57" s="2"/>
      <c r="X57" s="22" t="s">
        <v>17</v>
      </c>
      <c r="Y57" s="23"/>
      <c r="Z57" s="24" t="s">
        <v>17</v>
      </c>
      <c r="AA57" s="24" t="s">
        <v>17</v>
      </c>
      <c r="AB57" s="1" t="s">
        <v>17</v>
      </c>
      <c r="AC57" s="2" t="s">
        <v>17</v>
      </c>
      <c r="AD57" s="2" t="s">
        <v>17</v>
      </c>
      <c r="AE57" s="22" t="s">
        <v>17</v>
      </c>
      <c r="AF57" s="23"/>
      <c r="AG57" s="24" t="s">
        <v>17</v>
      </c>
      <c r="AH57" s="24" t="s">
        <v>17</v>
      </c>
      <c r="AI57" s="1" t="s">
        <v>17</v>
      </c>
      <c r="AJ57" s="2" t="s">
        <v>17</v>
      </c>
      <c r="AK57" s="2" t="s">
        <v>17</v>
      </c>
      <c r="AL57" s="3"/>
      <c r="AM57" s="2"/>
      <c r="AN57" s="24" t="s">
        <v>17</v>
      </c>
      <c r="AO57" s="24" t="s">
        <v>17</v>
      </c>
      <c r="AP57" s="1" t="s">
        <v>17</v>
      </c>
      <c r="AQ57" s="2" t="s">
        <v>17</v>
      </c>
      <c r="AR57" s="2" t="s">
        <v>17</v>
      </c>
      <c r="AS57" s="3"/>
      <c r="AT57" s="2"/>
      <c r="AU57" s="4"/>
      <c r="AV57" s="2"/>
      <c r="AW57" s="1" t="s">
        <v>17</v>
      </c>
      <c r="AX57" s="2" t="s">
        <v>17</v>
      </c>
      <c r="AY57" s="2" t="s">
        <v>17</v>
      </c>
      <c r="AZ57" s="5"/>
      <c r="BA57" s="6"/>
      <c r="BB57" s="4"/>
      <c r="BC57" s="6"/>
      <c r="BD57" s="6"/>
      <c r="BE57" s="6"/>
      <c r="BF57" s="7"/>
    </row>
    <row r="58" spans="1:58" ht="18" customHeight="1">
      <c r="A58" s="106" t="s">
        <v>15</v>
      </c>
      <c r="B58" s="93" t="s">
        <v>36</v>
      </c>
      <c r="C58" s="28">
        <v>131.22999999999999</v>
      </c>
      <c r="D58" s="28">
        <v>131.35</v>
      </c>
      <c r="E58" s="28">
        <v>131.29</v>
      </c>
      <c r="F58" s="28">
        <v>131.29</v>
      </c>
      <c r="G58" s="29">
        <v>3482.6688049361401</v>
      </c>
      <c r="H58" s="29">
        <v>953.89303062248905</v>
      </c>
      <c r="I58" s="27">
        <f t="shared" si="1"/>
        <v>1</v>
      </c>
      <c r="J58" s="27">
        <f t="shared" si="2"/>
        <v>1</v>
      </c>
      <c r="K58" s="27">
        <f t="shared" si="0"/>
        <v>1</v>
      </c>
      <c r="L58" s="25">
        <v>657.08825249999995</v>
      </c>
      <c r="M58" s="25">
        <v>661.48966417460963</v>
      </c>
      <c r="N58" s="38">
        <v>0.5184486817202405</v>
      </c>
      <c r="O58" s="38">
        <v>-10.062785249245421</v>
      </c>
      <c r="P58" s="71">
        <v>-12.136579976126383</v>
      </c>
      <c r="Q58" s="53">
        <v>43396</v>
      </c>
      <c r="R58" s="23">
        <v>9</v>
      </c>
      <c r="S58" s="24">
        <v>657.08825249999995</v>
      </c>
      <c r="T58" s="24">
        <v>661.48966417460963</v>
      </c>
      <c r="U58" s="1">
        <v>0.5184486817202405</v>
      </c>
      <c r="V58" s="2">
        <v>-10.062785249245421</v>
      </c>
      <c r="W58" s="2">
        <v>-12.136579976126383</v>
      </c>
      <c r="X58" s="22" t="s">
        <v>17</v>
      </c>
      <c r="Y58" s="23"/>
      <c r="Z58" s="24" t="s">
        <v>17</v>
      </c>
      <c r="AA58" s="24" t="s">
        <v>17</v>
      </c>
      <c r="AB58" s="1" t="s">
        <v>17</v>
      </c>
      <c r="AC58" s="2" t="s">
        <v>17</v>
      </c>
      <c r="AD58" s="2" t="s">
        <v>17</v>
      </c>
      <c r="AE58" s="22" t="s">
        <v>17</v>
      </c>
      <c r="AF58" s="23"/>
      <c r="AG58" s="24" t="s">
        <v>17</v>
      </c>
      <c r="AH58" s="24" t="s">
        <v>17</v>
      </c>
      <c r="AI58" s="1" t="s">
        <v>17</v>
      </c>
      <c r="AJ58" s="2" t="s">
        <v>17</v>
      </c>
      <c r="AK58" s="2" t="s">
        <v>17</v>
      </c>
      <c r="AL58" s="3"/>
      <c r="AM58" s="2"/>
      <c r="AN58" s="24" t="s">
        <v>17</v>
      </c>
      <c r="AO58" s="24" t="s">
        <v>17</v>
      </c>
      <c r="AP58" s="1" t="s">
        <v>17</v>
      </c>
      <c r="AQ58" s="2" t="s">
        <v>17</v>
      </c>
      <c r="AR58" s="2" t="s">
        <v>17</v>
      </c>
      <c r="AS58" s="3"/>
      <c r="AT58" s="2"/>
      <c r="AU58" s="4"/>
      <c r="AV58" s="2"/>
      <c r="AW58" s="1" t="s">
        <v>17</v>
      </c>
      <c r="AX58" s="2" t="s">
        <v>17</v>
      </c>
      <c r="AY58" s="2" t="s">
        <v>17</v>
      </c>
      <c r="AZ58" s="5"/>
      <c r="BA58" s="6"/>
      <c r="BB58" s="4"/>
      <c r="BC58" s="6"/>
      <c r="BD58" s="6"/>
      <c r="BE58" s="6"/>
      <c r="BF58" s="7"/>
    </row>
    <row r="59" spans="1:58" ht="18" customHeight="1">
      <c r="A59" s="106" t="s">
        <v>15</v>
      </c>
      <c r="B59" s="93" t="s">
        <v>37</v>
      </c>
      <c r="C59" s="28">
        <v>132.72999999999999</v>
      </c>
      <c r="D59" s="28">
        <v>132.85</v>
      </c>
      <c r="E59" s="28">
        <v>132.79</v>
      </c>
      <c r="F59" s="28">
        <v>132.79</v>
      </c>
      <c r="G59" s="29">
        <v>3535.6897172173499</v>
      </c>
      <c r="H59" s="29">
        <v>999.91853698564898</v>
      </c>
      <c r="I59" s="27">
        <f t="shared" si="1"/>
        <v>1</v>
      </c>
      <c r="J59" s="27">
        <f t="shared" si="2"/>
        <v>1</v>
      </c>
      <c r="K59" s="27">
        <f t="shared" si="0"/>
        <v>1</v>
      </c>
      <c r="L59" s="25">
        <v>658.095867</v>
      </c>
      <c r="M59" s="25">
        <v>662.44121825007505</v>
      </c>
      <c r="N59" s="38">
        <v>0.51106155349223137</v>
      </c>
      <c r="O59" s="38">
        <v>-9.0324036049804768</v>
      </c>
      <c r="P59" s="71">
        <v>-11.076649818949402</v>
      </c>
      <c r="Q59" s="53">
        <v>43454</v>
      </c>
      <c r="R59" s="23">
        <v>12</v>
      </c>
      <c r="S59" s="24">
        <v>658.095867</v>
      </c>
      <c r="T59" s="24">
        <v>662.44121825007505</v>
      </c>
      <c r="U59" s="1">
        <v>0.51106155349223137</v>
      </c>
      <c r="V59" s="2">
        <v>-9.0324036049804768</v>
      </c>
      <c r="W59" s="2">
        <v>-11.076649818949402</v>
      </c>
      <c r="X59" s="22" t="s">
        <v>17</v>
      </c>
      <c r="Y59" s="23"/>
      <c r="Z59" s="24" t="s">
        <v>17</v>
      </c>
      <c r="AA59" s="24" t="s">
        <v>17</v>
      </c>
      <c r="AB59" s="1" t="s">
        <v>17</v>
      </c>
      <c r="AC59" s="2" t="s">
        <v>17</v>
      </c>
      <c r="AD59" s="2" t="s">
        <v>17</v>
      </c>
      <c r="AE59" s="22" t="s">
        <v>17</v>
      </c>
      <c r="AF59" s="23"/>
      <c r="AG59" s="24" t="s">
        <v>17</v>
      </c>
      <c r="AH59" s="24" t="s">
        <v>17</v>
      </c>
      <c r="AI59" s="1" t="s">
        <v>17</v>
      </c>
      <c r="AJ59" s="2" t="s">
        <v>17</v>
      </c>
      <c r="AK59" s="2" t="s">
        <v>17</v>
      </c>
      <c r="AL59" s="3"/>
      <c r="AM59" s="2"/>
      <c r="AN59" s="24" t="s">
        <v>17</v>
      </c>
      <c r="AO59" s="24" t="s">
        <v>17</v>
      </c>
      <c r="AP59" s="1" t="s">
        <v>17</v>
      </c>
      <c r="AQ59" s="2" t="s">
        <v>17</v>
      </c>
      <c r="AR59" s="2" t="s">
        <v>17</v>
      </c>
      <c r="AS59" s="3"/>
      <c r="AT59" s="2"/>
      <c r="AU59" s="4"/>
      <c r="AV59" s="2"/>
      <c r="AW59" s="1" t="s">
        <v>17</v>
      </c>
      <c r="AX59" s="2" t="s">
        <v>17</v>
      </c>
      <c r="AY59" s="2" t="s">
        <v>17</v>
      </c>
      <c r="AZ59" s="5"/>
      <c r="BA59" s="6"/>
      <c r="BB59" s="4"/>
      <c r="BC59" s="6"/>
      <c r="BD59" s="6"/>
      <c r="BE59" s="6"/>
      <c r="BF59" s="7"/>
    </row>
    <row r="60" spans="1:58" ht="18" customHeight="1">
      <c r="A60" s="106" t="s">
        <v>15</v>
      </c>
      <c r="B60" s="93" t="s">
        <v>38</v>
      </c>
      <c r="C60" s="28">
        <v>133.51</v>
      </c>
      <c r="D60" s="28">
        <v>133.72999999999999</v>
      </c>
      <c r="E60" s="28">
        <v>133.62</v>
      </c>
      <c r="F60" s="28">
        <v>133.62</v>
      </c>
      <c r="G60" s="29">
        <v>3563.2698659718599</v>
      </c>
      <c r="H60" s="29">
        <v>1028.6140970691199</v>
      </c>
      <c r="I60" s="27">
        <f t="shared" si="1"/>
        <v>1</v>
      </c>
      <c r="J60" s="27">
        <f t="shared" si="2"/>
        <v>1</v>
      </c>
      <c r="K60" s="27">
        <f t="shared" si="0"/>
        <v>1</v>
      </c>
      <c r="L60" s="25">
        <v>648.82329549999997</v>
      </c>
      <c r="M60" s="25">
        <v>653.03472387167392</v>
      </c>
      <c r="N60" s="38">
        <v>0.50238940329783155</v>
      </c>
      <c r="O60" s="38">
        <v>-9.9691193269683112</v>
      </c>
      <c r="P60" s="71">
        <v>-11.978676940159637</v>
      </c>
      <c r="Q60" s="53">
        <v>42682</v>
      </c>
      <c r="R60" s="23">
        <v>5</v>
      </c>
      <c r="S60" s="24">
        <v>648.82329549999997</v>
      </c>
      <c r="T60" s="24">
        <v>653.03472387167392</v>
      </c>
      <c r="U60" s="1">
        <v>0.50238940329783155</v>
      </c>
      <c r="V60" s="2">
        <v>-9.9691193269683112</v>
      </c>
      <c r="W60" s="2">
        <v>-11.978676940159637</v>
      </c>
      <c r="X60" s="22" t="s">
        <v>17</v>
      </c>
      <c r="Y60" s="23"/>
      <c r="Z60" s="24" t="s">
        <v>17</v>
      </c>
      <c r="AA60" s="24" t="s">
        <v>17</v>
      </c>
      <c r="AB60" s="1" t="s">
        <v>17</v>
      </c>
      <c r="AC60" s="2" t="s">
        <v>17</v>
      </c>
      <c r="AD60" s="2" t="s">
        <v>17</v>
      </c>
      <c r="AE60" s="22" t="s">
        <v>17</v>
      </c>
      <c r="AF60" s="23"/>
      <c r="AG60" s="24" t="s">
        <v>17</v>
      </c>
      <c r="AH60" s="24" t="s">
        <v>17</v>
      </c>
      <c r="AI60" s="1" t="s">
        <v>17</v>
      </c>
      <c r="AJ60" s="2" t="s">
        <v>17</v>
      </c>
      <c r="AK60" s="2" t="s">
        <v>17</v>
      </c>
      <c r="AL60" s="3"/>
      <c r="AM60" s="2"/>
      <c r="AN60" s="24" t="s">
        <v>17</v>
      </c>
      <c r="AO60" s="24" t="s">
        <v>17</v>
      </c>
      <c r="AP60" s="1" t="s">
        <v>17</v>
      </c>
      <c r="AQ60" s="2" t="s">
        <v>17</v>
      </c>
      <c r="AR60" s="2" t="s">
        <v>17</v>
      </c>
      <c r="AS60" s="3"/>
      <c r="AT60" s="2"/>
      <c r="AU60" s="4"/>
      <c r="AV60" s="2"/>
      <c r="AW60" s="1" t="s">
        <v>17</v>
      </c>
      <c r="AX60" s="2" t="s">
        <v>17</v>
      </c>
      <c r="AY60" s="2" t="s">
        <v>17</v>
      </c>
      <c r="AZ60" s="5"/>
      <c r="BA60" s="6"/>
      <c r="BB60" s="4"/>
      <c r="BC60" s="6"/>
      <c r="BD60" s="6"/>
      <c r="BE60" s="6"/>
      <c r="BF60" s="7"/>
    </row>
    <row r="61" spans="1:58" ht="18" customHeight="1">
      <c r="A61" s="106" t="s">
        <v>15</v>
      </c>
      <c r="B61" s="93" t="s">
        <v>39</v>
      </c>
      <c r="C61" s="28">
        <v>134.11000000000001</v>
      </c>
      <c r="D61" s="28">
        <v>134.22999999999999</v>
      </c>
      <c r="E61" s="28">
        <v>134.17000000000002</v>
      </c>
      <c r="F61" s="28">
        <v>134.17000000000002</v>
      </c>
      <c r="G61" s="29">
        <v>3581.3144890377598</v>
      </c>
      <c r="H61" s="29">
        <v>1047.9050738830899</v>
      </c>
      <c r="I61" s="27">
        <f t="shared" si="1"/>
        <v>1</v>
      </c>
      <c r="J61" s="27">
        <f t="shared" si="2"/>
        <v>1</v>
      </c>
      <c r="K61" s="27">
        <f t="shared" si="0"/>
        <v>1</v>
      </c>
      <c r="L61" s="25">
        <v>643.62158550000004</v>
      </c>
      <c r="M61" s="25">
        <v>647.95933571642092</v>
      </c>
      <c r="N61" s="38">
        <v>0.52164064786097697</v>
      </c>
      <c r="O61" s="38">
        <v>-7.4565793127354674</v>
      </c>
      <c r="P61" s="71">
        <v>-9.5431419041793752</v>
      </c>
      <c r="Q61" s="53">
        <v>43451</v>
      </c>
      <c r="R61" s="23">
        <v>12</v>
      </c>
      <c r="S61" s="24">
        <v>643.62158550000004</v>
      </c>
      <c r="T61" s="24">
        <v>647.95933571642092</v>
      </c>
      <c r="U61" s="1">
        <v>0.52164064786097697</v>
      </c>
      <c r="V61" s="2">
        <v>-7.4565793127354674</v>
      </c>
      <c r="W61" s="2">
        <v>-9.5431419041793752</v>
      </c>
      <c r="X61" s="22" t="s">
        <v>17</v>
      </c>
      <c r="Y61" s="23"/>
      <c r="Z61" s="24" t="s">
        <v>17</v>
      </c>
      <c r="AA61" s="24" t="s">
        <v>17</v>
      </c>
      <c r="AB61" s="1" t="s">
        <v>17</v>
      </c>
      <c r="AC61" s="2" t="s">
        <v>17</v>
      </c>
      <c r="AD61" s="2" t="s">
        <v>17</v>
      </c>
      <c r="AE61" s="22" t="s">
        <v>17</v>
      </c>
      <c r="AF61" s="23"/>
      <c r="AG61" s="24" t="s">
        <v>17</v>
      </c>
      <c r="AH61" s="24" t="s">
        <v>17</v>
      </c>
      <c r="AI61" s="1" t="s">
        <v>17</v>
      </c>
      <c r="AJ61" s="2" t="s">
        <v>17</v>
      </c>
      <c r="AK61" s="2" t="s">
        <v>17</v>
      </c>
      <c r="AL61" s="3"/>
      <c r="AM61" s="2"/>
      <c r="AN61" s="24" t="s">
        <v>17</v>
      </c>
      <c r="AO61" s="24" t="s">
        <v>17</v>
      </c>
      <c r="AP61" s="1" t="s">
        <v>17</v>
      </c>
      <c r="AQ61" s="2" t="s">
        <v>17</v>
      </c>
      <c r="AR61" s="2" t="s">
        <v>17</v>
      </c>
      <c r="AS61" s="3"/>
      <c r="AT61" s="2"/>
      <c r="AU61" s="4"/>
      <c r="AV61" s="2"/>
      <c r="AW61" s="1" t="s">
        <v>17</v>
      </c>
      <c r="AX61" s="2" t="s">
        <v>17</v>
      </c>
      <c r="AY61" s="2" t="s">
        <v>17</v>
      </c>
      <c r="AZ61" s="5"/>
      <c r="BA61" s="6"/>
      <c r="BB61" s="4"/>
      <c r="BC61" s="6"/>
      <c r="BD61" s="6"/>
      <c r="BE61" s="6"/>
      <c r="BF61" s="7"/>
    </row>
    <row r="62" spans="1:58" ht="18" customHeight="1">
      <c r="A62" s="106" t="s">
        <v>15</v>
      </c>
      <c r="B62" s="93" t="s">
        <v>40</v>
      </c>
      <c r="C62" s="28">
        <v>135.13999999999999</v>
      </c>
      <c r="D62" s="28">
        <v>135.26</v>
      </c>
      <c r="E62" s="28">
        <v>135.19999999999999</v>
      </c>
      <c r="F62" s="28">
        <v>135.19999999999999</v>
      </c>
      <c r="G62" s="29">
        <v>3615.0987628538001</v>
      </c>
      <c r="H62" s="29">
        <v>1082.2757105092001</v>
      </c>
      <c r="I62" s="27">
        <f t="shared" si="1"/>
        <v>1</v>
      </c>
      <c r="J62" s="27">
        <f t="shared" si="2"/>
        <v>1</v>
      </c>
      <c r="K62" s="27">
        <f t="shared" si="0"/>
        <v>0</v>
      </c>
      <c r="L62" s="25">
        <v>649.04854649999993</v>
      </c>
      <c r="M62" s="25">
        <v>653.39561634183792</v>
      </c>
      <c r="N62" s="38">
        <v>0.51839036677381323</v>
      </c>
      <c r="O62" s="38"/>
      <c r="P62" s="71"/>
      <c r="Q62" s="53">
        <v>42605</v>
      </c>
      <c r="R62" s="23">
        <v>3</v>
      </c>
      <c r="S62" s="24">
        <v>649.04854649999993</v>
      </c>
      <c r="T62" s="24">
        <v>653.39561634183792</v>
      </c>
      <c r="U62" s="1">
        <v>0.51839036677381323</v>
      </c>
      <c r="V62" s="2"/>
      <c r="W62" s="2"/>
      <c r="X62" s="22" t="s">
        <v>17</v>
      </c>
      <c r="Y62" s="23"/>
      <c r="Z62" s="24" t="s">
        <v>17</v>
      </c>
      <c r="AA62" s="24" t="s">
        <v>17</v>
      </c>
      <c r="AB62" s="1" t="s">
        <v>17</v>
      </c>
      <c r="AC62" s="2" t="s">
        <v>17</v>
      </c>
      <c r="AD62" s="2" t="s">
        <v>17</v>
      </c>
      <c r="AE62" s="22" t="s">
        <v>17</v>
      </c>
      <c r="AF62" s="23"/>
      <c r="AG62" s="24" t="s">
        <v>17</v>
      </c>
      <c r="AH62" s="24" t="s">
        <v>17</v>
      </c>
      <c r="AI62" s="1" t="s">
        <v>17</v>
      </c>
      <c r="AJ62" s="2" t="s">
        <v>17</v>
      </c>
      <c r="AK62" s="2" t="s">
        <v>17</v>
      </c>
      <c r="AL62" s="3"/>
      <c r="AM62" s="2"/>
      <c r="AN62" s="24" t="s">
        <v>17</v>
      </c>
      <c r="AO62" s="24" t="s">
        <v>17</v>
      </c>
      <c r="AP62" s="1" t="s">
        <v>17</v>
      </c>
      <c r="AQ62" s="2" t="s">
        <v>17</v>
      </c>
      <c r="AR62" s="2" t="s">
        <v>17</v>
      </c>
      <c r="AS62" s="3"/>
      <c r="AT62" s="2"/>
      <c r="AU62" s="4"/>
      <c r="AV62" s="2"/>
      <c r="AW62" s="1" t="s">
        <v>17</v>
      </c>
      <c r="AX62" s="2" t="s">
        <v>17</v>
      </c>
      <c r="AY62" s="2" t="s">
        <v>17</v>
      </c>
      <c r="AZ62" s="5"/>
      <c r="BA62" s="6"/>
      <c r="BB62" s="4"/>
      <c r="BC62" s="6"/>
      <c r="BD62" s="6"/>
      <c r="BE62" s="6"/>
      <c r="BF62" s="7"/>
    </row>
    <row r="63" spans="1:58" ht="18" customHeight="1">
      <c r="A63" s="106" t="s">
        <v>15</v>
      </c>
      <c r="B63" s="93" t="s">
        <v>41</v>
      </c>
      <c r="C63" s="28">
        <v>135.26</v>
      </c>
      <c r="D63" s="28">
        <v>135.38</v>
      </c>
      <c r="E63" s="28">
        <v>135.32</v>
      </c>
      <c r="F63" s="28">
        <v>135.32</v>
      </c>
      <c r="G63" s="29">
        <v>3619.0299687660799</v>
      </c>
      <c r="H63" s="29">
        <v>1086.13753472332</v>
      </c>
      <c r="I63" s="27">
        <f t="shared" si="1"/>
        <v>1</v>
      </c>
      <c r="J63" s="27">
        <f t="shared" si="2"/>
        <v>1</v>
      </c>
      <c r="K63" s="27">
        <f t="shared" si="0"/>
        <v>1</v>
      </c>
      <c r="L63" s="25">
        <v>648.46078899999998</v>
      </c>
      <c r="M63" s="25">
        <v>652.79337230452961</v>
      </c>
      <c r="N63" s="38">
        <v>0.51713113690898815</v>
      </c>
      <c r="O63" s="38">
        <v>-7.2582507245985139</v>
      </c>
      <c r="P63" s="71">
        <v>-9.3267752722344675</v>
      </c>
      <c r="Q63" s="53">
        <v>43454</v>
      </c>
      <c r="R63" s="23">
        <v>10</v>
      </c>
      <c r="S63" s="24">
        <v>648.46078899999998</v>
      </c>
      <c r="T63" s="24">
        <v>652.79337230452961</v>
      </c>
      <c r="U63" s="1">
        <v>0.51713113690898815</v>
      </c>
      <c r="V63" s="2">
        <v>-7.2582507245985139</v>
      </c>
      <c r="W63" s="2">
        <v>-9.3267752722344675</v>
      </c>
      <c r="X63" s="22" t="s">
        <v>17</v>
      </c>
      <c r="Y63" s="23"/>
      <c r="Z63" s="24" t="s">
        <v>17</v>
      </c>
      <c r="AA63" s="24" t="s">
        <v>17</v>
      </c>
      <c r="AB63" s="1" t="s">
        <v>17</v>
      </c>
      <c r="AC63" s="2" t="s">
        <v>17</v>
      </c>
      <c r="AD63" s="2" t="s">
        <v>17</v>
      </c>
      <c r="AE63" s="22" t="s">
        <v>17</v>
      </c>
      <c r="AF63" s="23"/>
      <c r="AG63" s="24" t="s">
        <v>17</v>
      </c>
      <c r="AH63" s="24" t="s">
        <v>17</v>
      </c>
      <c r="AI63" s="1" t="s">
        <v>17</v>
      </c>
      <c r="AJ63" s="2" t="s">
        <v>17</v>
      </c>
      <c r="AK63" s="2" t="s">
        <v>17</v>
      </c>
      <c r="AL63" s="3"/>
      <c r="AM63" s="2"/>
      <c r="AN63" s="24" t="s">
        <v>17</v>
      </c>
      <c r="AO63" s="24" t="s">
        <v>17</v>
      </c>
      <c r="AP63" s="1" t="s">
        <v>17</v>
      </c>
      <c r="AQ63" s="2" t="s">
        <v>17</v>
      </c>
      <c r="AR63" s="2" t="s">
        <v>17</v>
      </c>
      <c r="AS63" s="3"/>
      <c r="AT63" s="2"/>
      <c r="AU63" s="4"/>
      <c r="AV63" s="2"/>
      <c r="AW63" s="1" t="s">
        <v>17</v>
      </c>
      <c r="AX63" s="2" t="s">
        <v>17</v>
      </c>
      <c r="AY63" s="2" t="s">
        <v>17</v>
      </c>
      <c r="AZ63" s="5"/>
      <c r="BA63" s="6"/>
      <c r="BB63" s="4"/>
      <c r="BC63" s="6"/>
      <c r="BD63" s="6"/>
      <c r="BE63" s="6"/>
      <c r="BF63" s="7"/>
    </row>
    <row r="64" spans="1:58" ht="18" customHeight="1">
      <c r="A64" s="106" t="s">
        <v>15</v>
      </c>
      <c r="B64" s="93" t="s">
        <v>42</v>
      </c>
      <c r="C64" s="28">
        <v>136.28</v>
      </c>
      <c r="D64" s="28">
        <v>136.4</v>
      </c>
      <c r="E64" s="28">
        <v>136.34</v>
      </c>
      <c r="F64" s="28">
        <v>136.34</v>
      </c>
      <c r="G64" s="29">
        <v>3652.4667042956999</v>
      </c>
      <c r="H64" s="29">
        <v>1118.8080797735399</v>
      </c>
      <c r="I64" s="27">
        <f t="shared" si="1"/>
        <v>1</v>
      </c>
      <c r="J64" s="27">
        <f t="shared" si="2"/>
        <v>1</v>
      </c>
      <c r="K64" s="27">
        <f t="shared" si="0"/>
        <v>1</v>
      </c>
      <c r="L64" s="25">
        <v>645.46638949999999</v>
      </c>
      <c r="M64" s="25">
        <v>649.90377886087163</v>
      </c>
      <c r="N64" s="38">
        <v>0.53209771183904131</v>
      </c>
      <c r="O64" s="38">
        <v>-10.763336638994648</v>
      </c>
      <c r="P64" s="71">
        <v>-12.891727486350813</v>
      </c>
      <c r="Q64" s="53">
        <v>42711</v>
      </c>
      <c r="R64" s="23">
        <v>8</v>
      </c>
      <c r="S64" s="24">
        <v>645.46638949999999</v>
      </c>
      <c r="T64" s="24">
        <v>649.90377886087163</v>
      </c>
      <c r="U64" s="1">
        <v>0.53209771183904131</v>
      </c>
      <c r="V64" s="2">
        <v>-10.763336638994648</v>
      </c>
      <c r="W64" s="2">
        <v>-12.891727486350813</v>
      </c>
      <c r="X64" s="22" t="s">
        <v>17</v>
      </c>
      <c r="Y64" s="23"/>
      <c r="Z64" s="24" t="s">
        <v>17</v>
      </c>
      <c r="AA64" s="24" t="s">
        <v>17</v>
      </c>
      <c r="AB64" s="1" t="s">
        <v>17</v>
      </c>
      <c r="AC64" s="2" t="s">
        <v>17</v>
      </c>
      <c r="AD64" s="2" t="s">
        <v>17</v>
      </c>
      <c r="AE64" s="22" t="s">
        <v>17</v>
      </c>
      <c r="AF64" s="23"/>
      <c r="AG64" s="24" t="s">
        <v>17</v>
      </c>
      <c r="AH64" s="24" t="s">
        <v>17</v>
      </c>
      <c r="AI64" s="1" t="s">
        <v>17</v>
      </c>
      <c r="AJ64" s="2" t="s">
        <v>17</v>
      </c>
      <c r="AK64" s="2" t="s">
        <v>17</v>
      </c>
      <c r="AL64" s="3"/>
      <c r="AM64" s="2"/>
      <c r="AN64" s="24" t="s">
        <v>17</v>
      </c>
      <c r="AO64" s="24" t="s">
        <v>17</v>
      </c>
      <c r="AP64" s="1" t="s">
        <v>17</v>
      </c>
      <c r="AQ64" s="2" t="s">
        <v>17</v>
      </c>
      <c r="AR64" s="2" t="s">
        <v>17</v>
      </c>
      <c r="AS64" s="3"/>
      <c r="AT64" s="2"/>
      <c r="AU64" s="4"/>
      <c r="AV64" s="2"/>
      <c r="AW64" s="1" t="s">
        <v>17</v>
      </c>
      <c r="AX64" s="2" t="s">
        <v>17</v>
      </c>
      <c r="AY64" s="2" t="s">
        <v>17</v>
      </c>
      <c r="AZ64" s="5"/>
      <c r="BA64" s="6"/>
      <c r="BB64" s="4"/>
      <c r="BC64" s="6"/>
      <c r="BD64" s="6"/>
      <c r="BE64" s="6"/>
      <c r="BF64" s="7"/>
    </row>
    <row r="65" spans="1:58" ht="18" customHeight="1">
      <c r="A65" s="106" t="s">
        <v>15</v>
      </c>
      <c r="B65" s="93" t="s">
        <v>43</v>
      </c>
      <c r="C65" s="28">
        <v>137.16</v>
      </c>
      <c r="D65" s="28">
        <v>137.28</v>
      </c>
      <c r="E65" s="28">
        <v>137.22</v>
      </c>
      <c r="F65" s="28">
        <v>137.22</v>
      </c>
      <c r="G65" s="29">
        <v>3681.3969834352201</v>
      </c>
      <c r="H65" s="29">
        <v>1147.6246874599999</v>
      </c>
      <c r="I65" s="27">
        <f t="shared" si="1"/>
        <v>1</v>
      </c>
      <c r="J65" s="27">
        <f t="shared" si="2"/>
        <v>0</v>
      </c>
      <c r="K65" s="27">
        <f t="shared" si="0"/>
        <v>0</v>
      </c>
      <c r="L65" s="25">
        <v>647.99762299999998</v>
      </c>
      <c r="M65" s="25">
        <v>652.45241383798259</v>
      </c>
      <c r="N65" s="38"/>
      <c r="O65" s="38"/>
      <c r="P65" s="71"/>
      <c r="Q65" s="53">
        <v>44147</v>
      </c>
      <c r="R65" s="23">
        <v>3</v>
      </c>
      <c r="S65" s="24">
        <v>647.99762299999998</v>
      </c>
      <c r="T65" s="24">
        <v>652.45241383798259</v>
      </c>
      <c r="U65" s="1"/>
      <c r="V65" s="2"/>
      <c r="W65" s="2"/>
      <c r="X65" s="22" t="s">
        <v>17</v>
      </c>
      <c r="Y65" s="23"/>
      <c r="Z65" s="24" t="s">
        <v>17</v>
      </c>
      <c r="AA65" s="24" t="s">
        <v>17</v>
      </c>
      <c r="AB65" s="1" t="s">
        <v>17</v>
      </c>
      <c r="AC65" s="2" t="s">
        <v>17</v>
      </c>
      <c r="AD65" s="2" t="s">
        <v>17</v>
      </c>
      <c r="AE65" s="22" t="s">
        <v>17</v>
      </c>
      <c r="AF65" s="23"/>
      <c r="AG65" s="24" t="s">
        <v>17</v>
      </c>
      <c r="AH65" s="24" t="s">
        <v>17</v>
      </c>
      <c r="AI65" s="1" t="s">
        <v>17</v>
      </c>
      <c r="AJ65" s="2" t="s">
        <v>17</v>
      </c>
      <c r="AK65" s="2" t="s">
        <v>17</v>
      </c>
      <c r="AL65" s="3"/>
      <c r="AM65" s="2"/>
      <c r="AN65" s="24" t="s">
        <v>17</v>
      </c>
      <c r="AO65" s="24" t="s">
        <v>17</v>
      </c>
      <c r="AP65" s="1" t="s">
        <v>17</v>
      </c>
      <c r="AQ65" s="2" t="s">
        <v>17</v>
      </c>
      <c r="AR65" s="2" t="s">
        <v>17</v>
      </c>
      <c r="AS65" s="3"/>
      <c r="AT65" s="2"/>
      <c r="AU65" s="4"/>
      <c r="AV65" s="2"/>
      <c r="AW65" s="1" t="s">
        <v>17</v>
      </c>
      <c r="AX65" s="2" t="s">
        <v>17</v>
      </c>
      <c r="AY65" s="2" t="s">
        <v>17</v>
      </c>
      <c r="AZ65" s="5"/>
      <c r="BA65" s="6"/>
      <c r="BB65" s="4"/>
      <c r="BC65" s="6"/>
      <c r="BD65" s="6"/>
      <c r="BE65" s="6"/>
      <c r="BF65" s="7"/>
    </row>
    <row r="66" spans="1:58" ht="18" customHeight="1">
      <c r="A66" s="106" t="s">
        <v>15</v>
      </c>
      <c r="B66" s="93" t="s">
        <v>44</v>
      </c>
      <c r="C66" s="28">
        <v>137.78</v>
      </c>
      <c r="D66" s="28">
        <v>137.9</v>
      </c>
      <c r="E66" s="28">
        <v>137.84</v>
      </c>
      <c r="F66" s="28">
        <v>137.84</v>
      </c>
      <c r="G66" s="29">
        <v>3701.8765413668398</v>
      </c>
      <c r="H66" s="29">
        <v>1169.8245785490001</v>
      </c>
      <c r="I66" s="27">
        <f t="shared" si="1"/>
        <v>2</v>
      </c>
      <c r="J66" s="27">
        <f t="shared" si="2"/>
        <v>2</v>
      </c>
      <c r="K66" s="27">
        <f t="shared" si="0"/>
        <v>0</v>
      </c>
      <c r="L66" s="25">
        <v>638.58354499999996</v>
      </c>
      <c r="M66" s="25">
        <v>642.87559483978669</v>
      </c>
      <c r="N66" s="38">
        <v>0.52022244546767737</v>
      </c>
      <c r="O66" s="38"/>
      <c r="P66" s="71"/>
      <c r="Q66" s="53">
        <v>43139</v>
      </c>
      <c r="R66" s="23">
        <v>3</v>
      </c>
      <c r="S66" s="24">
        <v>636.78046900000004</v>
      </c>
      <c r="T66" s="24">
        <v>641.07638508678406</v>
      </c>
      <c r="U66" s="1">
        <v>0.52215992998227989</v>
      </c>
      <c r="V66" s="2"/>
      <c r="W66" s="2"/>
      <c r="X66" s="22">
        <v>43139</v>
      </c>
      <c r="Y66" s="23">
        <v>3</v>
      </c>
      <c r="Z66" s="24">
        <v>640.38662099999999</v>
      </c>
      <c r="AA66" s="24">
        <v>644.67480459278931</v>
      </c>
      <c r="AB66" s="1">
        <v>0.51828496095307486</v>
      </c>
      <c r="AC66" s="2"/>
      <c r="AD66" s="2"/>
      <c r="AE66" s="22" t="s">
        <v>17</v>
      </c>
      <c r="AF66" s="23"/>
      <c r="AG66" s="24" t="s">
        <v>17</v>
      </c>
      <c r="AH66" s="24" t="s">
        <v>17</v>
      </c>
      <c r="AI66" s="1" t="s">
        <v>17</v>
      </c>
      <c r="AJ66" s="2" t="s">
        <v>17</v>
      </c>
      <c r="AK66" s="2" t="s">
        <v>17</v>
      </c>
      <c r="AL66" s="3"/>
      <c r="AM66" s="2"/>
      <c r="AN66" s="24" t="s">
        <v>17</v>
      </c>
      <c r="AO66" s="24" t="s">
        <v>17</v>
      </c>
      <c r="AP66" s="1" t="s">
        <v>17</v>
      </c>
      <c r="AQ66" s="2" t="s">
        <v>17</v>
      </c>
      <c r="AR66" s="2" t="s">
        <v>17</v>
      </c>
      <c r="AS66" s="3"/>
      <c r="AT66" s="2"/>
      <c r="AU66" s="4"/>
      <c r="AV66" s="2"/>
      <c r="AW66" s="1" t="s">
        <v>17</v>
      </c>
      <c r="AX66" s="2" t="s">
        <v>17</v>
      </c>
      <c r="AY66" s="2" t="s">
        <v>17</v>
      </c>
      <c r="AZ66" s="5"/>
      <c r="BA66" s="6"/>
      <c r="BB66" s="4"/>
      <c r="BC66" s="6"/>
      <c r="BD66" s="6"/>
      <c r="BE66" s="6"/>
      <c r="BF66" s="7"/>
    </row>
    <row r="67" spans="1:58" ht="18" customHeight="1">
      <c r="A67" s="106" t="s">
        <v>15</v>
      </c>
      <c r="B67" s="93" t="s">
        <v>45</v>
      </c>
      <c r="C67" s="28">
        <v>138.62</v>
      </c>
      <c r="D67" s="28">
        <v>138.82</v>
      </c>
      <c r="E67" s="28">
        <v>138.72</v>
      </c>
      <c r="F67" s="28">
        <v>138.72</v>
      </c>
      <c r="G67" s="29">
        <v>3731.82634718604</v>
      </c>
      <c r="H67" s="29">
        <v>1201.64125800956</v>
      </c>
      <c r="I67" s="27">
        <f t="shared" si="1"/>
        <v>1</v>
      </c>
      <c r="J67" s="27">
        <f t="shared" si="2"/>
        <v>1</v>
      </c>
      <c r="K67" s="27">
        <f t="shared" si="0"/>
        <v>1</v>
      </c>
      <c r="L67" s="25">
        <v>641.95694049999997</v>
      </c>
      <c r="M67" s="25">
        <v>646.26967846947525</v>
      </c>
      <c r="N67" s="38">
        <v>0.51997762988809093</v>
      </c>
      <c r="O67" s="38">
        <v>-8.8569423747288933</v>
      </c>
      <c r="P67" s="71">
        <v>-10.936852894281257</v>
      </c>
      <c r="Q67" s="53">
        <v>42683</v>
      </c>
      <c r="R67" s="23">
        <v>5</v>
      </c>
      <c r="S67" s="24">
        <v>641.95694049999997</v>
      </c>
      <c r="T67" s="24">
        <v>646.26967846947525</v>
      </c>
      <c r="U67" s="1">
        <v>0.51997762988809093</v>
      </c>
      <c r="V67" s="2">
        <v>-8.8569423747288933</v>
      </c>
      <c r="W67" s="2">
        <v>-10.936852894281257</v>
      </c>
      <c r="X67" s="22" t="s">
        <v>17</v>
      </c>
      <c r="Y67" s="23"/>
      <c r="Z67" s="24" t="s">
        <v>17</v>
      </c>
      <c r="AA67" s="24" t="s">
        <v>17</v>
      </c>
      <c r="AB67" s="1" t="s">
        <v>17</v>
      </c>
      <c r="AC67" s="2" t="s">
        <v>17</v>
      </c>
      <c r="AD67" s="2" t="s">
        <v>17</v>
      </c>
      <c r="AE67" s="22" t="s">
        <v>17</v>
      </c>
      <c r="AF67" s="23"/>
      <c r="AG67" s="24" t="s">
        <v>17</v>
      </c>
      <c r="AH67" s="24" t="s">
        <v>17</v>
      </c>
      <c r="AI67" s="1" t="s">
        <v>17</v>
      </c>
      <c r="AJ67" s="2" t="s">
        <v>17</v>
      </c>
      <c r="AK67" s="2" t="s">
        <v>17</v>
      </c>
      <c r="AL67" s="3"/>
      <c r="AM67" s="2"/>
      <c r="AN67" s="24" t="s">
        <v>17</v>
      </c>
      <c r="AO67" s="24" t="s">
        <v>17</v>
      </c>
      <c r="AP67" s="1" t="s">
        <v>17</v>
      </c>
      <c r="AQ67" s="2" t="s">
        <v>17</v>
      </c>
      <c r="AR67" s="2" t="s">
        <v>17</v>
      </c>
      <c r="AS67" s="3"/>
      <c r="AT67" s="2"/>
      <c r="AU67" s="4"/>
      <c r="AV67" s="2"/>
      <c r="AW67" s="1" t="s">
        <v>17</v>
      </c>
      <c r="AX67" s="2" t="s">
        <v>17</v>
      </c>
      <c r="AY67" s="2" t="s">
        <v>17</v>
      </c>
      <c r="AZ67" s="5"/>
      <c r="BA67" s="6"/>
      <c r="BB67" s="4"/>
      <c r="BC67" s="6"/>
      <c r="BD67" s="6"/>
      <c r="BE67" s="6"/>
      <c r="BF67" s="7"/>
    </row>
    <row r="68" spans="1:58" ht="18" customHeight="1">
      <c r="A68" s="106" t="s">
        <v>15</v>
      </c>
      <c r="B68" s="93" t="s">
        <v>46</v>
      </c>
      <c r="C68" s="28">
        <v>139.32</v>
      </c>
      <c r="D68" s="28">
        <v>139.44</v>
      </c>
      <c r="E68" s="28">
        <v>139.38</v>
      </c>
      <c r="F68" s="28">
        <v>139.38</v>
      </c>
      <c r="G68" s="29">
        <v>3755.0360761055999</v>
      </c>
      <c r="H68" s="29">
        <v>1224.8605717408</v>
      </c>
      <c r="I68" s="27">
        <f t="shared" si="1"/>
        <v>1</v>
      </c>
      <c r="J68" s="27">
        <f t="shared" si="2"/>
        <v>1</v>
      </c>
      <c r="K68" s="27">
        <f t="shared" si="0"/>
        <v>1</v>
      </c>
      <c r="L68" s="25">
        <v>637.8249945</v>
      </c>
      <c r="M68" s="25">
        <v>642.12536070174588</v>
      </c>
      <c r="N68" s="38">
        <v>0.52184483850559182</v>
      </c>
      <c r="O68" s="38">
        <v>-9.1953999278064913</v>
      </c>
      <c r="P68" s="71">
        <v>-11.282779281828859</v>
      </c>
      <c r="Q68" s="53">
        <v>43382</v>
      </c>
      <c r="R68" s="23">
        <v>9</v>
      </c>
      <c r="S68" s="24">
        <v>637.8249945</v>
      </c>
      <c r="T68" s="24">
        <v>642.12536070174588</v>
      </c>
      <c r="U68" s="1">
        <v>0.52184483850559182</v>
      </c>
      <c r="V68" s="2">
        <v>-9.1953999278064913</v>
      </c>
      <c r="W68" s="2">
        <v>-11.282779281828859</v>
      </c>
      <c r="X68" s="22" t="s">
        <v>17</v>
      </c>
      <c r="Y68" s="23"/>
      <c r="Z68" s="24" t="s">
        <v>17</v>
      </c>
      <c r="AA68" s="24" t="s">
        <v>17</v>
      </c>
      <c r="AB68" s="1" t="s">
        <v>17</v>
      </c>
      <c r="AC68" s="2" t="s">
        <v>17</v>
      </c>
      <c r="AD68" s="2" t="s">
        <v>17</v>
      </c>
      <c r="AE68" s="22" t="s">
        <v>17</v>
      </c>
      <c r="AF68" s="23"/>
      <c r="AG68" s="24" t="s">
        <v>17</v>
      </c>
      <c r="AH68" s="24" t="s">
        <v>17</v>
      </c>
      <c r="AI68" s="1" t="s">
        <v>17</v>
      </c>
      <c r="AJ68" s="2" t="s">
        <v>17</v>
      </c>
      <c r="AK68" s="2" t="s">
        <v>17</v>
      </c>
      <c r="AL68" s="3"/>
      <c r="AM68" s="2"/>
      <c r="AN68" s="24" t="s">
        <v>17</v>
      </c>
      <c r="AO68" s="24" t="s">
        <v>17</v>
      </c>
      <c r="AP68" s="1" t="s">
        <v>17</v>
      </c>
      <c r="AQ68" s="2" t="s">
        <v>17</v>
      </c>
      <c r="AR68" s="2" t="s">
        <v>17</v>
      </c>
      <c r="AS68" s="3"/>
      <c r="AT68" s="2"/>
      <c r="AU68" s="4"/>
      <c r="AV68" s="2"/>
      <c r="AW68" s="1" t="s">
        <v>17</v>
      </c>
      <c r="AX68" s="2" t="s">
        <v>17</v>
      </c>
      <c r="AY68" s="2" t="s">
        <v>17</v>
      </c>
      <c r="AZ68" s="5"/>
      <c r="BA68" s="6"/>
      <c r="BB68" s="4"/>
      <c r="BC68" s="6"/>
      <c r="BD68" s="6"/>
      <c r="BE68" s="6"/>
      <c r="BF68" s="7"/>
    </row>
    <row r="69" spans="1:58" ht="18" customHeight="1">
      <c r="A69" s="106" t="s">
        <v>15</v>
      </c>
      <c r="B69" s="93" t="s">
        <v>47</v>
      </c>
      <c r="C69" s="28">
        <v>140.19999999999999</v>
      </c>
      <c r="D69" s="28">
        <v>140.32</v>
      </c>
      <c r="E69" s="28">
        <v>140.26</v>
      </c>
      <c r="F69" s="28">
        <v>140.26</v>
      </c>
      <c r="G69" s="29">
        <v>3787.1484455144</v>
      </c>
      <c r="H69" s="29">
        <v>1252.74144474432</v>
      </c>
      <c r="I69" s="27">
        <f t="shared" si="1"/>
        <v>1</v>
      </c>
      <c r="J69" s="27">
        <f t="shared" si="2"/>
        <v>1</v>
      </c>
      <c r="K69" s="27">
        <f t="shared" si="0"/>
        <v>1</v>
      </c>
      <c r="L69" s="25">
        <v>641.68428200000005</v>
      </c>
      <c r="M69" s="25">
        <v>646.13096300017264</v>
      </c>
      <c r="N69" s="38">
        <v>0.53635466179380309</v>
      </c>
      <c r="O69" s="38">
        <v>-9.1065305211184278</v>
      </c>
      <c r="P69" s="71">
        <v>-11.25194916829364</v>
      </c>
      <c r="Q69" s="53">
        <v>42659</v>
      </c>
      <c r="R69" s="23">
        <v>5</v>
      </c>
      <c r="S69" s="24">
        <v>641.68428200000005</v>
      </c>
      <c r="T69" s="24">
        <v>646.13096300017264</v>
      </c>
      <c r="U69" s="1">
        <v>0.53635466179380309</v>
      </c>
      <c r="V69" s="2">
        <v>-9.1065305211184278</v>
      </c>
      <c r="W69" s="2">
        <v>-11.25194916829364</v>
      </c>
      <c r="X69" s="22" t="s">
        <v>17</v>
      </c>
      <c r="Y69" s="23"/>
      <c r="Z69" s="24" t="s">
        <v>17</v>
      </c>
      <c r="AA69" s="24" t="s">
        <v>17</v>
      </c>
      <c r="AB69" s="1" t="s">
        <v>17</v>
      </c>
      <c r="AC69" s="2" t="s">
        <v>17</v>
      </c>
      <c r="AD69" s="2" t="s">
        <v>17</v>
      </c>
      <c r="AE69" s="22" t="s">
        <v>17</v>
      </c>
      <c r="AF69" s="23"/>
      <c r="AG69" s="24" t="s">
        <v>17</v>
      </c>
      <c r="AH69" s="24" t="s">
        <v>17</v>
      </c>
      <c r="AI69" s="1" t="s">
        <v>17</v>
      </c>
      <c r="AJ69" s="2" t="s">
        <v>17</v>
      </c>
      <c r="AK69" s="2" t="s">
        <v>17</v>
      </c>
      <c r="AL69" s="3"/>
      <c r="AM69" s="2"/>
      <c r="AN69" s="24" t="s">
        <v>17</v>
      </c>
      <c r="AO69" s="24" t="s">
        <v>17</v>
      </c>
      <c r="AP69" s="1" t="s">
        <v>17</v>
      </c>
      <c r="AQ69" s="2" t="s">
        <v>17</v>
      </c>
      <c r="AR69" s="2" t="s">
        <v>17</v>
      </c>
      <c r="AS69" s="3"/>
      <c r="AT69" s="2"/>
      <c r="AU69" s="4"/>
      <c r="AV69" s="2"/>
      <c r="AW69" s="1" t="s">
        <v>17</v>
      </c>
      <c r="AX69" s="2" t="s">
        <v>17</v>
      </c>
      <c r="AY69" s="2" t="s">
        <v>17</v>
      </c>
      <c r="AZ69" s="5"/>
      <c r="BA69" s="6"/>
      <c r="BB69" s="4"/>
      <c r="BC69" s="6"/>
      <c r="BD69" s="6"/>
      <c r="BE69" s="6"/>
      <c r="BF69" s="7"/>
    </row>
    <row r="70" spans="1:58" ht="18" customHeight="1">
      <c r="A70" s="106" t="s">
        <v>15</v>
      </c>
      <c r="B70" s="93" t="s">
        <v>48</v>
      </c>
      <c r="C70" s="28">
        <v>140.82</v>
      </c>
      <c r="D70" s="28">
        <v>140.94</v>
      </c>
      <c r="E70" s="28">
        <v>140.88</v>
      </c>
      <c r="F70" s="28">
        <v>140.88</v>
      </c>
      <c r="G70" s="29">
        <v>3810.7411762381998</v>
      </c>
      <c r="H70" s="29">
        <v>1268.35933013816</v>
      </c>
      <c r="I70" s="27">
        <f t="shared" si="1"/>
        <v>1</v>
      </c>
      <c r="J70" s="27">
        <f t="shared" si="2"/>
        <v>1</v>
      </c>
      <c r="K70" s="27">
        <f t="shared" si="0"/>
        <v>1</v>
      </c>
      <c r="L70" s="25">
        <v>636.30180150000001</v>
      </c>
      <c r="M70" s="25">
        <v>640.66370588541895</v>
      </c>
      <c r="N70" s="38">
        <v>0.53057951080126564</v>
      </c>
      <c r="O70" s="38">
        <v>-9.0474145656708203</v>
      </c>
      <c r="P70" s="71">
        <v>-11.169732608875883</v>
      </c>
      <c r="Q70" s="53">
        <v>43451</v>
      </c>
      <c r="R70" s="23">
        <v>10</v>
      </c>
      <c r="S70" s="24">
        <v>636.30180150000001</v>
      </c>
      <c r="T70" s="24">
        <v>640.66370588541895</v>
      </c>
      <c r="U70" s="1">
        <v>0.53057951080126564</v>
      </c>
      <c r="V70" s="2">
        <v>-9.0474145656708203</v>
      </c>
      <c r="W70" s="2">
        <v>-11.169732608875883</v>
      </c>
      <c r="X70" s="22" t="s">
        <v>17</v>
      </c>
      <c r="Y70" s="23"/>
      <c r="Z70" s="24" t="s">
        <v>17</v>
      </c>
      <c r="AA70" s="24" t="s">
        <v>17</v>
      </c>
      <c r="AB70" s="1" t="s">
        <v>17</v>
      </c>
      <c r="AC70" s="2" t="s">
        <v>17</v>
      </c>
      <c r="AD70" s="2" t="s">
        <v>17</v>
      </c>
      <c r="AE70" s="22" t="s">
        <v>17</v>
      </c>
      <c r="AF70" s="23"/>
      <c r="AG70" s="24" t="s">
        <v>17</v>
      </c>
      <c r="AH70" s="24" t="s">
        <v>17</v>
      </c>
      <c r="AI70" s="1" t="s">
        <v>17</v>
      </c>
      <c r="AJ70" s="2" t="s">
        <v>17</v>
      </c>
      <c r="AK70" s="2" t="s">
        <v>17</v>
      </c>
      <c r="AL70" s="3"/>
      <c r="AM70" s="2"/>
      <c r="AN70" s="24" t="s">
        <v>17</v>
      </c>
      <c r="AO70" s="24" t="s">
        <v>17</v>
      </c>
      <c r="AP70" s="1" t="s">
        <v>17</v>
      </c>
      <c r="AQ70" s="2" t="s">
        <v>17</v>
      </c>
      <c r="AR70" s="2" t="s">
        <v>17</v>
      </c>
      <c r="AS70" s="3"/>
      <c r="AT70" s="2"/>
      <c r="AU70" s="4"/>
      <c r="AV70" s="2"/>
      <c r="AW70" s="1" t="s">
        <v>17</v>
      </c>
      <c r="AX70" s="2" t="s">
        <v>17</v>
      </c>
      <c r="AY70" s="2" t="s">
        <v>17</v>
      </c>
      <c r="AZ70" s="5"/>
      <c r="BA70" s="6"/>
      <c r="BB70" s="4"/>
      <c r="BC70" s="6"/>
      <c r="BD70" s="6"/>
      <c r="BE70" s="6"/>
      <c r="BF70" s="7"/>
    </row>
    <row r="71" spans="1:58" ht="18" customHeight="1">
      <c r="A71" s="106" t="s">
        <v>15</v>
      </c>
      <c r="B71" s="93" t="s">
        <v>49</v>
      </c>
      <c r="C71" s="28">
        <v>142.19999999999999</v>
      </c>
      <c r="D71" s="28">
        <v>142.32</v>
      </c>
      <c r="E71" s="28">
        <v>142.26</v>
      </c>
      <c r="F71" s="28">
        <v>142.26</v>
      </c>
      <c r="G71" s="29">
        <v>3860.0115108965201</v>
      </c>
      <c r="H71" s="29">
        <v>1308.35312275454</v>
      </c>
      <c r="I71" s="27">
        <f t="shared" si="1"/>
        <v>1</v>
      </c>
      <c r="J71" s="27">
        <f t="shared" si="2"/>
        <v>1</v>
      </c>
      <c r="K71" s="27">
        <f t="shared" si="0"/>
        <v>1</v>
      </c>
      <c r="L71" s="25">
        <v>647.02247999999997</v>
      </c>
      <c r="M71" s="25">
        <v>651.4428830884375</v>
      </c>
      <c r="N71" s="38">
        <v>0.528786050761898</v>
      </c>
      <c r="O71" s="38">
        <v>-9.311651827102585</v>
      </c>
      <c r="P71" s="71">
        <v>-11.426796030150177</v>
      </c>
      <c r="Q71" s="53">
        <v>43452</v>
      </c>
      <c r="R71" s="23">
        <v>12</v>
      </c>
      <c r="S71" s="24">
        <v>647.02247999999997</v>
      </c>
      <c r="T71" s="24">
        <v>651.4428830884375</v>
      </c>
      <c r="U71" s="1">
        <v>0.528786050761898</v>
      </c>
      <c r="V71" s="2">
        <v>-9.311651827102585</v>
      </c>
      <c r="W71" s="2">
        <v>-11.426796030150177</v>
      </c>
      <c r="X71" s="22" t="s">
        <v>17</v>
      </c>
      <c r="Y71" s="23"/>
      <c r="Z71" s="24" t="s">
        <v>17</v>
      </c>
      <c r="AA71" s="24" t="s">
        <v>17</v>
      </c>
      <c r="AB71" s="1" t="s">
        <v>17</v>
      </c>
      <c r="AC71" s="2" t="s">
        <v>17</v>
      </c>
      <c r="AD71" s="2" t="s">
        <v>17</v>
      </c>
      <c r="AE71" s="22" t="s">
        <v>17</v>
      </c>
      <c r="AF71" s="23"/>
      <c r="AG71" s="24" t="s">
        <v>17</v>
      </c>
      <c r="AH71" s="24" t="s">
        <v>17</v>
      </c>
      <c r="AI71" s="1" t="s">
        <v>17</v>
      </c>
      <c r="AJ71" s="2" t="s">
        <v>17</v>
      </c>
      <c r="AK71" s="2" t="s">
        <v>17</v>
      </c>
      <c r="AL71" s="3"/>
      <c r="AM71" s="2"/>
      <c r="AN71" s="24" t="s">
        <v>17</v>
      </c>
      <c r="AO71" s="24" t="s">
        <v>17</v>
      </c>
      <c r="AP71" s="1" t="s">
        <v>17</v>
      </c>
      <c r="AQ71" s="2" t="s">
        <v>17</v>
      </c>
      <c r="AR71" s="2" t="s">
        <v>17</v>
      </c>
      <c r="AS71" s="3"/>
      <c r="AT71" s="2"/>
      <c r="AU71" s="4"/>
      <c r="AV71" s="2"/>
      <c r="AW71" s="1" t="s">
        <v>17</v>
      </c>
      <c r="AX71" s="2" t="s">
        <v>17</v>
      </c>
      <c r="AY71" s="2" t="s">
        <v>17</v>
      </c>
      <c r="AZ71" s="5"/>
      <c r="BA71" s="6"/>
      <c r="BB71" s="4"/>
      <c r="BC71" s="6"/>
      <c r="BD71" s="6"/>
      <c r="BE71" s="6"/>
      <c r="BF71" s="7"/>
    </row>
    <row r="72" spans="1:58" ht="18" customHeight="1">
      <c r="A72" s="106" t="s">
        <v>15</v>
      </c>
      <c r="B72" s="93" t="s">
        <v>50</v>
      </c>
      <c r="C72" s="28">
        <v>142.60499999999999</v>
      </c>
      <c r="D72" s="28">
        <v>142.82</v>
      </c>
      <c r="E72" s="28">
        <v>142.71249999999998</v>
      </c>
      <c r="F72" s="28">
        <v>142.71249999999998</v>
      </c>
      <c r="G72" s="29">
        <v>3875.66726420242</v>
      </c>
      <c r="H72" s="29">
        <v>1321.88660398259</v>
      </c>
      <c r="I72" s="27">
        <f t="shared" si="1"/>
        <v>1</v>
      </c>
      <c r="J72" s="27">
        <f t="shared" si="2"/>
        <v>1</v>
      </c>
      <c r="K72" s="27">
        <f t="shared" si="0"/>
        <v>1</v>
      </c>
      <c r="L72" s="25">
        <v>640.73339950000002</v>
      </c>
      <c r="M72" s="25">
        <v>645.17020341918112</v>
      </c>
      <c r="N72" s="38">
        <v>0.53595750801438413</v>
      </c>
      <c r="O72" s="38">
        <v>-8.2137039659055944</v>
      </c>
      <c r="P72" s="71">
        <v>-10.357533997963131</v>
      </c>
      <c r="Q72" s="53">
        <v>42683</v>
      </c>
      <c r="R72" s="23">
        <v>6</v>
      </c>
      <c r="S72" s="24">
        <v>640.73339950000002</v>
      </c>
      <c r="T72" s="24">
        <v>645.17020341918112</v>
      </c>
      <c r="U72" s="1">
        <v>0.53595750801438413</v>
      </c>
      <c r="V72" s="2">
        <v>-8.2137039659055944</v>
      </c>
      <c r="W72" s="2">
        <v>-10.357533997963131</v>
      </c>
      <c r="X72" s="22" t="s">
        <v>17</v>
      </c>
      <c r="Y72" s="23"/>
      <c r="Z72" s="24" t="s">
        <v>17</v>
      </c>
      <c r="AA72" s="24" t="s">
        <v>17</v>
      </c>
      <c r="AB72" s="1" t="s">
        <v>17</v>
      </c>
      <c r="AC72" s="2" t="s">
        <v>17</v>
      </c>
      <c r="AD72" s="2" t="s">
        <v>17</v>
      </c>
      <c r="AE72" s="22" t="s">
        <v>17</v>
      </c>
      <c r="AF72" s="23"/>
      <c r="AG72" s="24" t="s">
        <v>17</v>
      </c>
      <c r="AH72" s="24" t="s">
        <v>17</v>
      </c>
      <c r="AI72" s="1" t="s">
        <v>17</v>
      </c>
      <c r="AJ72" s="2" t="s">
        <v>17</v>
      </c>
      <c r="AK72" s="2" t="s">
        <v>17</v>
      </c>
      <c r="AL72" s="3"/>
      <c r="AM72" s="2"/>
      <c r="AN72" s="24" t="s">
        <v>17</v>
      </c>
      <c r="AO72" s="24" t="s">
        <v>17</v>
      </c>
      <c r="AP72" s="1" t="s">
        <v>17</v>
      </c>
      <c r="AQ72" s="2" t="s">
        <v>17</v>
      </c>
      <c r="AR72" s="2" t="s">
        <v>17</v>
      </c>
      <c r="AS72" s="3"/>
      <c r="AT72" s="2"/>
      <c r="AU72" s="4"/>
      <c r="AV72" s="2"/>
      <c r="AW72" s="1" t="s">
        <v>17</v>
      </c>
      <c r="AX72" s="2" t="s">
        <v>17</v>
      </c>
      <c r="AY72" s="2" t="s">
        <v>17</v>
      </c>
      <c r="AZ72" s="5"/>
      <c r="BA72" s="6"/>
      <c r="BB72" s="4"/>
      <c r="BC72" s="6"/>
      <c r="BD72" s="6"/>
      <c r="BE72" s="6"/>
      <c r="BF72" s="7"/>
    </row>
    <row r="73" spans="1:58" ht="18" customHeight="1">
      <c r="A73" s="106" t="s">
        <v>15</v>
      </c>
      <c r="B73" s="93" t="s">
        <v>51</v>
      </c>
      <c r="C73" s="28">
        <v>142.82</v>
      </c>
      <c r="D73" s="28">
        <v>142.94</v>
      </c>
      <c r="E73" s="28">
        <v>142.88</v>
      </c>
      <c r="F73" s="28">
        <v>142.88</v>
      </c>
      <c r="G73" s="29">
        <v>3881.5816598957599</v>
      </c>
      <c r="H73" s="29">
        <v>1326.9992524465199</v>
      </c>
      <c r="I73" s="27">
        <f t="shared" si="1"/>
        <v>1</v>
      </c>
      <c r="J73" s="27">
        <f t="shared" si="2"/>
        <v>1</v>
      </c>
      <c r="K73" s="27">
        <f t="shared" si="0"/>
        <v>1</v>
      </c>
      <c r="L73" s="25">
        <v>641.36469399999999</v>
      </c>
      <c r="M73" s="25">
        <v>645.67476469843621</v>
      </c>
      <c r="N73" s="38">
        <v>0.52013590146970934</v>
      </c>
      <c r="O73" s="38">
        <v>-9.7166009255469366</v>
      </c>
      <c r="P73" s="71">
        <v>-11.797144531425774</v>
      </c>
      <c r="Q73" s="53">
        <v>43452</v>
      </c>
      <c r="R73" s="23">
        <v>12</v>
      </c>
      <c r="S73" s="24">
        <v>641.36469399999999</v>
      </c>
      <c r="T73" s="24">
        <v>645.67476469843621</v>
      </c>
      <c r="U73" s="1">
        <v>0.52013590146970934</v>
      </c>
      <c r="V73" s="2">
        <v>-9.7166009255469366</v>
      </c>
      <c r="W73" s="2">
        <v>-11.797144531425774</v>
      </c>
      <c r="X73" s="22" t="s">
        <v>17</v>
      </c>
      <c r="Y73" s="23"/>
      <c r="Z73" s="24" t="s">
        <v>17</v>
      </c>
      <c r="AA73" s="24" t="s">
        <v>17</v>
      </c>
      <c r="AB73" s="1" t="s">
        <v>17</v>
      </c>
      <c r="AC73" s="2" t="s">
        <v>17</v>
      </c>
      <c r="AD73" s="2" t="s">
        <v>17</v>
      </c>
      <c r="AE73" s="22" t="s">
        <v>17</v>
      </c>
      <c r="AF73" s="23"/>
      <c r="AG73" s="24" t="s">
        <v>17</v>
      </c>
      <c r="AH73" s="24" t="s">
        <v>17</v>
      </c>
      <c r="AI73" s="1" t="s">
        <v>17</v>
      </c>
      <c r="AJ73" s="2" t="s">
        <v>17</v>
      </c>
      <c r="AK73" s="2" t="s">
        <v>17</v>
      </c>
      <c r="AL73" s="3"/>
      <c r="AM73" s="2"/>
      <c r="AN73" s="24" t="s">
        <v>17</v>
      </c>
      <c r="AO73" s="24" t="s">
        <v>17</v>
      </c>
      <c r="AP73" s="1" t="s">
        <v>17</v>
      </c>
      <c r="AQ73" s="2" t="s">
        <v>17</v>
      </c>
      <c r="AR73" s="2" t="s">
        <v>17</v>
      </c>
      <c r="AS73" s="3"/>
      <c r="AT73" s="2"/>
      <c r="AU73" s="4"/>
      <c r="AV73" s="2"/>
      <c r="AW73" s="1" t="s">
        <v>17</v>
      </c>
      <c r="AX73" s="2" t="s">
        <v>17</v>
      </c>
      <c r="AY73" s="2" t="s">
        <v>17</v>
      </c>
      <c r="AZ73" s="5"/>
      <c r="BA73" s="6"/>
      <c r="BB73" s="4"/>
      <c r="BC73" s="6"/>
      <c r="BD73" s="6"/>
      <c r="BE73" s="6"/>
      <c r="BF73" s="7"/>
    </row>
    <row r="74" spans="1:58" ht="18" customHeight="1">
      <c r="A74" s="106" t="s">
        <v>15</v>
      </c>
      <c r="B74" s="93" t="s">
        <v>52</v>
      </c>
      <c r="C74" s="28">
        <v>144.52500000000001</v>
      </c>
      <c r="D74" s="28">
        <v>144.82</v>
      </c>
      <c r="E74" s="28">
        <v>144.67250000000001</v>
      </c>
      <c r="F74" s="28">
        <v>144.67250000000001</v>
      </c>
      <c r="G74" s="29">
        <v>3942.4246599440999</v>
      </c>
      <c r="H74" s="29">
        <v>1392.9372534027</v>
      </c>
      <c r="I74" s="27">
        <f t="shared" si="1"/>
        <v>1</v>
      </c>
      <c r="J74" s="27">
        <f t="shared" si="2"/>
        <v>2</v>
      </c>
      <c r="K74" s="27">
        <f t="shared" si="0"/>
        <v>2</v>
      </c>
      <c r="L74" s="25">
        <v>645.53301150000004</v>
      </c>
      <c r="M74" s="25">
        <v>650.03925242900732</v>
      </c>
      <c r="N74" s="38">
        <v>0.50350056054426773</v>
      </c>
      <c r="O74" s="38">
        <v>-10.940061607373265</v>
      </c>
      <c r="P74" s="71">
        <v>-12.954063849550336</v>
      </c>
      <c r="Q74" s="53">
        <v>42674</v>
      </c>
      <c r="R74" s="23">
        <v>8</v>
      </c>
      <c r="S74" s="24">
        <v>645.53301150000004</v>
      </c>
      <c r="T74" s="24">
        <v>650.03925242900732</v>
      </c>
      <c r="U74" s="1">
        <v>0.54029809699840392</v>
      </c>
      <c r="V74" s="2">
        <v>-11.276492061801925</v>
      </c>
      <c r="W74" s="2">
        <v>-13.43768444979554</v>
      </c>
      <c r="X74" s="22">
        <v>42667</v>
      </c>
      <c r="Y74" s="23">
        <v>8</v>
      </c>
      <c r="Z74" s="24" t="s">
        <v>17</v>
      </c>
      <c r="AA74" s="24"/>
      <c r="AB74" s="1">
        <v>0.46670302409013154</v>
      </c>
      <c r="AC74" s="2">
        <v>-10.603631152944605</v>
      </c>
      <c r="AD74" s="2">
        <v>-12.470443249305131</v>
      </c>
      <c r="AE74" s="22" t="s">
        <v>17</v>
      </c>
      <c r="AF74" s="23"/>
      <c r="AG74" s="24" t="s">
        <v>17</v>
      </c>
      <c r="AH74" s="24" t="s">
        <v>17</v>
      </c>
      <c r="AI74" s="1" t="s">
        <v>17</v>
      </c>
      <c r="AJ74" s="2" t="s">
        <v>17</v>
      </c>
      <c r="AK74" s="2" t="s">
        <v>17</v>
      </c>
      <c r="AL74" s="3"/>
      <c r="AM74" s="2"/>
      <c r="AN74" s="24" t="s">
        <v>17</v>
      </c>
      <c r="AO74" s="24" t="s">
        <v>17</v>
      </c>
      <c r="AP74" s="1" t="s">
        <v>17</v>
      </c>
      <c r="AQ74" s="2" t="s">
        <v>17</v>
      </c>
      <c r="AR74" s="2" t="s">
        <v>17</v>
      </c>
      <c r="AS74" s="3"/>
      <c r="AT74" s="2"/>
      <c r="AU74" s="4"/>
      <c r="AV74" s="2"/>
      <c r="AW74" s="1" t="s">
        <v>17</v>
      </c>
      <c r="AX74" s="2" t="s">
        <v>17</v>
      </c>
      <c r="AY74" s="2" t="s">
        <v>17</v>
      </c>
      <c r="AZ74" s="5"/>
      <c r="BA74" s="6"/>
      <c r="BB74" s="4"/>
      <c r="BC74" s="6"/>
      <c r="BD74" s="6"/>
      <c r="BE74" s="6"/>
      <c r="BF74" s="7"/>
    </row>
    <row r="75" spans="1:58" ht="18" customHeight="1">
      <c r="A75" s="106" t="s">
        <v>15</v>
      </c>
      <c r="B75" s="93" t="s">
        <v>53</v>
      </c>
      <c r="C75" s="28">
        <v>145.57</v>
      </c>
      <c r="D75" s="28">
        <v>145.77000000000001</v>
      </c>
      <c r="E75" s="28">
        <v>145.67000000000002</v>
      </c>
      <c r="F75" s="28">
        <v>145.67000000000002</v>
      </c>
      <c r="G75" s="29">
        <v>3976.5936215176498</v>
      </c>
      <c r="H75" s="29">
        <v>1430.6270812959101</v>
      </c>
      <c r="I75" s="27">
        <f t="shared" si="1"/>
        <v>1</v>
      </c>
      <c r="J75" s="27">
        <f t="shared" si="2"/>
        <v>1</v>
      </c>
      <c r="K75" s="27">
        <f t="shared" si="0"/>
        <v>1</v>
      </c>
      <c r="L75" s="25">
        <v>635.95792350000011</v>
      </c>
      <c r="M75" s="25">
        <v>640.23463815338334</v>
      </c>
      <c r="N75" s="38">
        <v>0.52049837547363254</v>
      </c>
      <c r="O75" s="38">
        <v>-8.2269265546804924</v>
      </c>
      <c r="P75" s="71">
        <v>-10.308920056575023</v>
      </c>
      <c r="Q75" s="53">
        <v>42691</v>
      </c>
      <c r="R75" s="23">
        <v>7</v>
      </c>
      <c r="S75" s="24">
        <v>635.95792350000011</v>
      </c>
      <c r="T75" s="24">
        <v>640.23463815338334</v>
      </c>
      <c r="U75" s="1">
        <v>0.52049837547363254</v>
      </c>
      <c r="V75" s="2">
        <v>-8.2269265546804924</v>
      </c>
      <c r="W75" s="2">
        <v>-10.308920056575023</v>
      </c>
      <c r="X75" s="22" t="s">
        <v>17</v>
      </c>
      <c r="Y75" s="23"/>
      <c r="Z75" s="24" t="s">
        <v>17</v>
      </c>
      <c r="AA75" s="24" t="s">
        <v>17</v>
      </c>
      <c r="AB75" s="1" t="s">
        <v>17</v>
      </c>
      <c r="AC75" s="2" t="s">
        <v>17</v>
      </c>
      <c r="AD75" s="2" t="s">
        <v>17</v>
      </c>
      <c r="AE75" s="22" t="s">
        <v>17</v>
      </c>
      <c r="AF75" s="23"/>
      <c r="AG75" s="24" t="s">
        <v>17</v>
      </c>
      <c r="AH75" s="24" t="s">
        <v>17</v>
      </c>
      <c r="AI75" s="1" t="s">
        <v>17</v>
      </c>
      <c r="AJ75" s="2" t="s">
        <v>17</v>
      </c>
      <c r="AK75" s="2" t="s">
        <v>17</v>
      </c>
      <c r="AL75" s="3"/>
      <c r="AM75" s="2"/>
      <c r="AN75" s="24" t="s">
        <v>17</v>
      </c>
      <c r="AO75" s="24" t="s">
        <v>17</v>
      </c>
      <c r="AP75" s="1" t="s">
        <v>17</v>
      </c>
      <c r="AQ75" s="2" t="s">
        <v>17</v>
      </c>
      <c r="AR75" s="2" t="s">
        <v>17</v>
      </c>
      <c r="AS75" s="3"/>
      <c r="AT75" s="2"/>
      <c r="AU75" s="4"/>
      <c r="AV75" s="2"/>
      <c r="AW75" s="1" t="s">
        <v>17</v>
      </c>
      <c r="AX75" s="2" t="s">
        <v>17</v>
      </c>
      <c r="AY75" s="2" t="s">
        <v>17</v>
      </c>
      <c r="AZ75" s="5"/>
      <c r="BA75" s="6"/>
      <c r="BB75" s="4"/>
      <c r="BC75" s="6"/>
      <c r="BD75" s="6"/>
      <c r="BE75" s="6"/>
      <c r="BF75" s="7"/>
    </row>
    <row r="76" spans="1:58" ht="18" customHeight="1">
      <c r="A76" s="106" t="s">
        <v>15</v>
      </c>
      <c r="B76" s="93" t="s">
        <v>54</v>
      </c>
      <c r="C76" s="28">
        <v>145.77000000000001</v>
      </c>
      <c r="D76" s="28">
        <v>145.89000000000001</v>
      </c>
      <c r="E76" s="28">
        <v>145.83000000000001</v>
      </c>
      <c r="F76" s="28">
        <v>145.83000000000001</v>
      </c>
      <c r="G76" s="29">
        <v>3982.0596125253401</v>
      </c>
      <c r="H76" s="29">
        <v>1436.6134355480799</v>
      </c>
      <c r="I76" s="27">
        <f t="shared" si="1"/>
        <v>2</v>
      </c>
      <c r="J76" s="27">
        <f t="shared" si="2"/>
        <v>2</v>
      </c>
      <c r="K76" s="27">
        <f t="shared" si="0"/>
        <v>2</v>
      </c>
      <c r="L76" s="25">
        <v>638.51499799999999</v>
      </c>
      <c r="M76" s="25">
        <v>642.75803773854329</v>
      </c>
      <c r="N76" s="38">
        <v>0.51432840744913833</v>
      </c>
      <c r="O76" s="38">
        <v>-11.347287007101581</v>
      </c>
      <c r="P76" s="71">
        <v>-13.404600636898135</v>
      </c>
      <c r="Q76" s="53">
        <v>42773</v>
      </c>
      <c r="R76" s="23">
        <v>6</v>
      </c>
      <c r="S76" s="24">
        <v>638.98545149999995</v>
      </c>
      <c r="T76" s="24">
        <v>643.27100980188777</v>
      </c>
      <c r="U76" s="1">
        <v>0.51910346032291166</v>
      </c>
      <c r="V76" s="2">
        <v>-11.25135561622348</v>
      </c>
      <c r="W76" s="2">
        <v>-13.327769457515126</v>
      </c>
      <c r="X76" s="22">
        <v>42773</v>
      </c>
      <c r="Y76" s="23">
        <v>6</v>
      </c>
      <c r="Z76" s="24">
        <v>638.04454450000003</v>
      </c>
      <c r="AA76" s="24">
        <v>642.24506567519882</v>
      </c>
      <c r="AB76" s="1">
        <v>0.50955335457536499</v>
      </c>
      <c r="AC76" s="2">
        <v>-11.443218397979681</v>
      </c>
      <c r="AD76" s="2">
        <v>-13.481431816281141</v>
      </c>
      <c r="AE76" s="22" t="s">
        <v>17</v>
      </c>
      <c r="AF76" s="23"/>
      <c r="AG76" s="24" t="s">
        <v>17</v>
      </c>
      <c r="AH76" s="24" t="s">
        <v>17</v>
      </c>
      <c r="AI76" s="1" t="s">
        <v>17</v>
      </c>
      <c r="AJ76" s="2" t="s">
        <v>17</v>
      </c>
      <c r="AK76" s="2" t="s">
        <v>17</v>
      </c>
      <c r="AL76" s="3"/>
      <c r="AM76" s="2"/>
      <c r="AN76" s="24" t="s">
        <v>17</v>
      </c>
      <c r="AO76" s="24" t="s">
        <v>17</v>
      </c>
      <c r="AP76" s="1" t="s">
        <v>17</v>
      </c>
      <c r="AQ76" s="2" t="s">
        <v>17</v>
      </c>
      <c r="AR76" s="2" t="s">
        <v>17</v>
      </c>
      <c r="AS76" s="3"/>
      <c r="AT76" s="2"/>
      <c r="AU76" s="4"/>
      <c r="AV76" s="2"/>
      <c r="AW76" s="1" t="s">
        <v>17</v>
      </c>
      <c r="AX76" s="2" t="s">
        <v>17</v>
      </c>
      <c r="AY76" s="2" t="s">
        <v>17</v>
      </c>
      <c r="AZ76" s="5"/>
      <c r="BA76" s="6"/>
      <c r="BB76" s="4"/>
      <c r="BC76" s="6"/>
      <c r="BD76" s="6"/>
      <c r="BE76" s="6"/>
      <c r="BF76" s="7"/>
    </row>
    <row r="77" spans="1:58" ht="18" customHeight="1">
      <c r="A77" s="106" t="s">
        <v>15</v>
      </c>
      <c r="B77" s="93" t="s">
        <v>55</v>
      </c>
      <c r="C77" s="28">
        <v>147.27000000000001</v>
      </c>
      <c r="D77" s="28">
        <v>147.38999999999999</v>
      </c>
      <c r="E77" s="28">
        <v>147.32999999999998</v>
      </c>
      <c r="F77" s="28">
        <v>147.32999999999998</v>
      </c>
      <c r="G77" s="29">
        <v>4032.9874966027601</v>
      </c>
      <c r="H77" s="29">
        <v>1494.6624995463601</v>
      </c>
      <c r="I77" s="27">
        <f t="shared" si="1"/>
        <v>2</v>
      </c>
      <c r="J77" s="27">
        <f t="shared" si="2"/>
        <v>2</v>
      </c>
      <c r="K77" s="27">
        <f t="shared" si="0"/>
        <v>1</v>
      </c>
      <c r="L77" s="25">
        <v>632.03086800000005</v>
      </c>
      <c r="M77" s="25">
        <v>636.27572601298039</v>
      </c>
      <c r="N77" s="38">
        <v>0.51984021869444508</v>
      </c>
      <c r="O77" s="38">
        <v>-9.2734091158995788</v>
      </c>
      <c r="P77" s="71">
        <v>-11.327735083701885</v>
      </c>
      <c r="Q77" s="53">
        <v>43454</v>
      </c>
      <c r="R77" s="23">
        <v>12</v>
      </c>
      <c r="S77" s="24">
        <v>632.93885350000005</v>
      </c>
      <c r="T77" s="24">
        <v>637.13870209456672</v>
      </c>
      <c r="U77" s="1">
        <v>0.51358149195057656</v>
      </c>
      <c r="V77" s="2">
        <v>-9.2734091158995788</v>
      </c>
      <c r="W77" s="2">
        <v>-11.327735083701885</v>
      </c>
      <c r="X77" s="22">
        <v>44278</v>
      </c>
      <c r="Y77" s="23" t="s">
        <v>88</v>
      </c>
      <c r="Z77" s="24">
        <v>631.12288250000006</v>
      </c>
      <c r="AA77" s="24">
        <v>635.41274993139416</v>
      </c>
      <c r="AB77" s="1">
        <v>0.52609894543831359</v>
      </c>
      <c r="AC77" s="2"/>
      <c r="AD77" s="2"/>
      <c r="AE77" s="22" t="s">
        <v>17</v>
      </c>
      <c r="AF77" s="23"/>
      <c r="AG77" s="24" t="s">
        <v>17</v>
      </c>
      <c r="AH77" s="24" t="s">
        <v>17</v>
      </c>
      <c r="AI77" s="1" t="s">
        <v>17</v>
      </c>
      <c r="AJ77" s="2" t="s">
        <v>17</v>
      </c>
      <c r="AK77" s="2" t="s">
        <v>17</v>
      </c>
      <c r="AL77" s="3"/>
      <c r="AM77" s="2"/>
      <c r="AN77" s="24" t="s">
        <v>17</v>
      </c>
      <c r="AO77" s="24" t="s">
        <v>17</v>
      </c>
      <c r="AP77" s="1" t="s">
        <v>17</v>
      </c>
      <c r="AQ77" s="2" t="s">
        <v>17</v>
      </c>
      <c r="AR77" s="2" t="s">
        <v>17</v>
      </c>
      <c r="AS77" s="3"/>
      <c r="AT77" s="2"/>
      <c r="AU77" s="4"/>
      <c r="AV77" s="2"/>
      <c r="AW77" s="1" t="s">
        <v>17</v>
      </c>
      <c r="AX77" s="2" t="s">
        <v>17</v>
      </c>
      <c r="AY77" s="2" t="s">
        <v>17</v>
      </c>
      <c r="AZ77" s="5"/>
      <c r="BA77" s="6"/>
      <c r="BB77" s="4"/>
      <c r="BC77" s="6"/>
      <c r="BD77" s="6"/>
      <c r="BE77" s="6"/>
      <c r="BF77" s="7"/>
    </row>
    <row r="78" spans="1:58" ht="18" customHeight="1">
      <c r="A78" s="106" t="s">
        <v>15</v>
      </c>
      <c r="B78" s="93" t="s">
        <v>56</v>
      </c>
      <c r="C78" s="28">
        <v>148.58000000000001</v>
      </c>
      <c r="D78" s="28">
        <v>148.72</v>
      </c>
      <c r="E78" s="28">
        <v>148.65</v>
      </c>
      <c r="F78" s="28">
        <v>148.65</v>
      </c>
      <c r="G78" s="29">
        <v>4078.134027389</v>
      </c>
      <c r="H78" s="29">
        <v>1551.51312994465</v>
      </c>
      <c r="I78" s="27">
        <f t="shared" si="1"/>
        <v>1</v>
      </c>
      <c r="J78" s="27">
        <f t="shared" si="2"/>
        <v>1</v>
      </c>
      <c r="K78" s="27">
        <f t="shared" si="0"/>
        <v>0</v>
      </c>
      <c r="L78" s="25">
        <v>631.57607699999994</v>
      </c>
      <c r="M78" s="25">
        <v>635.88318329443496</v>
      </c>
      <c r="N78" s="38">
        <v>0.52783405260359295</v>
      </c>
      <c r="O78" s="38"/>
      <c r="P78" s="71"/>
      <c r="Q78" s="53">
        <v>42605</v>
      </c>
      <c r="R78" s="23">
        <v>3</v>
      </c>
      <c r="S78" s="24">
        <v>631.57607699999994</v>
      </c>
      <c r="T78" s="24">
        <v>635.88318329443496</v>
      </c>
      <c r="U78" s="1">
        <v>0.52783405260359295</v>
      </c>
      <c r="V78" s="2"/>
      <c r="W78" s="2"/>
      <c r="X78" s="22" t="s">
        <v>17</v>
      </c>
      <c r="Y78" s="23"/>
      <c r="Z78" s="24" t="s">
        <v>17</v>
      </c>
      <c r="AA78" s="24" t="s">
        <v>17</v>
      </c>
      <c r="AB78" s="1" t="s">
        <v>17</v>
      </c>
      <c r="AC78" s="2" t="s">
        <v>17</v>
      </c>
      <c r="AD78" s="2" t="s">
        <v>17</v>
      </c>
      <c r="AE78" s="22" t="s">
        <v>17</v>
      </c>
      <c r="AF78" s="23"/>
      <c r="AG78" s="24" t="s">
        <v>17</v>
      </c>
      <c r="AH78" s="24" t="s">
        <v>17</v>
      </c>
      <c r="AI78" s="1" t="s">
        <v>17</v>
      </c>
      <c r="AJ78" s="2" t="s">
        <v>17</v>
      </c>
      <c r="AK78" s="2" t="s">
        <v>17</v>
      </c>
      <c r="AL78" s="3"/>
      <c r="AM78" s="2"/>
      <c r="AN78" s="24" t="s">
        <v>17</v>
      </c>
      <c r="AO78" s="24" t="s">
        <v>17</v>
      </c>
      <c r="AP78" s="1" t="s">
        <v>17</v>
      </c>
      <c r="AQ78" s="2" t="s">
        <v>17</v>
      </c>
      <c r="AR78" s="2" t="s">
        <v>17</v>
      </c>
      <c r="AS78" s="3"/>
      <c r="AT78" s="2"/>
      <c r="AU78" s="4"/>
      <c r="AV78" s="2"/>
      <c r="AW78" s="1" t="s">
        <v>17</v>
      </c>
      <c r="AX78" s="2" t="s">
        <v>17</v>
      </c>
      <c r="AY78" s="2" t="s">
        <v>17</v>
      </c>
      <c r="AZ78" s="5"/>
      <c r="BA78" s="6"/>
      <c r="BB78" s="4"/>
      <c r="BC78" s="6"/>
      <c r="BD78" s="6"/>
      <c r="BE78" s="6"/>
      <c r="BF78" s="7"/>
    </row>
    <row r="79" spans="1:58" ht="18" customHeight="1">
      <c r="A79" s="106" t="s">
        <v>15</v>
      </c>
      <c r="B79" s="93" t="s">
        <v>57</v>
      </c>
      <c r="C79" s="28">
        <v>149.6</v>
      </c>
      <c r="D79" s="28">
        <v>149.72</v>
      </c>
      <c r="E79" s="28">
        <v>149.66</v>
      </c>
      <c r="F79" s="28">
        <v>149.66</v>
      </c>
      <c r="G79" s="29">
        <v>4113.1661082684795</v>
      </c>
      <c r="H79" s="29">
        <v>1591.52121023008</v>
      </c>
      <c r="I79" s="27">
        <f t="shared" si="1"/>
        <v>1</v>
      </c>
      <c r="J79" s="27">
        <f t="shared" si="2"/>
        <v>1</v>
      </c>
      <c r="K79" s="27">
        <f t="shared" si="0"/>
        <v>1</v>
      </c>
      <c r="L79" s="25">
        <v>637.89302150000003</v>
      </c>
      <c r="M79" s="25">
        <v>642.09029271053987</v>
      </c>
      <c r="N79" s="38">
        <v>0.50928005451811309</v>
      </c>
      <c r="O79" s="38">
        <v>-9.0370930716054954</v>
      </c>
      <c r="P79" s="71">
        <v>-11.074213289677948</v>
      </c>
      <c r="Q79" s="53">
        <v>43447</v>
      </c>
      <c r="R79" s="23">
        <v>12</v>
      </c>
      <c r="S79" s="24">
        <v>637.89302150000003</v>
      </c>
      <c r="T79" s="24">
        <v>642.09029271053987</v>
      </c>
      <c r="U79" s="1">
        <v>0.50928005451811309</v>
      </c>
      <c r="V79" s="2">
        <v>-9.0370930716054954</v>
      </c>
      <c r="W79" s="2">
        <v>-11.074213289677948</v>
      </c>
      <c r="X79" s="22" t="s">
        <v>17</v>
      </c>
      <c r="Y79" s="23"/>
      <c r="Z79" s="24" t="s">
        <v>17</v>
      </c>
      <c r="AA79" s="24" t="s">
        <v>17</v>
      </c>
      <c r="AB79" s="1" t="s">
        <v>17</v>
      </c>
      <c r="AC79" s="2" t="s">
        <v>17</v>
      </c>
      <c r="AD79" s="2" t="s">
        <v>17</v>
      </c>
      <c r="AE79" s="22" t="s">
        <v>17</v>
      </c>
      <c r="AF79" s="23"/>
      <c r="AG79" s="24" t="s">
        <v>17</v>
      </c>
      <c r="AH79" s="24" t="s">
        <v>17</v>
      </c>
      <c r="AI79" s="1" t="s">
        <v>17</v>
      </c>
      <c r="AJ79" s="2" t="s">
        <v>17</v>
      </c>
      <c r="AK79" s="2" t="s">
        <v>17</v>
      </c>
      <c r="AL79" s="3"/>
      <c r="AM79" s="2"/>
      <c r="AN79" s="24" t="s">
        <v>17</v>
      </c>
      <c r="AO79" s="24" t="s">
        <v>17</v>
      </c>
      <c r="AP79" s="1" t="s">
        <v>17</v>
      </c>
      <c r="AQ79" s="2" t="s">
        <v>17</v>
      </c>
      <c r="AR79" s="2" t="s">
        <v>17</v>
      </c>
      <c r="AS79" s="3"/>
      <c r="AT79" s="2"/>
      <c r="AU79" s="4"/>
      <c r="AV79" s="2"/>
      <c r="AW79" s="1" t="s">
        <v>17</v>
      </c>
      <c r="AX79" s="2" t="s">
        <v>17</v>
      </c>
      <c r="AY79" s="2" t="s">
        <v>17</v>
      </c>
      <c r="AZ79" s="5"/>
      <c r="BA79" s="6"/>
      <c r="BB79" s="4"/>
      <c r="BC79" s="6"/>
      <c r="BD79" s="6"/>
      <c r="BE79" s="6"/>
      <c r="BF79" s="7"/>
    </row>
    <row r="80" spans="1:58" ht="18" customHeight="1">
      <c r="A80" s="106" t="s">
        <v>15</v>
      </c>
      <c r="B80" s="93" t="s">
        <v>58</v>
      </c>
      <c r="C80" s="28">
        <v>150.7775</v>
      </c>
      <c r="D80" s="28">
        <v>150.92500000000001</v>
      </c>
      <c r="E80" s="28">
        <v>150.85124999999999</v>
      </c>
      <c r="F80" s="28">
        <v>150.85124999999999</v>
      </c>
      <c r="G80" s="29">
        <v>4155.4666368527496</v>
      </c>
      <c r="H80" s="29">
        <v>1636.5871911321001</v>
      </c>
      <c r="I80" s="27">
        <f t="shared" si="1"/>
        <v>1</v>
      </c>
      <c r="J80" s="27">
        <f t="shared" si="2"/>
        <v>1</v>
      </c>
      <c r="K80" s="27">
        <f t="shared" si="0"/>
        <v>1</v>
      </c>
      <c r="L80" s="25">
        <v>632.15843949999999</v>
      </c>
      <c r="M80" s="25">
        <v>636.52712427508288</v>
      </c>
      <c r="N80" s="38">
        <v>0.53488726147654653</v>
      </c>
      <c r="O80" s="38">
        <v>-8.3628809324242113</v>
      </c>
      <c r="P80" s="71">
        <v>-10.502429978330397</v>
      </c>
      <c r="Q80" s="53">
        <v>42662</v>
      </c>
      <c r="R80" s="23">
        <v>8</v>
      </c>
      <c r="S80" s="24">
        <v>632.15843949999999</v>
      </c>
      <c r="T80" s="24">
        <v>636.52712427508288</v>
      </c>
      <c r="U80" s="1">
        <v>0.53488726147654653</v>
      </c>
      <c r="V80" s="2">
        <v>-8.3628809324242113</v>
      </c>
      <c r="W80" s="2">
        <v>-10.502429978330397</v>
      </c>
      <c r="X80" s="22" t="s">
        <v>17</v>
      </c>
      <c r="Y80" s="23"/>
      <c r="Z80" s="24" t="s">
        <v>17</v>
      </c>
      <c r="AA80" s="24" t="s">
        <v>17</v>
      </c>
      <c r="AB80" s="1" t="s">
        <v>17</v>
      </c>
      <c r="AC80" s="2" t="s">
        <v>17</v>
      </c>
      <c r="AD80" s="2" t="s">
        <v>17</v>
      </c>
      <c r="AE80" s="22" t="s">
        <v>17</v>
      </c>
      <c r="AF80" s="23"/>
      <c r="AG80" s="24" t="s">
        <v>17</v>
      </c>
      <c r="AH80" s="24" t="s">
        <v>17</v>
      </c>
      <c r="AI80" s="1" t="s">
        <v>17</v>
      </c>
      <c r="AJ80" s="2" t="s">
        <v>17</v>
      </c>
      <c r="AK80" s="2" t="s">
        <v>17</v>
      </c>
      <c r="AL80" s="3"/>
      <c r="AM80" s="2"/>
      <c r="AN80" s="24" t="s">
        <v>17</v>
      </c>
      <c r="AO80" s="24" t="s">
        <v>17</v>
      </c>
      <c r="AP80" s="1" t="s">
        <v>17</v>
      </c>
      <c r="AQ80" s="2" t="s">
        <v>17</v>
      </c>
      <c r="AR80" s="2" t="s">
        <v>17</v>
      </c>
      <c r="AS80" s="3"/>
      <c r="AT80" s="2"/>
      <c r="AU80" s="4"/>
      <c r="AV80" s="2"/>
      <c r="AW80" s="1" t="s">
        <v>17</v>
      </c>
      <c r="AX80" s="2" t="s">
        <v>17</v>
      </c>
      <c r="AY80" s="2" t="s">
        <v>17</v>
      </c>
      <c r="AZ80" s="5"/>
      <c r="BA80" s="6"/>
      <c r="BB80" s="4"/>
      <c r="BC80" s="6"/>
      <c r="BD80" s="6"/>
      <c r="BE80" s="6"/>
      <c r="BF80" s="7"/>
    </row>
    <row r="81" spans="1:58" ht="18" customHeight="1">
      <c r="A81" s="106" t="s">
        <v>15</v>
      </c>
      <c r="B81" s="93" t="s">
        <v>59</v>
      </c>
      <c r="C81" s="28">
        <v>152.6</v>
      </c>
      <c r="D81" s="28">
        <v>152.72</v>
      </c>
      <c r="E81" s="28">
        <v>152.66</v>
      </c>
      <c r="F81" s="28">
        <v>152.66</v>
      </c>
      <c r="G81" s="29">
        <v>4220.9330189681996</v>
      </c>
      <c r="H81" s="29">
        <v>1697.7312601153999</v>
      </c>
      <c r="I81" s="27">
        <f t="shared" si="1"/>
        <v>1</v>
      </c>
      <c r="J81" s="27">
        <f t="shared" si="2"/>
        <v>0</v>
      </c>
      <c r="K81" s="27">
        <f t="shared" si="0"/>
        <v>0</v>
      </c>
      <c r="L81" s="25">
        <v>632.85776400000009</v>
      </c>
      <c r="M81" s="25">
        <v>637.23128162726857</v>
      </c>
      <c r="N81" s="38"/>
      <c r="O81" s="38"/>
      <c r="P81" s="71"/>
      <c r="Q81" s="53">
        <v>44147</v>
      </c>
      <c r="R81" s="23">
        <v>3</v>
      </c>
      <c r="S81" s="24">
        <v>632.85776400000009</v>
      </c>
      <c r="T81" s="24">
        <v>637.23128162726857</v>
      </c>
      <c r="U81" s="1"/>
      <c r="V81" s="2"/>
      <c r="W81" s="2"/>
      <c r="X81" s="22" t="s">
        <v>17</v>
      </c>
      <c r="Y81" s="23"/>
      <c r="Z81" s="24" t="s">
        <v>17</v>
      </c>
      <c r="AA81" s="24" t="s">
        <v>17</v>
      </c>
      <c r="AB81" s="1" t="s">
        <v>17</v>
      </c>
      <c r="AC81" s="2" t="s">
        <v>17</v>
      </c>
      <c r="AD81" s="2" t="s">
        <v>17</v>
      </c>
      <c r="AE81" s="22" t="s">
        <v>17</v>
      </c>
      <c r="AF81" s="23"/>
      <c r="AG81" s="24" t="s">
        <v>17</v>
      </c>
      <c r="AH81" s="24" t="s">
        <v>17</v>
      </c>
      <c r="AI81" s="1" t="s">
        <v>17</v>
      </c>
      <c r="AJ81" s="2" t="s">
        <v>17</v>
      </c>
      <c r="AK81" s="2" t="s">
        <v>17</v>
      </c>
      <c r="AL81" s="3"/>
      <c r="AM81" s="2"/>
      <c r="AN81" s="24" t="s">
        <v>17</v>
      </c>
      <c r="AO81" s="24" t="s">
        <v>17</v>
      </c>
      <c r="AP81" s="1" t="s">
        <v>17</v>
      </c>
      <c r="AQ81" s="2" t="s">
        <v>17</v>
      </c>
      <c r="AR81" s="2" t="s">
        <v>17</v>
      </c>
      <c r="AS81" s="3"/>
      <c r="AT81" s="2"/>
      <c r="AU81" s="4"/>
      <c r="AV81" s="2"/>
      <c r="AW81" s="1" t="s">
        <v>17</v>
      </c>
      <c r="AX81" s="2" t="s">
        <v>17</v>
      </c>
      <c r="AY81" s="2" t="s">
        <v>17</v>
      </c>
      <c r="AZ81" s="5"/>
      <c r="BA81" s="6"/>
      <c r="BB81" s="4"/>
      <c r="BC81" s="6"/>
      <c r="BD81" s="6"/>
      <c r="BE81" s="6"/>
      <c r="BF81" s="7"/>
    </row>
    <row r="82" spans="1:58" ht="18" customHeight="1">
      <c r="A82" s="106" t="s">
        <v>15</v>
      </c>
      <c r="B82" s="93" t="s">
        <v>60</v>
      </c>
      <c r="C82" s="28">
        <v>155.22</v>
      </c>
      <c r="D82" s="28">
        <v>155.34</v>
      </c>
      <c r="E82" s="28">
        <v>155.28</v>
      </c>
      <c r="F82" s="28">
        <v>155.28</v>
      </c>
      <c r="G82" s="29">
        <v>4310.7340772520402</v>
      </c>
      <c r="H82" s="29">
        <v>1809.79650336488</v>
      </c>
      <c r="I82" s="27">
        <f t="shared" si="1"/>
        <v>2</v>
      </c>
      <c r="J82" s="27">
        <f t="shared" si="2"/>
        <v>2</v>
      </c>
      <c r="K82" s="27">
        <f t="shared" si="0"/>
        <v>2</v>
      </c>
      <c r="L82" s="25">
        <v>630.69535550000001</v>
      </c>
      <c r="M82" s="25">
        <v>635.02741260415678</v>
      </c>
      <c r="N82" s="38">
        <v>0.53163916953058443</v>
      </c>
      <c r="O82" s="38">
        <v>-10.452841648446952</v>
      </c>
      <c r="P82" s="71">
        <v>-12.57939832656929</v>
      </c>
      <c r="Q82" s="53">
        <v>42662</v>
      </c>
      <c r="R82" s="23">
        <v>8</v>
      </c>
      <c r="S82" s="24">
        <v>630.38499899999999</v>
      </c>
      <c r="T82" s="24">
        <v>634.81515628695524</v>
      </c>
      <c r="U82" s="1">
        <v>0.54393970577160111</v>
      </c>
      <c r="V82" s="2">
        <v>-10.366948754147121</v>
      </c>
      <c r="W82" s="2">
        <v>-12.542707577233525</v>
      </c>
      <c r="X82" s="22">
        <v>42662</v>
      </c>
      <c r="Y82" s="23">
        <v>8</v>
      </c>
      <c r="Z82" s="24">
        <v>631.00571200000002</v>
      </c>
      <c r="AA82" s="24">
        <v>635.23966892135843</v>
      </c>
      <c r="AB82" s="1">
        <v>0.51933863328956775</v>
      </c>
      <c r="AC82" s="2">
        <v>-10.538734542746786</v>
      </c>
      <c r="AD82" s="2">
        <v>-12.616089075905057</v>
      </c>
      <c r="AE82" s="22" t="s">
        <v>17</v>
      </c>
      <c r="AF82" s="23"/>
      <c r="AG82" s="24" t="s">
        <v>17</v>
      </c>
      <c r="AH82" s="24" t="s">
        <v>17</v>
      </c>
      <c r="AI82" s="1" t="s">
        <v>17</v>
      </c>
      <c r="AJ82" s="2" t="s">
        <v>17</v>
      </c>
      <c r="AK82" s="2" t="s">
        <v>17</v>
      </c>
      <c r="AL82" s="3"/>
      <c r="AM82" s="2"/>
      <c r="AN82" s="24" t="s">
        <v>17</v>
      </c>
      <c r="AO82" s="24" t="s">
        <v>17</v>
      </c>
      <c r="AP82" s="1" t="s">
        <v>17</v>
      </c>
      <c r="AQ82" s="2" t="s">
        <v>17</v>
      </c>
      <c r="AR82" s="2" t="s">
        <v>17</v>
      </c>
      <c r="AS82" s="3"/>
      <c r="AT82" s="2"/>
      <c r="AU82" s="4"/>
      <c r="AV82" s="2"/>
      <c r="AW82" s="1" t="s">
        <v>17</v>
      </c>
      <c r="AX82" s="2" t="s">
        <v>17</v>
      </c>
      <c r="AY82" s="2" t="s">
        <v>17</v>
      </c>
      <c r="AZ82" s="5"/>
      <c r="BA82" s="6"/>
      <c r="BB82" s="4"/>
      <c r="BC82" s="6"/>
      <c r="BD82" s="6"/>
      <c r="BE82" s="6"/>
      <c r="BF82" s="7"/>
    </row>
    <row r="83" spans="1:58" ht="18" customHeight="1">
      <c r="A83" s="106" t="s">
        <v>15</v>
      </c>
      <c r="B83" s="93" t="s">
        <v>61</v>
      </c>
      <c r="C83" s="28">
        <v>157.69</v>
      </c>
      <c r="D83" s="28">
        <v>157.81</v>
      </c>
      <c r="E83" s="28">
        <v>157.75</v>
      </c>
      <c r="F83" s="28">
        <v>157.75</v>
      </c>
      <c r="G83" s="29">
        <v>4399.2497473145004</v>
      </c>
      <c r="H83" s="29">
        <v>1917.5146462754999</v>
      </c>
      <c r="I83" s="27">
        <f t="shared" si="1"/>
        <v>2</v>
      </c>
      <c r="J83" s="27">
        <f t="shared" si="2"/>
        <v>2</v>
      </c>
      <c r="K83" s="27">
        <f t="shared" si="0"/>
        <v>0</v>
      </c>
      <c r="L83" s="25">
        <v>613.33910683333329</v>
      </c>
      <c r="M83" s="25">
        <v>617.50795415549544</v>
      </c>
      <c r="N83" s="38">
        <v>0.52608101922313466</v>
      </c>
      <c r="O83" s="38"/>
      <c r="P83" s="71"/>
      <c r="Q83" s="53">
        <v>42528</v>
      </c>
      <c r="R83" s="23">
        <v>3</v>
      </c>
      <c r="S83" s="24">
        <v>613.44048899999996</v>
      </c>
      <c r="T83" s="24">
        <v>617.62088644166386</v>
      </c>
      <c r="U83" s="1">
        <v>0.5274516099040838</v>
      </c>
      <c r="V83" s="2"/>
      <c r="W83" s="2"/>
      <c r="X83" s="22">
        <v>42528</v>
      </c>
      <c r="Y83" s="23">
        <v>3</v>
      </c>
      <c r="Z83" s="24">
        <v>613.23772466666662</v>
      </c>
      <c r="AA83" s="24">
        <v>617.39502186932702</v>
      </c>
      <c r="AB83" s="1">
        <v>0.52471042854218553</v>
      </c>
      <c r="AC83" s="2"/>
      <c r="AD83" s="2"/>
      <c r="AE83" s="22" t="s">
        <v>17</v>
      </c>
      <c r="AF83" s="23"/>
      <c r="AG83" s="24" t="s">
        <v>17</v>
      </c>
      <c r="AH83" s="24" t="s">
        <v>17</v>
      </c>
      <c r="AI83" s="1" t="s">
        <v>17</v>
      </c>
      <c r="AJ83" s="2" t="s">
        <v>17</v>
      </c>
      <c r="AK83" s="2" t="s">
        <v>17</v>
      </c>
      <c r="AL83" s="3"/>
      <c r="AM83" s="2"/>
      <c r="AN83" s="24" t="s">
        <v>17</v>
      </c>
      <c r="AO83" s="24" t="s">
        <v>17</v>
      </c>
      <c r="AP83" s="1" t="s">
        <v>17</v>
      </c>
      <c r="AQ83" s="2" t="s">
        <v>17</v>
      </c>
      <c r="AR83" s="2" t="s">
        <v>17</v>
      </c>
      <c r="AS83" s="3"/>
      <c r="AT83" s="2"/>
      <c r="AU83" s="4"/>
      <c r="AV83" s="2"/>
      <c r="AW83" s="1" t="s">
        <v>17</v>
      </c>
      <c r="AX83" s="2" t="s">
        <v>17</v>
      </c>
      <c r="AY83" s="2" t="s">
        <v>17</v>
      </c>
      <c r="AZ83" s="5"/>
      <c r="BA83" s="6"/>
      <c r="BB83" s="4"/>
      <c r="BC83" s="6"/>
      <c r="BD83" s="6"/>
      <c r="BE83" s="6"/>
      <c r="BF83" s="7"/>
    </row>
    <row r="84" spans="1:58" ht="18" customHeight="1">
      <c r="A84" s="106" t="s">
        <v>15</v>
      </c>
      <c r="B84" s="93" t="s">
        <v>62</v>
      </c>
      <c r="C84" s="28">
        <v>158.21</v>
      </c>
      <c r="D84" s="28">
        <v>158.33000000000001</v>
      </c>
      <c r="E84" s="28">
        <v>158.27000000000001</v>
      </c>
      <c r="F84" s="28">
        <v>158.27000000000001</v>
      </c>
      <c r="G84" s="29">
        <v>4417.6188405883604</v>
      </c>
      <c r="H84" s="29">
        <v>1938.1725870069299</v>
      </c>
      <c r="I84" s="27">
        <f t="shared" si="1"/>
        <v>1</v>
      </c>
      <c r="J84" s="27">
        <f t="shared" si="2"/>
        <v>1</v>
      </c>
      <c r="K84" s="27">
        <f t="shared" si="0"/>
        <v>0</v>
      </c>
      <c r="L84" s="25">
        <v>619.04375950000008</v>
      </c>
      <c r="M84" s="25">
        <v>623.18025812327789</v>
      </c>
      <c r="N84" s="38">
        <v>0.51718869179917526</v>
      </c>
      <c r="O84" s="38"/>
      <c r="P84" s="71"/>
      <c r="Q84" s="53">
        <v>42586</v>
      </c>
      <c r="R84" s="23">
        <v>3</v>
      </c>
      <c r="S84" s="24">
        <v>619.04375950000008</v>
      </c>
      <c r="T84" s="24">
        <v>623.18025812327789</v>
      </c>
      <c r="U84" s="1">
        <v>0.51718869179917526</v>
      </c>
      <c r="V84" s="2"/>
      <c r="W84" s="2"/>
      <c r="X84" s="22" t="s">
        <v>17</v>
      </c>
      <c r="Y84" s="23"/>
      <c r="Z84" s="24" t="s">
        <v>17</v>
      </c>
      <c r="AA84" s="24" t="s">
        <v>17</v>
      </c>
      <c r="AB84" s="1" t="s">
        <v>17</v>
      </c>
      <c r="AC84" s="2" t="s">
        <v>17</v>
      </c>
      <c r="AD84" s="2" t="s">
        <v>17</v>
      </c>
      <c r="AE84" s="22" t="s">
        <v>17</v>
      </c>
      <c r="AF84" s="23"/>
      <c r="AG84" s="24" t="s">
        <v>17</v>
      </c>
      <c r="AH84" s="24" t="s">
        <v>17</v>
      </c>
      <c r="AI84" s="1" t="s">
        <v>17</v>
      </c>
      <c r="AJ84" s="2" t="s">
        <v>17</v>
      </c>
      <c r="AK84" s="2" t="s">
        <v>17</v>
      </c>
      <c r="AL84" s="3"/>
      <c r="AM84" s="2"/>
      <c r="AN84" s="24" t="s">
        <v>17</v>
      </c>
      <c r="AO84" s="24" t="s">
        <v>17</v>
      </c>
      <c r="AP84" s="1" t="s">
        <v>17</v>
      </c>
      <c r="AQ84" s="2" t="s">
        <v>17</v>
      </c>
      <c r="AR84" s="2" t="s">
        <v>17</v>
      </c>
      <c r="AS84" s="3"/>
      <c r="AT84" s="2"/>
      <c r="AU84" s="4"/>
      <c r="AV84" s="2"/>
      <c r="AW84" s="1" t="s">
        <v>17</v>
      </c>
      <c r="AX84" s="2" t="s">
        <v>17</v>
      </c>
      <c r="AY84" s="2" t="s">
        <v>17</v>
      </c>
      <c r="AZ84" s="5"/>
      <c r="BA84" s="6"/>
      <c r="BB84" s="4"/>
      <c r="BC84" s="6"/>
      <c r="BD84" s="6"/>
      <c r="BE84" s="6"/>
      <c r="BF84" s="7"/>
    </row>
    <row r="85" spans="1:58" ht="18" customHeight="1">
      <c r="A85" s="106" t="s">
        <v>15</v>
      </c>
      <c r="B85" s="93" t="s">
        <v>62</v>
      </c>
      <c r="C85" s="28">
        <v>158.33000000000001</v>
      </c>
      <c r="D85" s="28">
        <v>158.44999999999999</v>
      </c>
      <c r="E85" s="28">
        <v>158.38999999999999</v>
      </c>
      <c r="F85" s="28">
        <v>158.38999999999999</v>
      </c>
      <c r="G85" s="29">
        <v>4421.8056857165102</v>
      </c>
      <c r="H85" s="29">
        <v>1942.84400028201</v>
      </c>
      <c r="I85" s="27">
        <f t="shared" si="1"/>
        <v>1</v>
      </c>
      <c r="J85" s="27">
        <f t="shared" si="2"/>
        <v>0</v>
      </c>
      <c r="K85" s="27">
        <f t="shared" si="0"/>
        <v>0</v>
      </c>
      <c r="L85" s="25">
        <v>621.65617099999997</v>
      </c>
      <c r="M85" s="25">
        <v>625.81012596042262</v>
      </c>
      <c r="N85" s="38"/>
      <c r="O85" s="38"/>
      <c r="P85" s="71"/>
      <c r="Q85" s="53">
        <v>44165</v>
      </c>
      <c r="R85" s="23">
        <v>3</v>
      </c>
      <c r="S85" s="24">
        <v>621.65617099999997</v>
      </c>
      <c r="T85" s="24">
        <v>625.81012596042262</v>
      </c>
      <c r="U85" s="1"/>
      <c r="V85" s="2"/>
      <c r="W85" s="2"/>
      <c r="X85" s="22" t="s">
        <v>17</v>
      </c>
      <c r="Y85" s="23"/>
      <c r="Z85" s="24" t="s">
        <v>17</v>
      </c>
      <c r="AA85" s="24" t="s">
        <v>17</v>
      </c>
      <c r="AB85" s="1"/>
      <c r="AC85" s="2"/>
      <c r="AD85" s="2"/>
      <c r="AE85" s="22" t="s">
        <v>17</v>
      </c>
      <c r="AF85" s="23"/>
      <c r="AG85" s="24"/>
      <c r="AH85" s="24"/>
      <c r="AI85" s="1"/>
      <c r="AJ85" s="2"/>
      <c r="AK85" s="2"/>
      <c r="AL85" s="3"/>
      <c r="AM85" s="2"/>
      <c r="AN85" s="24"/>
      <c r="AO85" s="24"/>
      <c r="AP85" s="1"/>
      <c r="AQ85" s="2"/>
      <c r="AR85" s="2"/>
      <c r="AS85" s="3"/>
      <c r="AT85" s="2"/>
      <c r="AU85" s="4"/>
      <c r="AV85" s="2"/>
      <c r="AW85" s="1"/>
      <c r="AX85" s="2"/>
      <c r="AY85" s="2"/>
      <c r="AZ85" s="5"/>
      <c r="BA85" s="6"/>
      <c r="BB85" s="4"/>
      <c r="BC85" s="6"/>
      <c r="BD85" s="6"/>
      <c r="BE85" s="6"/>
      <c r="BF85" s="7"/>
    </row>
    <row r="86" spans="1:58" ht="18" customHeight="1">
      <c r="A86" s="106" t="s">
        <v>15</v>
      </c>
      <c r="B86" s="93" t="s">
        <v>63</v>
      </c>
      <c r="C86" s="28">
        <v>159.6</v>
      </c>
      <c r="D86" s="28">
        <v>159.71</v>
      </c>
      <c r="E86" s="28">
        <v>159.655</v>
      </c>
      <c r="F86" s="28">
        <v>159.655</v>
      </c>
      <c r="G86" s="29">
        <v>4465.7587262433999</v>
      </c>
      <c r="H86" s="29">
        <v>1987.0913785001201</v>
      </c>
      <c r="I86" s="27">
        <f t="shared" si="1"/>
        <v>1</v>
      </c>
      <c r="J86" s="27">
        <f t="shared" si="2"/>
        <v>1</v>
      </c>
      <c r="K86" s="27">
        <f t="shared" si="0"/>
        <v>1</v>
      </c>
      <c r="L86" s="25">
        <v>611.9162695</v>
      </c>
      <c r="M86" s="25">
        <v>616.09198423764337</v>
      </c>
      <c r="N86" s="38">
        <v>0.52817313613151562</v>
      </c>
      <c r="O86" s="38">
        <v>-9.9663691391572726</v>
      </c>
      <c r="P86" s="71">
        <v>-12.079061683683335</v>
      </c>
      <c r="Q86" s="53">
        <v>43451</v>
      </c>
      <c r="R86" s="23">
        <v>10</v>
      </c>
      <c r="S86" s="24">
        <v>611.9162695</v>
      </c>
      <c r="T86" s="24">
        <v>616.09198423764337</v>
      </c>
      <c r="U86" s="1">
        <v>0.52817313613151562</v>
      </c>
      <c r="V86" s="2">
        <v>-9.9663691391572726</v>
      </c>
      <c r="W86" s="2">
        <v>-12.079061683683335</v>
      </c>
      <c r="X86" s="22" t="s">
        <v>17</v>
      </c>
      <c r="Y86" s="23"/>
      <c r="Z86" s="24" t="s">
        <v>17</v>
      </c>
      <c r="AA86" s="24" t="s">
        <v>17</v>
      </c>
      <c r="AB86" s="1" t="s">
        <v>17</v>
      </c>
      <c r="AC86" s="2" t="s">
        <v>17</v>
      </c>
      <c r="AD86" s="2" t="s">
        <v>17</v>
      </c>
      <c r="AE86" s="22" t="s">
        <v>17</v>
      </c>
      <c r="AF86" s="23"/>
      <c r="AG86" s="24" t="s">
        <v>17</v>
      </c>
      <c r="AH86" s="24" t="s">
        <v>17</v>
      </c>
      <c r="AI86" s="1" t="s">
        <v>17</v>
      </c>
      <c r="AJ86" s="2" t="s">
        <v>17</v>
      </c>
      <c r="AK86" s="2" t="s">
        <v>17</v>
      </c>
      <c r="AL86" s="3"/>
      <c r="AM86" s="2"/>
      <c r="AN86" s="24" t="s">
        <v>17</v>
      </c>
      <c r="AO86" s="24" t="s">
        <v>17</v>
      </c>
      <c r="AP86" s="1" t="s">
        <v>17</v>
      </c>
      <c r="AQ86" s="2" t="s">
        <v>17</v>
      </c>
      <c r="AR86" s="2" t="s">
        <v>17</v>
      </c>
      <c r="AS86" s="3"/>
      <c r="AT86" s="2"/>
      <c r="AU86" s="4"/>
      <c r="AV86" s="2"/>
      <c r="AW86" s="1" t="s">
        <v>17</v>
      </c>
      <c r="AX86" s="2" t="s">
        <v>17</v>
      </c>
      <c r="AY86" s="2" t="s">
        <v>17</v>
      </c>
      <c r="AZ86" s="5"/>
      <c r="BA86" s="6"/>
      <c r="BB86" s="4"/>
      <c r="BC86" s="6"/>
      <c r="BD86" s="6"/>
      <c r="BE86" s="6"/>
      <c r="BF86" s="7"/>
    </row>
    <row r="87" spans="1:58" ht="18" customHeight="1">
      <c r="A87" s="106" t="s">
        <v>15</v>
      </c>
      <c r="B87" s="93" t="s">
        <v>64</v>
      </c>
      <c r="C87" s="28">
        <v>160.51</v>
      </c>
      <c r="D87" s="28">
        <v>160.71</v>
      </c>
      <c r="E87" s="28">
        <v>160.61000000000001</v>
      </c>
      <c r="F87" s="28">
        <v>160.61000000000001</v>
      </c>
      <c r="G87" s="29">
        <v>4498.4062674201296</v>
      </c>
      <c r="H87" s="29">
        <v>2016.91189346705</v>
      </c>
      <c r="I87" s="27">
        <f t="shared" si="1"/>
        <v>1</v>
      </c>
      <c r="J87" s="27">
        <f t="shared" si="2"/>
        <v>1</v>
      </c>
      <c r="K87" s="27">
        <f t="shared" si="0"/>
        <v>0</v>
      </c>
      <c r="L87" s="25">
        <v>613.14249100000006</v>
      </c>
      <c r="M87" s="25">
        <v>617.15222814873255</v>
      </c>
      <c r="N87" s="38">
        <v>0.50616484268828366</v>
      </c>
      <c r="O87" s="38"/>
      <c r="P87" s="71"/>
      <c r="Q87" s="53">
        <v>42682</v>
      </c>
      <c r="R87" s="23">
        <v>3</v>
      </c>
      <c r="S87" s="24">
        <v>613.14249100000006</v>
      </c>
      <c r="T87" s="24">
        <v>617.15222814873255</v>
      </c>
      <c r="U87" s="1">
        <v>0.50616484268828366</v>
      </c>
      <c r="V87" s="2"/>
      <c r="W87" s="2"/>
      <c r="X87" s="22" t="s">
        <v>17</v>
      </c>
      <c r="Y87" s="23"/>
      <c r="Z87" s="24" t="s">
        <v>17</v>
      </c>
      <c r="AA87" s="24" t="s">
        <v>17</v>
      </c>
      <c r="AB87" s="1" t="s">
        <v>17</v>
      </c>
      <c r="AC87" s="2" t="s">
        <v>17</v>
      </c>
      <c r="AD87" s="2" t="s">
        <v>17</v>
      </c>
      <c r="AE87" s="22" t="s">
        <v>17</v>
      </c>
      <c r="AF87" s="23"/>
      <c r="AG87" s="24" t="s">
        <v>17</v>
      </c>
      <c r="AH87" s="24" t="s">
        <v>17</v>
      </c>
      <c r="AI87" s="1" t="s">
        <v>17</v>
      </c>
      <c r="AJ87" s="2" t="s">
        <v>17</v>
      </c>
      <c r="AK87" s="2" t="s">
        <v>17</v>
      </c>
      <c r="AL87" s="3"/>
      <c r="AM87" s="2"/>
      <c r="AN87" s="24" t="s">
        <v>17</v>
      </c>
      <c r="AO87" s="24" t="s">
        <v>17</v>
      </c>
      <c r="AP87" s="1" t="s">
        <v>17</v>
      </c>
      <c r="AQ87" s="2" t="s">
        <v>17</v>
      </c>
      <c r="AR87" s="2" t="s">
        <v>17</v>
      </c>
      <c r="AS87" s="3"/>
      <c r="AT87" s="2"/>
      <c r="AU87" s="4"/>
      <c r="AV87" s="2"/>
      <c r="AW87" s="1" t="s">
        <v>17</v>
      </c>
      <c r="AX87" s="2" t="s">
        <v>17</v>
      </c>
      <c r="AY87" s="2" t="s">
        <v>17</v>
      </c>
      <c r="AZ87" s="5"/>
      <c r="BA87" s="6"/>
      <c r="BB87" s="4"/>
      <c r="BC87" s="6"/>
      <c r="BD87" s="6"/>
      <c r="BE87" s="6"/>
      <c r="BF87" s="7"/>
    </row>
    <row r="88" spans="1:58" ht="18" customHeight="1">
      <c r="A88" s="106" t="s">
        <v>15</v>
      </c>
      <c r="B88" s="93" t="s">
        <v>65</v>
      </c>
      <c r="C88" s="28">
        <v>161.69</v>
      </c>
      <c r="D88" s="28">
        <v>161.80000000000001</v>
      </c>
      <c r="E88" s="28">
        <v>161.745</v>
      </c>
      <c r="F88" s="28">
        <v>161.745</v>
      </c>
      <c r="G88" s="29">
        <v>4538.1642304529996</v>
      </c>
      <c r="H88" s="29">
        <v>2055.15348989525</v>
      </c>
      <c r="I88" s="27">
        <f t="shared" si="1"/>
        <v>1</v>
      </c>
      <c r="J88" s="27">
        <f t="shared" si="2"/>
        <v>1</v>
      </c>
      <c r="K88" s="27">
        <f t="shared" si="0"/>
        <v>1</v>
      </c>
      <c r="L88" s="25">
        <v>612.74413349999998</v>
      </c>
      <c r="M88" s="25">
        <v>616.96249737403514</v>
      </c>
      <c r="N88" s="38">
        <v>0.53284680180509802</v>
      </c>
      <c r="O88" s="38">
        <v>-8.8363801208599657</v>
      </c>
      <c r="P88" s="71">
        <v>-10.967767328080358</v>
      </c>
      <c r="Q88" s="53">
        <v>43451</v>
      </c>
      <c r="R88" s="23">
        <v>10</v>
      </c>
      <c r="S88" s="24">
        <v>612.74413349999998</v>
      </c>
      <c r="T88" s="24">
        <v>616.96249737403514</v>
      </c>
      <c r="U88" s="1">
        <v>0.53284680180509802</v>
      </c>
      <c r="V88" s="2">
        <v>-8.8363801208599657</v>
      </c>
      <c r="W88" s="2">
        <v>-10.967767328080358</v>
      </c>
      <c r="X88" s="22" t="s">
        <v>17</v>
      </c>
      <c r="Y88" s="23"/>
      <c r="Z88" s="24" t="s">
        <v>17</v>
      </c>
      <c r="AA88" s="24" t="s">
        <v>17</v>
      </c>
      <c r="AB88" s="1" t="s">
        <v>17</v>
      </c>
      <c r="AC88" s="2" t="s">
        <v>17</v>
      </c>
      <c r="AD88" s="2" t="s">
        <v>17</v>
      </c>
      <c r="AE88" s="22" t="s">
        <v>17</v>
      </c>
      <c r="AF88" s="23"/>
      <c r="AG88" s="24" t="s">
        <v>17</v>
      </c>
      <c r="AH88" s="24" t="s">
        <v>17</v>
      </c>
      <c r="AI88" s="1" t="s">
        <v>17</v>
      </c>
      <c r="AJ88" s="2" t="s">
        <v>17</v>
      </c>
      <c r="AK88" s="2" t="s">
        <v>17</v>
      </c>
      <c r="AL88" s="3"/>
      <c r="AM88" s="2"/>
      <c r="AN88" s="24" t="s">
        <v>17</v>
      </c>
      <c r="AO88" s="24" t="s">
        <v>17</v>
      </c>
      <c r="AP88" s="1" t="s">
        <v>17</v>
      </c>
      <c r="AQ88" s="2" t="s">
        <v>17</v>
      </c>
      <c r="AR88" s="2" t="s">
        <v>17</v>
      </c>
      <c r="AS88" s="3"/>
      <c r="AT88" s="2"/>
      <c r="AU88" s="4"/>
      <c r="AV88" s="2"/>
      <c r="AW88" s="1" t="s">
        <v>17</v>
      </c>
      <c r="AX88" s="2" t="s">
        <v>17</v>
      </c>
      <c r="AY88" s="2" t="s">
        <v>17</v>
      </c>
      <c r="AZ88" s="5"/>
      <c r="BA88" s="6"/>
      <c r="BB88" s="4"/>
      <c r="BC88" s="6"/>
      <c r="BD88" s="6"/>
      <c r="BE88" s="6"/>
      <c r="BF88" s="7"/>
    </row>
    <row r="89" spans="1:58" ht="18" customHeight="1">
      <c r="A89" s="106" t="s">
        <v>15</v>
      </c>
      <c r="B89" s="93" t="s">
        <v>66</v>
      </c>
      <c r="C89" s="28">
        <v>162.55500000000001</v>
      </c>
      <c r="D89" s="28">
        <v>162.69</v>
      </c>
      <c r="E89" s="28">
        <v>162.6225</v>
      </c>
      <c r="F89" s="28">
        <v>162.6225</v>
      </c>
      <c r="G89" s="29">
        <v>4569.24173902844</v>
      </c>
      <c r="H89" s="29">
        <v>2084.8599824641801</v>
      </c>
      <c r="I89" s="27">
        <f t="shared" si="1"/>
        <v>1</v>
      </c>
      <c r="J89" s="27">
        <f t="shared" si="2"/>
        <v>1</v>
      </c>
      <c r="K89" s="27">
        <f t="shared" si="0"/>
        <v>1</v>
      </c>
      <c r="L89" s="25">
        <v>608.06999100000007</v>
      </c>
      <c r="M89" s="25">
        <v>612.23742721185704</v>
      </c>
      <c r="N89" s="38">
        <v>0.53046028765768583</v>
      </c>
      <c r="O89" s="38">
        <v>-11.112177747201969</v>
      </c>
      <c r="P89" s="71">
        <v>-13.234018897832712</v>
      </c>
      <c r="Q89" s="53">
        <v>42669</v>
      </c>
      <c r="R89" s="23">
        <v>8</v>
      </c>
      <c r="S89" s="24">
        <v>608.06999100000007</v>
      </c>
      <c r="T89" s="24">
        <v>612.23742721185704</v>
      </c>
      <c r="U89" s="1">
        <v>0.53046028765768583</v>
      </c>
      <c r="V89" s="2">
        <v>-11.112177747201969</v>
      </c>
      <c r="W89" s="2">
        <v>-13.234018897832712</v>
      </c>
      <c r="X89" s="22" t="s">
        <v>17</v>
      </c>
      <c r="Y89" s="23"/>
      <c r="Z89" s="24" t="s">
        <v>17</v>
      </c>
      <c r="AA89" s="24" t="s">
        <v>17</v>
      </c>
      <c r="AB89" s="1" t="s">
        <v>17</v>
      </c>
      <c r="AC89" s="2" t="s">
        <v>17</v>
      </c>
      <c r="AD89" s="2" t="s">
        <v>17</v>
      </c>
      <c r="AE89" s="22" t="s">
        <v>17</v>
      </c>
      <c r="AF89" s="23"/>
      <c r="AG89" s="24" t="s">
        <v>17</v>
      </c>
      <c r="AH89" s="24" t="s">
        <v>17</v>
      </c>
      <c r="AI89" s="1" t="s">
        <v>17</v>
      </c>
      <c r="AJ89" s="2" t="s">
        <v>17</v>
      </c>
      <c r="AK89" s="2" t="s">
        <v>17</v>
      </c>
      <c r="AL89" s="3"/>
      <c r="AM89" s="2"/>
      <c r="AN89" s="24" t="s">
        <v>17</v>
      </c>
      <c r="AO89" s="24" t="s">
        <v>17</v>
      </c>
      <c r="AP89" s="1" t="s">
        <v>17</v>
      </c>
      <c r="AQ89" s="2" t="s">
        <v>17</v>
      </c>
      <c r="AR89" s="2" t="s">
        <v>17</v>
      </c>
      <c r="AS89" s="3"/>
      <c r="AT89" s="2"/>
      <c r="AU89" s="4"/>
      <c r="AV89" s="2"/>
      <c r="AW89" s="1" t="s">
        <v>17</v>
      </c>
      <c r="AX89" s="2" t="s">
        <v>17</v>
      </c>
      <c r="AY89" s="2" t="s">
        <v>17</v>
      </c>
      <c r="AZ89" s="5"/>
      <c r="BA89" s="6"/>
      <c r="BB89" s="4"/>
      <c r="BC89" s="6"/>
      <c r="BD89" s="6"/>
      <c r="BE89" s="6"/>
      <c r="BF89" s="7"/>
    </row>
    <row r="90" spans="1:58" ht="18" customHeight="1">
      <c r="A90" s="106" t="s">
        <v>15</v>
      </c>
      <c r="B90" s="93" t="s">
        <v>67</v>
      </c>
      <c r="C90" s="28">
        <v>163.57</v>
      </c>
      <c r="D90" s="28">
        <v>163.69</v>
      </c>
      <c r="E90" s="28">
        <v>163.63</v>
      </c>
      <c r="F90" s="28">
        <v>163.63</v>
      </c>
      <c r="G90" s="29">
        <v>4605.9521002659503</v>
      </c>
      <c r="H90" s="29">
        <v>2116.02316183634</v>
      </c>
      <c r="I90" s="27">
        <f t="shared" si="1"/>
        <v>1</v>
      </c>
      <c r="J90" s="27">
        <f t="shared" si="2"/>
        <v>1</v>
      </c>
      <c r="K90" s="27">
        <f t="shared" si="0"/>
        <v>1</v>
      </c>
      <c r="L90" s="25">
        <v>612.42524950000006</v>
      </c>
      <c r="M90" s="25">
        <v>616.54295932351761</v>
      </c>
      <c r="N90" s="38">
        <v>0.52040341402470602</v>
      </c>
      <c r="O90" s="38">
        <v>-9.1739083643304085</v>
      </c>
      <c r="P90" s="71">
        <v>-11.255522020429233</v>
      </c>
      <c r="Q90" s="53">
        <v>43459</v>
      </c>
      <c r="R90" s="23">
        <v>12</v>
      </c>
      <c r="S90" s="24">
        <v>612.42524950000006</v>
      </c>
      <c r="T90" s="24">
        <v>616.54295932351761</v>
      </c>
      <c r="U90" s="1">
        <v>0.52040341402470602</v>
      </c>
      <c r="V90" s="2">
        <v>-9.1739083643304085</v>
      </c>
      <c r="W90" s="2">
        <v>-11.255522020429233</v>
      </c>
      <c r="X90" s="22" t="s">
        <v>17</v>
      </c>
      <c r="Y90" s="23"/>
      <c r="Z90" s="24" t="s">
        <v>17</v>
      </c>
      <c r="AA90" s="24" t="s">
        <v>17</v>
      </c>
      <c r="AB90" s="1" t="s">
        <v>17</v>
      </c>
      <c r="AC90" s="2" t="s">
        <v>17</v>
      </c>
      <c r="AD90" s="2" t="s">
        <v>17</v>
      </c>
      <c r="AE90" s="22" t="s">
        <v>17</v>
      </c>
      <c r="AF90" s="23"/>
      <c r="AG90" s="24" t="s">
        <v>17</v>
      </c>
      <c r="AH90" s="24" t="s">
        <v>17</v>
      </c>
      <c r="AI90" s="1" t="s">
        <v>17</v>
      </c>
      <c r="AJ90" s="2" t="s">
        <v>17</v>
      </c>
      <c r="AK90" s="2" t="s">
        <v>17</v>
      </c>
      <c r="AL90" s="3"/>
      <c r="AM90" s="2"/>
      <c r="AN90" s="24" t="s">
        <v>17</v>
      </c>
      <c r="AO90" s="24" t="s">
        <v>17</v>
      </c>
      <c r="AP90" s="1" t="s">
        <v>17</v>
      </c>
      <c r="AQ90" s="2" t="s">
        <v>17</v>
      </c>
      <c r="AR90" s="2" t="s">
        <v>17</v>
      </c>
      <c r="AS90" s="3"/>
      <c r="AT90" s="2"/>
      <c r="AU90" s="4"/>
      <c r="AV90" s="2"/>
      <c r="AW90" s="1" t="s">
        <v>17</v>
      </c>
      <c r="AX90" s="2" t="s">
        <v>17</v>
      </c>
      <c r="AY90" s="2" t="s">
        <v>17</v>
      </c>
      <c r="AZ90" s="5"/>
      <c r="BA90" s="6"/>
      <c r="BB90" s="4"/>
      <c r="BC90" s="6"/>
      <c r="BD90" s="6"/>
      <c r="BE90" s="6"/>
      <c r="BF90" s="7"/>
    </row>
    <row r="91" spans="1:58" ht="18" customHeight="1">
      <c r="A91" s="106" t="s">
        <v>15</v>
      </c>
      <c r="B91" s="93" t="s">
        <v>68</v>
      </c>
      <c r="C91" s="28">
        <v>163.965</v>
      </c>
      <c r="D91" s="28">
        <v>164.19</v>
      </c>
      <c r="E91" s="28">
        <v>164.07749999999999</v>
      </c>
      <c r="F91" s="28">
        <v>164.07749999999999</v>
      </c>
      <c r="G91" s="29">
        <v>4622.3307650359602</v>
      </c>
      <c r="H91" s="29">
        <v>2128.9587784812002</v>
      </c>
      <c r="I91" s="27">
        <f t="shared" si="1"/>
        <v>1</v>
      </c>
      <c r="J91" s="27">
        <f t="shared" si="2"/>
        <v>1</v>
      </c>
      <c r="K91" s="27">
        <f t="shared" si="0"/>
        <v>0</v>
      </c>
      <c r="L91" s="25">
        <v>607.09202866666669</v>
      </c>
      <c r="M91" s="25">
        <v>611.2408066719737</v>
      </c>
      <c r="N91" s="38">
        <v>0.52893603201020767</v>
      </c>
      <c r="O91" s="38"/>
      <c r="P91" s="71"/>
      <c r="Q91" s="53">
        <v>42528</v>
      </c>
      <c r="R91" s="23">
        <v>3</v>
      </c>
      <c r="S91" s="24">
        <v>607.09202866666669</v>
      </c>
      <c r="T91" s="24">
        <v>611.2408066719737</v>
      </c>
      <c r="U91" s="1">
        <v>0.52893603201020767</v>
      </c>
      <c r="V91" s="2"/>
      <c r="W91" s="2"/>
      <c r="X91" s="22" t="s">
        <v>17</v>
      </c>
      <c r="Y91" s="23"/>
      <c r="Z91" s="24" t="s">
        <v>17</v>
      </c>
      <c r="AA91" s="24" t="s">
        <v>17</v>
      </c>
      <c r="AB91" s="1" t="s">
        <v>17</v>
      </c>
      <c r="AC91" s="2" t="s">
        <v>17</v>
      </c>
      <c r="AD91" s="2" t="s">
        <v>17</v>
      </c>
      <c r="AE91" s="22" t="s">
        <v>17</v>
      </c>
      <c r="AF91" s="23"/>
      <c r="AG91" s="24" t="s">
        <v>17</v>
      </c>
      <c r="AH91" s="24" t="s">
        <v>17</v>
      </c>
      <c r="AI91" s="1" t="s">
        <v>17</v>
      </c>
      <c r="AJ91" s="2" t="s">
        <v>17</v>
      </c>
      <c r="AK91" s="2" t="s">
        <v>17</v>
      </c>
      <c r="AL91" s="3"/>
      <c r="AM91" s="2"/>
      <c r="AN91" s="24" t="s">
        <v>17</v>
      </c>
      <c r="AO91" s="24" t="s">
        <v>17</v>
      </c>
      <c r="AP91" s="1" t="s">
        <v>17</v>
      </c>
      <c r="AQ91" s="2" t="s">
        <v>17</v>
      </c>
      <c r="AR91" s="2" t="s">
        <v>17</v>
      </c>
      <c r="AS91" s="3"/>
      <c r="AT91" s="2"/>
      <c r="AU91" s="4"/>
      <c r="AV91" s="2"/>
      <c r="AW91" s="1" t="s">
        <v>17</v>
      </c>
      <c r="AX91" s="2" t="s">
        <v>17</v>
      </c>
      <c r="AY91" s="2" t="s">
        <v>17</v>
      </c>
      <c r="AZ91" s="5"/>
      <c r="BA91" s="6"/>
      <c r="BB91" s="4"/>
      <c r="BC91" s="6"/>
      <c r="BD91" s="6"/>
      <c r="BE91" s="6"/>
      <c r="BF91" s="7"/>
    </row>
    <row r="92" spans="1:58" ht="18" customHeight="1">
      <c r="A92" s="106" t="s">
        <v>15</v>
      </c>
      <c r="B92" s="93" t="s">
        <v>69</v>
      </c>
      <c r="C92" s="28">
        <v>164.57</v>
      </c>
      <c r="D92" s="28">
        <v>164.69</v>
      </c>
      <c r="E92" s="28">
        <v>164.63</v>
      </c>
      <c r="F92" s="28">
        <v>164.63</v>
      </c>
      <c r="G92" s="29">
        <v>4641.8792959263101</v>
      </c>
      <c r="H92" s="29">
        <v>2144.1904765919498</v>
      </c>
      <c r="I92" s="27">
        <f t="shared" si="1"/>
        <v>1</v>
      </c>
      <c r="J92" s="27">
        <f t="shared" si="2"/>
        <v>1</v>
      </c>
      <c r="K92" s="27">
        <f t="shared" si="0"/>
        <v>1</v>
      </c>
      <c r="L92" s="25">
        <v>611.11115100000006</v>
      </c>
      <c r="M92" s="25">
        <v>615.23366263893763</v>
      </c>
      <c r="N92" s="38">
        <v>0.52213062663453158</v>
      </c>
      <c r="O92" s="38">
        <v>-9.2513929596045319</v>
      </c>
      <c r="P92" s="71">
        <v>-11.339915466142658</v>
      </c>
      <c r="Q92" s="53">
        <v>43447</v>
      </c>
      <c r="R92" s="23">
        <v>12</v>
      </c>
      <c r="S92" s="24">
        <v>611.11115100000006</v>
      </c>
      <c r="T92" s="24">
        <v>615.23366263893763</v>
      </c>
      <c r="U92" s="1">
        <v>0.52213062663453158</v>
      </c>
      <c r="V92" s="2">
        <v>-9.2513929596045319</v>
      </c>
      <c r="W92" s="2">
        <v>-11.339915466142658</v>
      </c>
      <c r="X92" s="22" t="s">
        <v>17</v>
      </c>
      <c r="Y92" s="23"/>
      <c r="Z92" s="24" t="s">
        <v>17</v>
      </c>
      <c r="AA92" s="24" t="s">
        <v>17</v>
      </c>
      <c r="AB92" s="1" t="s">
        <v>17</v>
      </c>
      <c r="AC92" s="2" t="s">
        <v>17</v>
      </c>
      <c r="AD92" s="2" t="s">
        <v>17</v>
      </c>
      <c r="AE92" s="22" t="s">
        <v>17</v>
      </c>
      <c r="AF92" s="23"/>
      <c r="AG92" s="24" t="s">
        <v>17</v>
      </c>
      <c r="AH92" s="24" t="s">
        <v>17</v>
      </c>
      <c r="AI92" s="1" t="s">
        <v>17</v>
      </c>
      <c r="AJ92" s="2" t="s">
        <v>17</v>
      </c>
      <c r="AK92" s="2" t="s">
        <v>17</v>
      </c>
      <c r="AL92" s="3"/>
      <c r="AM92" s="2"/>
      <c r="AN92" s="24" t="s">
        <v>17</v>
      </c>
      <c r="AO92" s="24" t="s">
        <v>17</v>
      </c>
      <c r="AP92" s="1" t="s">
        <v>17</v>
      </c>
      <c r="AQ92" s="2" t="s">
        <v>17</v>
      </c>
      <c r="AR92" s="2" t="s">
        <v>17</v>
      </c>
      <c r="AS92" s="3"/>
      <c r="AT92" s="2"/>
      <c r="AU92" s="4"/>
      <c r="AV92" s="2"/>
      <c r="AW92" s="1" t="s">
        <v>17</v>
      </c>
      <c r="AX92" s="2" t="s">
        <v>17</v>
      </c>
      <c r="AY92" s="2" t="s">
        <v>17</v>
      </c>
      <c r="AZ92" s="5"/>
      <c r="BA92" s="6"/>
      <c r="BB92" s="4"/>
      <c r="BC92" s="6"/>
      <c r="BD92" s="6"/>
      <c r="BE92" s="6"/>
      <c r="BF92" s="7"/>
    </row>
    <row r="93" spans="1:58" ht="18" customHeight="1">
      <c r="A93" s="106" t="s">
        <v>15</v>
      </c>
      <c r="B93" s="93" t="s">
        <v>70</v>
      </c>
      <c r="C93" s="28">
        <v>165.69</v>
      </c>
      <c r="D93" s="28">
        <v>165.81</v>
      </c>
      <c r="E93" s="28">
        <v>165.75</v>
      </c>
      <c r="F93" s="28">
        <v>165.75</v>
      </c>
      <c r="G93" s="29">
        <v>4680.9549559509996</v>
      </c>
      <c r="H93" s="29">
        <v>2173.73329828325</v>
      </c>
      <c r="I93" s="27">
        <f t="shared" si="1"/>
        <v>1</v>
      </c>
      <c r="J93" s="27">
        <f t="shared" si="2"/>
        <v>1</v>
      </c>
      <c r="K93" s="27">
        <f t="shared" si="0"/>
        <v>1</v>
      </c>
      <c r="L93" s="25">
        <v>606.40570000000002</v>
      </c>
      <c r="M93" s="25">
        <v>610.54227555202544</v>
      </c>
      <c r="N93" s="38">
        <v>0.52797720466624121</v>
      </c>
      <c r="O93" s="38">
        <v>-8.8372657079238692</v>
      </c>
      <c r="P93" s="71">
        <v>-10.949174526588834</v>
      </c>
      <c r="Q93" s="53">
        <v>43216</v>
      </c>
      <c r="R93" s="23">
        <v>6</v>
      </c>
      <c r="S93" s="24">
        <v>606.40570000000002</v>
      </c>
      <c r="T93" s="24">
        <v>610.54227555202544</v>
      </c>
      <c r="U93" s="1">
        <v>0.52797720466624121</v>
      </c>
      <c r="V93" s="2">
        <v>-8.8372657079238692</v>
      </c>
      <c r="W93" s="2">
        <v>-10.949174526588834</v>
      </c>
      <c r="X93" s="22" t="s">
        <v>17</v>
      </c>
      <c r="Y93" s="23"/>
      <c r="Z93" s="24" t="s">
        <v>17</v>
      </c>
      <c r="AA93" s="24" t="s">
        <v>17</v>
      </c>
      <c r="AB93" s="1" t="s">
        <v>17</v>
      </c>
      <c r="AC93" s="2" t="s">
        <v>17</v>
      </c>
      <c r="AD93" s="2" t="s">
        <v>17</v>
      </c>
      <c r="AE93" s="22" t="s">
        <v>17</v>
      </c>
      <c r="AF93" s="23"/>
      <c r="AG93" s="24" t="s">
        <v>17</v>
      </c>
      <c r="AH93" s="24" t="s">
        <v>17</v>
      </c>
      <c r="AI93" s="1" t="s">
        <v>17</v>
      </c>
      <c r="AJ93" s="2" t="s">
        <v>17</v>
      </c>
      <c r="AK93" s="2" t="s">
        <v>17</v>
      </c>
      <c r="AL93" s="3"/>
      <c r="AM93" s="2"/>
      <c r="AN93" s="24" t="s">
        <v>17</v>
      </c>
      <c r="AO93" s="24" t="s">
        <v>17</v>
      </c>
      <c r="AP93" s="1" t="s">
        <v>17</v>
      </c>
      <c r="AQ93" s="2" t="s">
        <v>17</v>
      </c>
      <c r="AR93" s="2" t="s">
        <v>17</v>
      </c>
      <c r="AS93" s="3"/>
      <c r="AT93" s="2"/>
      <c r="AU93" s="4"/>
      <c r="AV93" s="2"/>
      <c r="AW93" s="1" t="s">
        <v>17</v>
      </c>
      <c r="AX93" s="2" t="s">
        <v>17</v>
      </c>
      <c r="AY93" s="2" t="s">
        <v>17</v>
      </c>
      <c r="AZ93" s="5"/>
      <c r="BA93" s="6"/>
      <c r="BB93" s="4"/>
      <c r="BC93" s="6"/>
      <c r="BD93" s="6"/>
      <c r="BE93" s="6"/>
      <c r="BF93" s="7"/>
    </row>
    <row r="94" spans="1:58" ht="18" customHeight="1">
      <c r="A94" s="106" t="s">
        <v>15</v>
      </c>
      <c r="B94" s="93" t="s">
        <v>71</v>
      </c>
      <c r="C94" s="28">
        <v>166.57249999999999</v>
      </c>
      <c r="D94" s="28">
        <v>166.69</v>
      </c>
      <c r="E94" s="28">
        <v>166.63124999999999</v>
      </c>
      <c r="F94" s="28">
        <v>166.63124999999999</v>
      </c>
      <c r="G94" s="29">
        <v>4709.8180970958902</v>
      </c>
      <c r="H94" s="29">
        <v>2202.9956877846898</v>
      </c>
      <c r="I94" s="27">
        <f t="shared" si="1"/>
        <v>1</v>
      </c>
      <c r="J94" s="27">
        <f t="shared" si="2"/>
        <v>1</v>
      </c>
      <c r="K94" s="27">
        <f t="shared" si="0"/>
        <v>0</v>
      </c>
      <c r="L94" s="25">
        <v>606.10799950000001</v>
      </c>
      <c r="M94" s="25">
        <v>610.1958800390006</v>
      </c>
      <c r="N94" s="38">
        <v>0.52201822576880552</v>
      </c>
      <c r="O94" s="38"/>
      <c r="P94" s="71"/>
      <c r="Q94" s="53">
        <v>42611</v>
      </c>
      <c r="R94" s="23">
        <v>3</v>
      </c>
      <c r="S94" s="24">
        <v>606.10799950000001</v>
      </c>
      <c r="T94" s="24">
        <v>610.1958800390006</v>
      </c>
      <c r="U94" s="1">
        <v>0.52201822576880552</v>
      </c>
      <c r="V94" s="2"/>
      <c r="W94" s="2"/>
      <c r="X94" s="22" t="s">
        <v>17</v>
      </c>
      <c r="Y94" s="23"/>
      <c r="Z94" s="24" t="s">
        <v>17</v>
      </c>
      <c r="AA94" s="24" t="s">
        <v>17</v>
      </c>
      <c r="AB94" s="1" t="s">
        <v>17</v>
      </c>
      <c r="AC94" s="2" t="s">
        <v>17</v>
      </c>
      <c r="AD94" s="2" t="s">
        <v>17</v>
      </c>
      <c r="AE94" s="22" t="s">
        <v>17</v>
      </c>
      <c r="AF94" s="23"/>
      <c r="AG94" s="24" t="s">
        <v>17</v>
      </c>
      <c r="AH94" s="24" t="s">
        <v>17</v>
      </c>
      <c r="AI94" s="1" t="s">
        <v>17</v>
      </c>
      <c r="AJ94" s="2" t="s">
        <v>17</v>
      </c>
      <c r="AK94" s="2" t="s">
        <v>17</v>
      </c>
      <c r="AL94" s="3"/>
      <c r="AM94" s="2"/>
      <c r="AN94" s="24" t="s">
        <v>17</v>
      </c>
      <c r="AO94" s="24" t="s">
        <v>17</v>
      </c>
      <c r="AP94" s="1" t="s">
        <v>17</v>
      </c>
      <c r="AQ94" s="2" t="s">
        <v>17</v>
      </c>
      <c r="AR94" s="2" t="s">
        <v>17</v>
      </c>
      <c r="AS94" s="3"/>
      <c r="AT94" s="2"/>
      <c r="AU94" s="4"/>
      <c r="AV94" s="2"/>
      <c r="AW94" s="1" t="s">
        <v>17</v>
      </c>
      <c r="AX94" s="2" t="s">
        <v>17</v>
      </c>
      <c r="AY94" s="2" t="s">
        <v>17</v>
      </c>
      <c r="AZ94" s="5"/>
      <c r="BA94" s="6"/>
      <c r="BB94" s="4"/>
      <c r="BC94" s="6"/>
      <c r="BD94" s="6"/>
      <c r="BE94" s="6"/>
      <c r="BF94" s="7"/>
    </row>
    <row r="95" spans="1:58" ht="18" customHeight="1">
      <c r="A95" s="106" t="s">
        <v>15</v>
      </c>
      <c r="B95" s="93" t="s">
        <v>72</v>
      </c>
      <c r="C95" s="28">
        <v>166.69</v>
      </c>
      <c r="D95" s="28">
        <v>166.81</v>
      </c>
      <c r="E95" s="28">
        <v>166.75</v>
      </c>
      <c r="F95" s="28">
        <v>166.75</v>
      </c>
      <c r="G95" s="29">
        <v>4713.6698173042496</v>
      </c>
      <c r="H95" s="29">
        <v>2207.3443306762501</v>
      </c>
      <c r="I95" s="27">
        <f t="shared" si="1"/>
        <v>1</v>
      </c>
      <c r="J95" s="27">
        <f t="shared" si="2"/>
        <v>1</v>
      </c>
      <c r="K95" s="27">
        <f t="shared" si="0"/>
        <v>1</v>
      </c>
      <c r="L95" s="25">
        <v>608.72413000000006</v>
      </c>
      <c r="M95" s="25">
        <v>612.92735297471654</v>
      </c>
      <c r="N95" s="38">
        <v>0.53444054473117397</v>
      </c>
      <c r="O95" s="38">
        <v>-9.9907987737872794</v>
      </c>
      <c r="P95" s="71">
        <v>-12.128560952711975</v>
      </c>
      <c r="Q95" s="53">
        <v>42711</v>
      </c>
      <c r="R95" s="23">
        <v>11</v>
      </c>
      <c r="S95" s="24">
        <v>608.72413000000006</v>
      </c>
      <c r="T95" s="24">
        <v>612.92735297471654</v>
      </c>
      <c r="U95" s="1">
        <v>0.53444054473117397</v>
      </c>
      <c r="V95" s="2">
        <v>-9.9907987737872794</v>
      </c>
      <c r="W95" s="2">
        <v>-12.128560952711975</v>
      </c>
      <c r="X95" s="22" t="s">
        <v>17</v>
      </c>
      <c r="Y95" s="23"/>
      <c r="Z95" s="24" t="s">
        <v>17</v>
      </c>
      <c r="AA95" s="24" t="s">
        <v>17</v>
      </c>
      <c r="AB95" s="1" t="s">
        <v>17</v>
      </c>
      <c r="AC95" s="2" t="s">
        <v>17</v>
      </c>
      <c r="AD95" s="2" t="s">
        <v>17</v>
      </c>
      <c r="AE95" s="22" t="s">
        <v>17</v>
      </c>
      <c r="AF95" s="23"/>
      <c r="AG95" s="24" t="s">
        <v>17</v>
      </c>
      <c r="AH95" s="24" t="s">
        <v>17</v>
      </c>
      <c r="AI95" s="1" t="s">
        <v>17</v>
      </c>
      <c r="AJ95" s="2" t="s">
        <v>17</v>
      </c>
      <c r="AK95" s="2" t="s">
        <v>17</v>
      </c>
      <c r="AL95" s="3"/>
      <c r="AM95" s="2"/>
      <c r="AN95" s="24" t="s">
        <v>17</v>
      </c>
      <c r="AO95" s="24" t="s">
        <v>17</v>
      </c>
      <c r="AP95" s="1" t="s">
        <v>17</v>
      </c>
      <c r="AQ95" s="2" t="s">
        <v>17</v>
      </c>
      <c r="AR95" s="2" t="s">
        <v>17</v>
      </c>
      <c r="AS95" s="3"/>
      <c r="AT95" s="2"/>
      <c r="AU95" s="4"/>
      <c r="AV95" s="2"/>
      <c r="AW95" s="1" t="s">
        <v>17</v>
      </c>
      <c r="AX95" s="2" t="s">
        <v>17</v>
      </c>
      <c r="AY95" s="2" t="s">
        <v>17</v>
      </c>
      <c r="AZ95" s="5"/>
      <c r="BA95" s="6"/>
      <c r="BB95" s="4"/>
      <c r="BC95" s="6"/>
      <c r="BD95" s="6"/>
      <c r="BE95" s="6"/>
      <c r="BF95" s="7"/>
    </row>
    <row r="96" spans="1:58" ht="18" customHeight="1">
      <c r="A96" s="106" t="s">
        <v>15</v>
      </c>
      <c r="B96" s="93" t="s">
        <v>73</v>
      </c>
      <c r="C96" s="28">
        <v>167.65</v>
      </c>
      <c r="D96" s="28">
        <v>167.77</v>
      </c>
      <c r="E96" s="28">
        <v>167.71</v>
      </c>
      <c r="F96" s="28">
        <v>167.71</v>
      </c>
      <c r="G96" s="29">
        <v>4745.0119809668604</v>
      </c>
      <c r="H96" s="29">
        <v>2242.4181289725898</v>
      </c>
      <c r="I96" s="27">
        <f t="shared" si="1"/>
        <v>2</v>
      </c>
      <c r="J96" s="27">
        <f t="shared" si="2"/>
        <v>2</v>
      </c>
      <c r="K96" s="27">
        <f t="shared" si="0"/>
        <v>0</v>
      </c>
      <c r="L96" s="25">
        <v>608.11145875</v>
      </c>
      <c r="M96" s="25">
        <v>612.24917056357958</v>
      </c>
      <c r="N96" s="38">
        <v>0.52663950433018414</v>
      </c>
      <c r="O96" s="38"/>
      <c r="P96" s="71"/>
      <c r="Q96" s="53">
        <v>43139</v>
      </c>
      <c r="R96" s="23">
        <v>3</v>
      </c>
      <c r="S96" s="24">
        <v>606.89506449999999</v>
      </c>
      <c r="T96" s="24">
        <v>611.01923489703813</v>
      </c>
      <c r="U96" s="1">
        <v>0.52596940350446708</v>
      </c>
      <c r="V96" s="2"/>
      <c r="W96" s="2"/>
      <c r="X96" s="22">
        <v>43139</v>
      </c>
      <c r="Y96" s="23">
        <v>3</v>
      </c>
      <c r="Z96" s="24">
        <v>609.327853</v>
      </c>
      <c r="AA96" s="24">
        <v>613.47910623012092</v>
      </c>
      <c r="AB96" s="1">
        <v>0.5273096051559012</v>
      </c>
      <c r="AC96" s="2"/>
      <c r="AD96" s="2"/>
      <c r="AE96" s="22" t="s">
        <v>17</v>
      </c>
      <c r="AF96" s="23"/>
      <c r="AG96" s="24" t="s">
        <v>17</v>
      </c>
      <c r="AH96" s="24" t="s">
        <v>17</v>
      </c>
      <c r="AI96" s="1" t="s">
        <v>17</v>
      </c>
      <c r="AJ96" s="2" t="s">
        <v>17</v>
      </c>
      <c r="AK96" s="2" t="s">
        <v>17</v>
      </c>
      <c r="AL96" s="3"/>
      <c r="AM96" s="2"/>
      <c r="AN96" s="24" t="s">
        <v>17</v>
      </c>
      <c r="AO96" s="24" t="s">
        <v>17</v>
      </c>
      <c r="AP96" s="1" t="s">
        <v>17</v>
      </c>
      <c r="AQ96" s="2" t="s">
        <v>17</v>
      </c>
      <c r="AR96" s="2" t="s">
        <v>17</v>
      </c>
      <c r="AS96" s="3"/>
      <c r="AT96" s="2"/>
      <c r="AU96" s="4"/>
      <c r="AV96" s="2"/>
      <c r="AW96" s="1" t="s">
        <v>17</v>
      </c>
      <c r="AX96" s="2" t="s">
        <v>17</v>
      </c>
      <c r="AY96" s="2" t="s">
        <v>17</v>
      </c>
      <c r="AZ96" s="5"/>
      <c r="BA96" s="6"/>
      <c r="BB96" s="4"/>
      <c r="BC96" s="6"/>
      <c r="BD96" s="6"/>
      <c r="BE96" s="6"/>
      <c r="BF96" s="7"/>
    </row>
    <row r="97" spans="1:58" ht="18" customHeight="1">
      <c r="A97" s="106" t="s">
        <v>15</v>
      </c>
      <c r="B97" s="93" t="s">
        <v>74</v>
      </c>
      <c r="C97" s="28">
        <v>168.55</v>
      </c>
      <c r="D97" s="28">
        <v>168.65</v>
      </c>
      <c r="E97" s="28">
        <v>168.60000000000002</v>
      </c>
      <c r="F97" s="28">
        <v>168.60000000000002</v>
      </c>
      <c r="G97" s="29">
        <v>4774.6185841611996</v>
      </c>
      <c r="H97" s="29">
        <v>2274.1140725536002</v>
      </c>
      <c r="I97" s="27">
        <f t="shared" si="1"/>
        <v>1</v>
      </c>
      <c r="J97" s="27">
        <f t="shared" si="2"/>
        <v>0</v>
      </c>
      <c r="K97" s="27">
        <f t="shared" si="0"/>
        <v>0</v>
      </c>
      <c r="L97" s="25">
        <v>609.86914433333334</v>
      </c>
      <c r="M97" s="25">
        <v>613.98422542966159</v>
      </c>
      <c r="N97" s="38"/>
      <c r="O97" s="38"/>
      <c r="P97" s="71"/>
      <c r="Q97" s="53">
        <v>44165</v>
      </c>
      <c r="R97" s="23">
        <v>3</v>
      </c>
      <c r="S97" s="24">
        <v>609.86914433333334</v>
      </c>
      <c r="T97" s="24">
        <v>613.98422542966159</v>
      </c>
      <c r="U97" s="1"/>
      <c r="V97" s="2"/>
      <c r="W97" s="2"/>
      <c r="X97" s="22" t="s">
        <v>17</v>
      </c>
      <c r="Y97" s="23"/>
      <c r="Z97" s="24" t="s">
        <v>17</v>
      </c>
      <c r="AA97" s="24" t="s">
        <v>17</v>
      </c>
      <c r="AB97" s="1"/>
      <c r="AC97" s="2"/>
      <c r="AD97" s="2"/>
      <c r="AE97" s="22" t="s">
        <v>17</v>
      </c>
      <c r="AF97" s="23"/>
      <c r="AG97" s="24"/>
      <c r="AH97" s="24"/>
      <c r="AI97" s="1"/>
      <c r="AJ97" s="2"/>
      <c r="AK97" s="2"/>
      <c r="AL97" s="3"/>
      <c r="AM97" s="2"/>
      <c r="AN97" s="24"/>
      <c r="AO97" s="24"/>
      <c r="AP97" s="1"/>
      <c r="AQ97" s="2"/>
      <c r="AR97" s="2"/>
      <c r="AS97" s="3"/>
      <c r="AT97" s="2"/>
      <c r="AU97" s="4"/>
      <c r="AV97" s="2"/>
      <c r="AW97" s="1"/>
      <c r="AX97" s="2"/>
      <c r="AY97" s="2"/>
      <c r="AZ97" s="5"/>
      <c r="BA97" s="6"/>
      <c r="BB97" s="4"/>
      <c r="BC97" s="6"/>
      <c r="BD97" s="6"/>
      <c r="BE97" s="6"/>
      <c r="BF97" s="7"/>
    </row>
    <row r="98" spans="1:58" ht="18" customHeight="1">
      <c r="A98" s="106" t="s">
        <v>15</v>
      </c>
      <c r="B98" s="93" t="s">
        <v>75</v>
      </c>
      <c r="C98" s="28">
        <v>168.65</v>
      </c>
      <c r="D98" s="28">
        <v>168.77</v>
      </c>
      <c r="E98" s="28">
        <v>168.71</v>
      </c>
      <c r="F98" s="28">
        <v>168.71</v>
      </c>
      <c r="G98" s="29">
        <v>4778.30036724607</v>
      </c>
      <c r="H98" s="29">
        <v>2277.9769894241599</v>
      </c>
      <c r="I98" s="27">
        <f t="shared" si="1"/>
        <v>2</v>
      </c>
      <c r="J98" s="27">
        <f t="shared" si="2"/>
        <v>2</v>
      </c>
      <c r="K98" s="27">
        <f t="shared" si="0"/>
        <v>0</v>
      </c>
      <c r="L98" s="25">
        <v>606.84649375000004</v>
      </c>
      <c r="M98" s="25">
        <v>610.96542633064291</v>
      </c>
      <c r="N98" s="38">
        <v>0.52535225273542263</v>
      </c>
      <c r="O98" s="38"/>
      <c r="P98" s="71"/>
      <c r="Q98" s="53">
        <v>42618</v>
      </c>
      <c r="R98" s="23">
        <v>3</v>
      </c>
      <c r="S98" s="24">
        <v>608.56873949999999</v>
      </c>
      <c r="T98" s="24">
        <v>612.67504613807444</v>
      </c>
      <c r="U98" s="1">
        <v>0.52225093165869652</v>
      </c>
      <c r="V98" s="2"/>
      <c r="W98" s="2"/>
      <c r="X98" s="22">
        <v>42618</v>
      </c>
      <c r="Y98" s="23">
        <v>3</v>
      </c>
      <c r="Z98" s="24">
        <v>605.12424800000008</v>
      </c>
      <c r="AA98" s="24">
        <v>609.2558065232115</v>
      </c>
      <c r="AB98" s="1">
        <v>0.52845357381214875</v>
      </c>
      <c r="AC98" s="2"/>
      <c r="AD98" s="2"/>
      <c r="AE98" s="22" t="s">
        <v>17</v>
      </c>
      <c r="AF98" s="23"/>
      <c r="AG98" s="24" t="s">
        <v>17</v>
      </c>
      <c r="AH98" s="24" t="s">
        <v>17</v>
      </c>
      <c r="AI98" s="1" t="s">
        <v>17</v>
      </c>
      <c r="AJ98" s="2" t="s">
        <v>17</v>
      </c>
      <c r="AK98" s="2" t="s">
        <v>17</v>
      </c>
      <c r="AL98" s="3"/>
      <c r="AM98" s="2"/>
      <c r="AN98" s="24" t="s">
        <v>17</v>
      </c>
      <c r="AO98" s="24" t="s">
        <v>17</v>
      </c>
      <c r="AP98" s="1" t="s">
        <v>17</v>
      </c>
      <c r="AQ98" s="2" t="s">
        <v>17</v>
      </c>
      <c r="AR98" s="2" t="s">
        <v>17</v>
      </c>
      <c r="AS98" s="3"/>
      <c r="AT98" s="2"/>
      <c r="AU98" s="4"/>
      <c r="AV98" s="2"/>
      <c r="AW98" s="1" t="s">
        <v>17</v>
      </c>
      <c r="AX98" s="2" t="s">
        <v>17</v>
      </c>
      <c r="AY98" s="2" t="s">
        <v>17</v>
      </c>
      <c r="AZ98" s="5"/>
      <c r="BA98" s="6"/>
      <c r="BB98" s="4"/>
      <c r="BC98" s="6"/>
      <c r="BD98" s="6"/>
      <c r="BE98" s="6"/>
      <c r="BF98" s="7"/>
    </row>
    <row r="99" spans="1:58" ht="18" customHeight="1">
      <c r="A99" s="106" t="s">
        <v>15</v>
      </c>
      <c r="B99" s="93" t="s">
        <v>76</v>
      </c>
      <c r="C99" s="28">
        <v>169.65</v>
      </c>
      <c r="D99" s="28">
        <v>169.77</v>
      </c>
      <c r="E99" s="28">
        <v>169.71</v>
      </c>
      <c r="F99" s="28">
        <v>169.71</v>
      </c>
      <c r="G99" s="29">
        <v>4812.1239553477099</v>
      </c>
      <c r="H99" s="29">
        <v>2311.98834205495</v>
      </c>
      <c r="I99" s="27">
        <f t="shared" si="1"/>
        <v>1</v>
      </c>
      <c r="J99" s="27">
        <f t="shared" si="2"/>
        <v>1</v>
      </c>
      <c r="K99" s="27">
        <f t="shared" si="0"/>
        <v>1</v>
      </c>
      <c r="L99" s="25">
        <v>606.64727349999998</v>
      </c>
      <c r="M99" s="25">
        <v>610.7537791827848</v>
      </c>
      <c r="N99" s="38">
        <v>0.52393047987475683</v>
      </c>
      <c r="O99" s="38">
        <v>-10.345601837255746</v>
      </c>
      <c r="P99" s="71">
        <v>-12.441323756754773</v>
      </c>
      <c r="Q99" s="53">
        <v>43230</v>
      </c>
      <c r="R99" s="23">
        <v>6</v>
      </c>
      <c r="S99" s="24">
        <v>606.64727349999998</v>
      </c>
      <c r="T99" s="24">
        <v>610.7537791827848</v>
      </c>
      <c r="U99" s="1">
        <v>0.52393047987475683</v>
      </c>
      <c r="V99" s="2">
        <v>-10.345601837255746</v>
      </c>
      <c r="W99" s="2">
        <v>-12.441323756754773</v>
      </c>
      <c r="X99" s="22" t="s">
        <v>17</v>
      </c>
      <c r="Y99" s="23"/>
      <c r="Z99" s="24" t="s">
        <v>17</v>
      </c>
      <c r="AA99" s="24" t="s">
        <v>17</v>
      </c>
      <c r="AB99" s="1" t="s">
        <v>17</v>
      </c>
      <c r="AC99" s="2" t="s">
        <v>17</v>
      </c>
      <c r="AD99" s="2" t="s">
        <v>17</v>
      </c>
      <c r="AE99" s="22" t="s">
        <v>17</v>
      </c>
      <c r="AF99" s="23"/>
      <c r="AG99" s="24" t="s">
        <v>17</v>
      </c>
      <c r="AH99" s="24" t="s">
        <v>17</v>
      </c>
      <c r="AI99" s="1" t="s">
        <v>17</v>
      </c>
      <c r="AJ99" s="2" t="s">
        <v>17</v>
      </c>
      <c r="AK99" s="2" t="s">
        <v>17</v>
      </c>
      <c r="AL99" s="3"/>
      <c r="AM99" s="2"/>
      <c r="AN99" s="24" t="s">
        <v>17</v>
      </c>
      <c r="AO99" s="24" t="s">
        <v>17</v>
      </c>
      <c r="AP99" s="1" t="s">
        <v>17</v>
      </c>
      <c r="AQ99" s="2" t="s">
        <v>17</v>
      </c>
      <c r="AR99" s="2" t="s">
        <v>17</v>
      </c>
      <c r="AS99" s="3"/>
      <c r="AT99" s="2"/>
      <c r="AU99" s="4"/>
      <c r="AV99" s="2"/>
      <c r="AW99" s="1" t="s">
        <v>17</v>
      </c>
      <c r="AX99" s="2" t="s">
        <v>17</v>
      </c>
      <c r="AY99" s="2" t="s">
        <v>17</v>
      </c>
      <c r="AZ99" s="5"/>
      <c r="BA99" s="6"/>
      <c r="BB99" s="4"/>
      <c r="BC99" s="6"/>
      <c r="BD99" s="6"/>
      <c r="BE99" s="6"/>
      <c r="BF99" s="7"/>
    </row>
    <row r="100" spans="1:58" ht="18" customHeight="1">
      <c r="A100" s="106" t="s">
        <v>15</v>
      </c>
      <c r="B100" s="93" t="s">
        <v>77</v>
      </c>
      <c r="C100" s="28">
        <v>170.46</v>
      </c>
      <c r="D100" s="28">
        <v>170.65</v>
      </c>
      <c r="E100" s="28">
        <v>170.55500000000001</v>
      </c>
      <c r="F100" s="28">
        <v>170.55500000000001</v>
      </c>
      <c r="G100" s="29">
        <v>4841.2576379905104</v>
      </c>
      <c r="H100" s="29">
        <v>2338.9023938119599</v>
      </c>
      <c r="I100" s="27">
        <f t="shared" si="1"/>
        <v>1</v>
      </c>
      <c r="J100" s="27">
        <f t="shared" si="2"/>
        <v>1</v>
      </c>
      <c r="K100" s="27">
        <f t="shared" si="0"/>
        <v>1</v>
      </c>
      <c r="L100" s="25">
        <v>602.41386650000004</v>
      </c>
      <c r="M100" s="25">
        <v>606.57592444773729</v>
      </c>
      <c r="N100" s="38">
        <v>0.53474982224566148</v>
      </c>
      <c r="O100" s="38">
        <v>-9.4576530970527095</v>
      </c>
      <c r="P100" s="71">
        <v>-11.596652386035355</v>
      </c>
      <c r="Q100" s="53">
        <v>42684</v>
      </c>
      <c r="R100" s="23">
        <v>5</v>
      </c>
      <c r="S100" s="24">
        <v>602.41386650000004</v>
      </c>
      <c r="T100" s="24">
        <v>606.57592444773729</v>
      </c>
      <c r="U100" s="1">
        <v>0.53474982224566148</v>
      </c>
      <c r="V100" s="2">
        <v>-9.4576530970527095</v>
      </c>
      <c r="W100" s="2">
        <v>-11.596652386035355</v>
      </c>
      <c r="X100" s="22" t="s">
        <v>17</v>
      </c>
      <c r="Y100" s="23"/>
      <c r="Z100" s="24" t="s">
        <v>17</v>
      </c>
      <c r="AA100" s="24" t="s">
        <v>17</v>
      </c>
      <c r="AB100" s="1" t="s">
        <v>17</v>
      </c>
      <c r="AC100" s="2" t="s">
        <v>17</v>
      </c>
      <c r="AD100" s="2" t="s">
        <v>17</v>
      </c>
      <c r="AE100" s="22" t="s">
        <v>17</v>
      </c>
      <c r="AF100" s="23"/>
      <c r="AG100" s="24" t="s">
        <v>17</v>
      </c>
      <c r="AH100" s="24" t="s">
        <v>17</v>
      </c>
      <c r="AI100" s="1" t="s">
        <v>17</v>
      </c>
      <c r="AJ100" s="2" t="s">
        <v>17</v>
      </c>
      <c r="AK100" s="2" t="s">
        <v>17</v>
      </c>
      <c r="AL100" s="3"/>
      <c r="AM100" s="2"/>
      <c r="AN100" s="24" t="s">
        <v>17</v>
      </c>
      <c r="AO100" s="24" t="s">
        <v>17</v>
      </c>
      <c r="AP100" s="1" t="s">
        <v>17</v>
      </c>
      <c r="AQ100" s="2" t="s">
        <v>17</v>
      </c>
      <c r="AR100" s="2" t="s">
        <v>17</v>
      </c>
      <c r="AS100" s="3"/>
      <c r="AT100" s="2"/>
      <c r="AU100" s="4"/>
      <c r="AV100" s="2"/>
      <c r="AW100" s="1" t="s">
        <v>17</v>
      </c>
      <c r="AX100" s="2" t="s">
        <v>17</v>
      </c>
      <c r="AY100" s="2" t="s">
        <v>17</v>
      </c>
      <c r="AZ100" s="5"/>
      <c r="BA100" s="6"/>
      <c r="BB100" s="4"/>
      <c r="BC100" s="6"/>
      <c r="BD100" s="6"/>
      <c r="BE100" s="6"/>
      <c r="BF100" s="7"/>
    </row>
    <row r="101" spans="1:58" ht="18" customHeight="1">
      <c r="A101" s="106" t="s">
        <v>15</v>
      </c>
      <c r="B101" s="93" t="s">
        <v>78</v>
      </c>
      <c r="C101" s="28">
        <v>171.15</v>
      </c>
      <c r="D101" s="28">
        <v>171.27</v>
      </c>
      <c r="E101" s="28">
        <v>171.21</v>
      </c>
      <c r="F101" s="28">
        <v>171.21</v>
      </c>
      <c r="G101" s="29">
        <v>4863.73294862493</v>
      </c>
      <c r="H101" s="29">
        <v>2359.4988309292198</v>
      </c>
      <c r="I101" s="27">
        <f t="shared" si="1"/>
        <v>1</v>
      </c>
      <c r="J101" s="27">
        <f t="shared" si="2"/>
        <v>1</v>
      </c>
      <c r="K101" s="27">
        <f t="shared" si="0"/>
        <v>1</v>
      </c>
      <c r="L101" s="25">
        <v>605.51896599999998</v>
      </c>
      <c r="M101" s="25">
        <v>609.64229254716861</v>
      </c>
      <c r="N101" s="38">
        <v>0.52705685457832274</v>
      </c>
      <c r="O101" s="38">
        <v>-10.822453246569609</v>
      </c>
      <c r="P101" s="71">
        <v>-12.9306806648829</v>
      </c>
      <c r="Q101" s="53">
        <v>43237</v>
      </c>
      <c r="R101" s="23">
        <v>6</v>
      </c>
      <c r="S101" s="24">
        <v>605.51896599999998</v>
      </c>
      <c r="T101" s="24">
        <v>609.64229254716861</v>
      </c>
      <c r="U101" s="1">
        <v>0.52705685457832274</v>
      </c>
      <c r="V101" s="2">
        <v>-10.822453246569609</v>
      </c>
      <c r="W101" s="2">
        <v>-12.9306806648829</v>
      </c>
      <c r="X101" s="22" t="s">
        <v>17</v>
      </c>
      <c r="Y101" s="23"/>
      <c r="Z101" s="24" t="s">
        <v>17</v>
      </c>
      <c r="AA101" s="24" t="s">
        <v>17</v>
      </c>
      <c r="AB101" s="1" t="s">
        <v>17</v>
      </c>
      <c r="AC101" s="2" t="s">
        <v>17</v>
      </c>
      <c r="AD101" s="2" t="s">
        <v>17</v>
      </c>
      <c r="AE101" s="22" t="s">
        <v>17</v>
      </c>
      <c r="AF101" s="23"/>
      <c r="AG101" s="24" t="s">
        <v>17</v>
      </c>
      <c r="AH101" s="24" t="s">
        <v>17</v>
      </c>
      <c r="AI101" s="1" t="s">
        <v>17</v>
      </c>
      <c r="AJ101" s="2" t="s">
        <v>17</v>
      </c>
      <c r="AK101" s="2" t="s">
        <v>17</v>
      </c>
      <c r="AL101" s="3"/>
      <c r="AM101" s="2"/>
      <c r="AN101" s="24" t="s">
        <v>17</v>
      </c>
      <c r="AO101" s="24" t="s">
        <v>17</v>
      </c>
      <c r="AP101" s="1" t="s">
        <v>17</v>
      </c>
      <c r="AQ101" s="2" t="s">
        <v>17</v>
      </c>
      <c r="AR101" s="2" t="s">
        <v>17</v>
      </c>
      <c r="AS101" s="3"/>
      <c r="AT101" s="2"/>
      <c r="AU101" s="4"/>
      <c r="AV101" s="2"/>
      <c r="AW101" s="1" t="s">
        <v>17</v>
      </c>
      <c r="AX101" s="2" t="s">
        <v>17</v>
      </c>
      <c r="AY101" s="2" t="s">
        <v>17</v>
      </c>
      <c r="AZ101" s="5"/>
      <c r="BA101" s="6"/>
      <c r="BB101" s="4"/>
      <c r="BC101" s="6"/>
      <c r="BD101" s="6"/>
      <c r="BE101" s="6"/>
      <c r="BF101" s="7"/>
    </row>
    <row r="102" spans="1:58" ht="18" customHeight="1">
      <c r="A102" s="106" t="s">
        <v>15</v>
      </c>
      <c r="B102" s="93" t="s">
        <v>79</v>
      </c>
      <c r="C102" s="28">
        <v>172.97000000000003</v>
      </c>
      <c r="D102" s="28">
        <v>173.11</v>
      </c>
      <c r="E102" s="28">
        <v>173.04000000000002</v>
      </c>
      <c r="F102" s="28">
        <v>173.04000000000002</v>
      </c>
      <c r="G102" s="29">
        <v>4928.9949080198803</v>
      </c>
      <c r="H102" s="29">
        <v>2425.5953007904</v>
      </c>
      <c r="I102" s="27">
        <f t="shared" si="1"/>
        <v>1</v>
      </c>
      <c r="J102" s="27">
        <f t="shared" si="2"/>
        <v>1</v>
      </c>
      <c r="K102" s="27">
        <f t="shared" si="0"/>
        <v>0</v>
      </c>
      <c r="L102" s="25">
        <v>601.10484599999995</v>
      </c>
      <c r="M102" s="25">
        <v>605.18090540841945</v>
      </c>
      <c r="N102" s="38">
        <v>0.52484100974270476</v>
      </c>
      <c r="O102" s="38"/>
      <c r="P102" s="71"/>
      <c r="Q102" s="53">
        <v>42621</v>
      </c>
      <c r="R102" s="23">
        <v>3</v>
      </c>
      <c r="S102" s="24">
        <v>601.10484599999995</v>
      </c>
      <c r="T102" s="24">
        <v>605.18090540841945</v>
      </c>
      <c r="U102" s="1">
        <v>0.52484100974270476</v>
      </c>
      <c r="V102" s="2"/>
      <c r="W102" s="2"/>
      <c r="X102" s="22" t="s">
        <v>17</v>
      </c>
      <c r="Y102" s="23"/>
      <c r="Z102" s="24" t="s">
        <v>17</v>
      </c>
      <c r="AA102" s="24" t="s">
        <v>17</v>
      </c>
      <c r="AB102" s="1" t="s">
        <v>17</v>
      </c>
      <c r="AC102" s="2" t="s">
        <v>17</v>
      </c>
      <c r="AD102" s="2" t="s">
        <v>17</v>
      </c>
      <c r="AE102" s="22" t="s">
        <v>17</v>
      </c>
      <c r="AF102" s="23"/>
      <c r="AG102" s="24" t="s">
        <v>17</v>
      </c>
      <c r="AH102" s="24" t="s">
        <v>17</v>
      </c>
      <c r="AI102" s="1" t="s">
        <v>17</v>
      </c>
      <c r="AJ102" s="2" t="s">
        <v>17</v>
      </c>
      <c r="AK102" s="2" t="s">
        <v>17</v>
      </c>
      <c r="AL102" s="3"/>
      <c r="AM102" s="2"/>
      <c r="AN102" s="24" t="s">
        <v>17</v>
      </c>
      <c r="AO102" s="24" t="s">
        <v>17</v>
      </c>
      <c r="AP102" s="1" t="s">
        <v>17</v>
      </c>
      <c r="AQ102" s="2" t="s">
        <v>17</v>
      </c>
      <c r="AR102" s="2" t="s">
        <v>17</v>
      </c>
      <c r="AS102" s="3"/>
      <c r="AT102" s="2"/>
      <c r="AU102" s="4"/>
      <c r="AV102" s="2"/>
      <c r="AW102" s="1" t="s">
        <v>17</v>
      </c>
      <c r="AX102" s="2" t="s">
        <v>17</v>
      </c>
      <c r="AY102" s="2" t="s">
        <v>17</v>
      </c>
      <c r="AZ102" s="5"/>
      <c r="BA102" s="6"/>
      <c r="BB102" s="4"/>
      <c r="BC102" s="6"/>
      <c r="BD102" s="6"/>
      <c r="BE102" s="6"/>
      <c r="BF102" s="7"/>
    </row>
    <row r="103" spans="1:58" ht="18" customHeight="1">
      <c r="A103" s="106" t="s">
        <v>15</v>
      </c>
      <c r="B103" s="93" t="s">
        <v>80</v>
      </c>
      <c r="C103" s="28">
        <v>173.62</v>
      </c>
      <c r="D103" s="28">
        <v>173.74</v>
      </c>
      <c r="E103" s="28">
        <v>173.68</v>
      </c>
      <c r="F103" s="28">
        <v>173.68</v>
      </c>
      <c r="G103" s="29">
        <v>4952.8562922739602</v>
      </c>
      <c r="H103" s="29">
        <v>2443.3178499967999</v>
      </c>
      <c r="I103" s="27">
        <f t="shared" si="1"/>
        <v>1</v>
      </c>
      <c r="J103" s="27">
        <f t="shared" si="2"/>
        <v>1</v>
      </c>
      <c r="K103" s="27">
        <f t="shared" ref="K103:K166" si="3">COUNT(V103,AC103,AJ103,AQ103,AX103,BF103)</f>
        <v>1</v>
      </c>
      <c r="L103" s="25">
        <v>596.71286600000008</v>
      </c>
      <c r="M103" s="25">
        <v>600.5979078267361</v>
      </c>
      <c r="N103" s="38">
        <v>0.50392717992897573</v>
      </c>
      <c r="O103" s="38">
        <v>-9.0205550916309107</v>
      </c>
      <c r="P103" s="71">
        <v>-11.036263811346814</v>
      </c>
      <c r="Q103" s="53">
        <v>43496</v>
      </c>
      <c r="R103" s="23">
        <v>11</v>
      </c>
      <c r="S103" s="24">
        <v>596.71286600000008</v>
      </c>
      <c r="T103" s="24">
        <v>600.5979078267361</v>
      </c>
      <c r="U103" s="1">
        <v>0.50392717992897573</v>
      </c>
      <c r="V103" s="2">
        <v>-9.0205550916309107</v>
      </c>
      <c r="W103" s="2">
        <v>-11.036263811346814</v>
      </c>
      <c r="X103" s="22" t="s">
        <v>17</v>
      </c>
      <c r="Y103" s="23"/>
      <c r="Z103" s="24" t="s">
        <v>17</v>
      </c>
      <c r="AA103" s="24" t="s">
        <v>17</v>
      </c>
      <c r="AB103" s="1" t="s">
        <v>17</v>
      </c>
      <c r="AC103" s="2" t="s">
        <v>17</v>
      </c>
      <c r="AD103" s="2" t="s">
        <v>17</v>
      </c>
      <c r="AE103" s="22" t="s">
        <v>17</v>
      </c>
      <c r="AF103" s="23"/>
      <c r="AG103" s="24" t="s">
        <v>17</v>
      </c>
      <c r="AH103" s="24" t="s">
        <v>17</v>
      </c>
      <c r="AI103" s="1" t="s">
        <v>17</v>
      </c>
      <c r="AJ103" s="2" t="s">
        <v>17</v>
      </c>
      <c r="AK103" s="2" t="s">
        <v>17</v>
      </c>
      <c r="AL103" s="3"/>
      <c r="AM103" s="2"/>
      <c r="AN103" s="24" t="s">
        <v>17</v>
      </c>
      <c r="AO103" s="24" t="s">
        <v>17</v>
      </c>
      <c r="AP103" s="1" t="s">
        <v>17</v>
      </c>
      <c r="AQ103" s="2" t="s">
        <v>17</v>
      </c>
      <c r="AR103" s="2" t="s">
        <v>17</v>
      </c>
      <c r="AS103" s="3"/>
      <c r="AT103" s="2"/>
      <c r="AU103" s="4"/>
      <c r="AV103" s="2"/>
      <c r="AW103" s="1" t="s">
        <v>17</v>
      </c>
      <c r="AX103" s="2" t="s">
        <v>17</v>
      </c>
      <c r="AY103" s="2" t="s">
        <v>17</v>
      </c>
      <c r="AZ103" s="5"/>
      <c r="BA103" s="6"/>
      <c r="BB103" s="4"/>
      <c r="BC103" s="6"/>
      <c r="BD103" s="6"/>
      <c r="BE103" s="6"/>
      <c r="BF103" s="7"/>
    </row>
    <row r="104" spans="1:58" ht="18" customHeight="1">
      <c r="A104" s="106" t="s">
        <v>15</v>
      </c>
      <c r="B104" s="93" t="s">
        <v>81</v>
      </c>
      <c r="C104" s="28">
        <v>174.44</v>
      </c>
      <c r="D104" s="28">
        <v>174.62</v>
      </c>
      <c r="E104" s="28">
        <v>174.53</v>
      </c>
      <c r="F104" s="28">
        <v>174.53</v>
      </c>
      <c r="G104" s="29">
        <v>4983.6648669341703</v>
      </c>
      <c r="H104" s="29">
        <v>2466.78299539812</v>
      </c>
      <c r="I104" s="27">
        <f t="shared" ref="I104:I167" si="4">COUNT(T104,AA104,AH104,AO104,AV104,BC104)</f>
        <v>2</v>
      </c>
      <c r="J104" s="27">
        <f t="shared" ref="J104:J167" si="5">COUNT(U104,AB104,AI104,AP104,AW104,BD104)</f>
        <v>1</v>
      </c>
      <c r="K104" s="27">
        <f t="shared" si="3"/>
        <v>1</v>
      </c>
      <c r="L104" s="25">
        <v>597.54533949999995</v>
      </c>
      <c r="M104" s="25">
        <v>601.59854907372505</v>
      </c>
      <c r="N104" s="38">
        <v>0.51979370700117045</v>
      </c>
      <c r="O104" s="38">
        <v>-9.7815467952214732</v>
      </c>
      <c r="P104" s="71">
        <v>-11.860721623226155</v>
      </c>
      <c r="Q104" s="53">
        <v>42684</v>
      </c>
      <c r="R104" s="23">
        <v>4</v>
      </c>
      <c r="S104" s="24">
        <v>597.55988049999996</v>
      </c>
      <c r="T104" s="24">
        <v>601.65344133295821</v>
      </c>
      <c r="U104" s="1"/>
      <c r="V104" s="2"/>
      <c r="W104" s="2"/>
      <c r="X104" s="22">
        <v>43321</v>
      </c>
      <c r="Y104" s="23">
        <v>5</v>
      </c>
      <c r="Z104" s="24">
        <v>597.53079849999995</v>
      </c>
      <c r="AA104" s="24">
        <v>601.5436568144919</v>
      </c>
      <c r="AB104" s="1">
        <v>0.51979370700117045</v>
      </c>
      <c r="AC104" s="2">
        <v>-9.7815467952214732</v>
      </c>
      <c r="AD104" s="2">
        <v>-11.860721623226155</v>
      </c>
      <c r="AE104" s="22" t="s">
        <v>17</v>
      </c>
      <c r="AF104" s="23"/>
      <c r="AG104" s="24" t="s">
        <v>17</v>
      </c>
      <c r="AH104" s="24" t="s">
        <v>17</v>
      </c>
      <c r="AI104" s="1" t="s">
        <v>17</v>
      </c>
      <c r="AJ104" s="2" t="s">
        <v>17</v>
      </c>
      <c r="AK104" s="2" t="s">
        <v>17</v>
      </c>
      <c r="AL104" s="3"/>
      <c r="AM104" s="2"/>
      <c r="AN104" s="24" t="s">
        <v>17</v>
      </c>
      <c r="AO104" s="24" t="s">
        <v>17</v>
      </c>
      <c r="AP104" s="1" t="s">
        <v>17</v>
      </c>
      <c r="AQ104" s="2" t="s">
        <v>17</v>
      </c>
      <c r="AR104" s="2" t="s">
        <v>17</v>
      </c>
      <c r="AS104" s="3"/>
      <c r="AT104" s="2"/>
      <c r="AU104" s="4"/>
      <c r="AV104" s="2"/>
      <c r="AW104" s="1" t="s">
        <v>17</v>
      </c>
      <c r="AX104" s="2" t="s">
        <v>17</v>
      </c>
      <c r="AY104" s="2" t="s">
        <v>17</v>
      </c>
      <c r="AZ104" s="5"/>
      <c r="BA104" s="6"/>
      <c r="BB104" s="4"/>
      <c r="BC104" s="6"/>
      <c r="BD104" s="6"/>
      <c r="BE104" s="6"/>
      <c r="BF104" s="7"/>
    </row>
    <row r="105" spans="1:58" ht="18" customHeight="1">
      <c r="A105" s="106" t="s">
        <v>15</v>
      </c>
      <c r="B105" s="93" t="s">
        <v>82</v>
      </c>
      <c r="C105" s="28">
        <v>174.62</v>
      </c>
      <c r="D105" s="28">
        <v>174.74</v>
      </c>
      <c r="E105" s="28">
        <v>174.68</v>
      </c>
      <c r="F105" s="28">
        <v>174.68</v>
      </c>
      <c r="G105" s="29">
        <v>4989.0076638775199</v>
      </c>
      <c r="H105" s="29">
        <v>2470.9161663787199</v>
      </c>
      <c r="I105" s="27">
        <f t="shared" si="4"/>
        <v>1</v>
      </c>
      <c r="J105" s="27">
        <f t="shared" si="5"/>
        <v>1</v>
      </c>
      <c r="K105" s="27">
        <f t="shared" si="3"/>
        <v>1</v>
      </c>
      <c r="L105" s="25">
        <v>591.87252650000005</v>
      </c>
      <c r="M105" s="25">
        <v>595.77302178209175</v>
      </c>
      <c r="N105" s="38">
        <v>0.51006915534967945</v>
      </c>
      <c r="O105" s="38">
        <v>-5.3830404406883803</v>
      </c>
      <c r="P105" s="71">
        <v>-7.4233170620870981</v>
      </c>
      <c r="Q105" s="53">
        <v>43384</v>
      </c>
      <c r="R105" s="23">
        <v>9</v>
      </c>
      <c r="S105" s="24">
        <v>591.87252650000005</v>
      </c>
      <c r="T105" s="24">
        <v>595.77302178209175</v>
      </c>
      <c r="U105" s="1">
        <v>0.51006915534967945</v>
      </c>
      <c r="V105" s="2">
        <v>-5.3830404406883803</v>
      </c>
      <c r="W105" s="2">
        <v>-7.4233170620870981</v>
      </c>
      <c r="X105" s="22" t="s">
        <v>17</v>
      </c>
      <c r="Y105" s="23"/>
      <c r="Z105" s="24" t="s">
        <v>17</v>
      </c>
      <c r="AA105" s="24" t="s">
        <v>17</v>
      </c>
      <c r="AB105" s="1" t="s">
        <v>17</v>
      </c>
      <c r="AC105" s="2" t="s">
        <v>17</v>
      </c>
      <c r="AD105" s="2" t="s">
        <v>17</v>
      </c>
      <c r="AE105" s="22" t="s">
        <v>17</v>
      </c>
      <c r="AF105" s="23"/>
      <c r="AG105" s="24" t="s">
        <v>17</v>
      </c>
      <c r="AH105" s="24" t="s">
        <v>17</v>
      </c>
      <c r="AI105" s="1" t="s">
        <v>17</v>
      </c>
      <c r="AJ105" s="2" t="s">
        <v>17</v>
      </c>
      <c r="AK105" s="2" t="s">
        <v>17</v>
      </c>
      <c r="AL105" s="3"/>
      <c r="AM105" s="2"/>
      <c r="AN105" s="24" t="s">
        <v>17</v>
      </c>
      <c r="AO105" s="24" t="s">
        <v>17</v>
      </c>
      <c r="AP105" s="1" t="s">
        <v>17</v>
      </c>
      <c r="AQ105" s="2" t="s">
        <v>17</v>
      </c>
      <c r="AR105" s="2" t="s">
        <v>17</v>
      </c>
      <c r="AS105" s="3"/>
      <c r="AT105" s="2"/>
      <c r="AU105" s="4"/>
      <c r="AV105" s="2"/>
      <c r="AW105" s="1" t="s">
        <v>17</v>
      </c>
      <c r="AX105" s="2" t="s">
        <v>17</v>
      </c>
      <c r="AY105" s="2" t="s">
        <v>17</v>
      </c>
      <c r="AZ105" s="5"/>
      <c r="BA105" s="6"/>
      <c r="BB105" s="4"/>
      <c r="BC105" s="6"/>
      <c r="BD105" s="6"/>
      <c r="BE105" s="6"/>
      <c r="BF105" s="7"/>
    </row>
    <row r="106" spans="1:58" ht="18" customHeight="1">
      <c r="A106" s="106" t="s">
        <v>15</v>
      </c>
      <c r="B106" s="93" t="s">
        <v>83</v>
      </c>
      <c r="C106" s="28">
        <v>175.92</v>
      </c>
      <c r="D106" s="28">
        <v>176.05</v>
      </c>
      <c r="E106" s="28">
        <v>175.98500000000001</v>
      </c>
      <c r="F106" s="28">
        <v>175.98500000000001</v>
      </c>
      <c r="G106" s="29">
        <v>5034.3759646723101</v>
      </c>
      <c r="H106" s="29">
        <v>2508.7004271967098</v>
      </c>
      <c r="I106" s="27">
        <f t="shared" si="4"/>
        <v>1</v>
      </c>
      <c r="J106" s="27">
        <f t="shared" si="5"/>
        <v>1</v>
      </c>
      <c r="K106" s="27">
        <f t="shared" si="3"/>
        <v>0</v>
      </c>
      <c r="L106" s="25">
        <v>600.91562750000003</v>
      </c>
      <c r="M106" s="25">
        <v>605.03220353163476</v>
      </c>
      <c r="N106" s="38">
        <v>0.53022491229026691</v>
      </c>
      <c r="O106" s="38"/>
      <c r="P106" s="71"/>
      <c r="Q106" s="53">
        <v>42605</v>
      </c>
      <c r="R106" s="23">
        <v>3</v>
      </c>
      <c r="S106" s="24">
        <v>600.91562750000003</v>
      </c>
      <c r="T106" s="24">
        <v>605.03220353163476</v>
      </c>
      <c r="U106" s="1">
        <v>0.53022491229026691</v>
      </c>
      <c r="V106" s="2"/>
      <c r="W106" s="2"/>
      <c r="X106" s="22" t="s">
        <v>17</v>
      </c>
      <c r="Y106" s="23"/>
      <c r="Z106" s="24" t="s">
        <v>17</v>
      </c>
      <c r="AA106" s="24" t="s">
        <v>17</v>
      </c>
      <c r="AB106" s="1" t="s">
        <v>17</v>
      </c>
      <c r="AC106" s="2" t="s">
        <v>17</v>
      </c>
      <c r="AD106" s="2" t="s">
        <v>17</v>
      </c>
      <c r="AE106" s="22" t="s">
        <v>17</v>
      </c>
      <c r="AF106" s="23"/>
      <c r="AG106" s="24" t="s">
        <v>17</v>
      </c>
      <c r="AH106" s="24" t="s">
        <v>17</v>
      </c>
      <c r="AI106" s="1" t="s">
        <v>17</v>
      </c>
      <c r="AJ106" s="2" t="s">
        <v>17</v>
      </c>
      <c r="AK106" s="2" t="s">
        <v>17</v>
      </c>
      <c r="AL106" s="3"/>
      <c r="AM106" s="2"/>
      <c r="AN106" s="24" t="s">
        <v>17</v>
      </c>
      <c r="AO106" s="24" t="s">
        <v>17</v>
      </c>
      <c r="AP106" s="1" t="s">
        <v>17</v>
      </c>
      <c r="AQ106" s="2" t="s">
        <v>17</v>
      </c>
      <c r="AR106" s="2" t="s">
        <v>17</v>
      </c>
      <c r="AS106" s="3"/>
      <c r="AT106" s="2"/>
      <c r="AU106" s="4"/>
      <c r="AV106" s="2"/>
      <c r="AW106" s="1" t="s">
        <v>17</v>
      </c>
      <c r="AX106" s="2" t="s">
        <v>17</v>
      </c>
      <c r="AY106" s="2" t="s">
        <v>17</v>
      </c>
      <c r="AZ106" s="5"/>
      <c r="BA106" s="6"/>
      <c r="BB106" s="4"/>
      <c r="BC106" s="6"/>
      <c r="BD106" s="6"/>
      <c r="BE106" s="6"/>
      <c r="BF106" s="7"/>
    </row>
    <row r="107" spans="1:58" ht="18" customHeight="1">
      <c r="A107" s="106" t="s">
        <v>15</v>
      </c>
      <c r="B107" s="93" t="s">
        <v>84</v>
      </c>
      <c r="C107" s="28">
        <v>177.05</v>
      </c>
      <c r="D107" s="28">
        <v>177.17</v>
      </c>
      <c r="E107" s="28">
        <v>177.11</v>
      </c>
      <c r="F107" s="28">
        <v>177.11</v>
      </c>
      <c r="G107" s="29">
        <v>5072.4597092509403</v>
      </c>
      <c r="H107" s="29">
        <v>2542.6913996425101</v>
      </c>
      <c r="I107" s="27">
        <f t="shared" si="4"/>
        <v>1</v>
      </c>
      <c r="J107" s="27">
        <f t="shared" si="5"/>
        <v>1</v>
      </c>
      <c r="K107" s="27">
        <f t="shared" si="3"/>
        <v>1</v>
      </c>
      <c r="L107" s="25">
        <v>593.66332349999993</v>
      </c>
      <c r="M107" s="25">
        <v>597.75207591229389</v>
      </c>
      <c r="N107" s="38">
        <v>0.53307471162367115</v>
      </c>
      <c r="O107" s="38">
        <v>-9.6956868474091795</v>
      </c>
      <c r="P107" s="71">
        <v>-11.827985693903864</v>
      </c>
      <c r="Q107" s="53">
        <v>43398</v>
      </c>
      <c r="R107" s="23">
        <v>9</v>
      </c>
      <c r="S107" s="24">
        <v>593.66332349999993</v>
      </c>
      <c r="T107" s="24">
        <v>597.75207591229389</v>
      </c>
      <c r="U107" s="1">
        <v>0.53307471162367115</v>
      </c>
      <c r="V107" s="2">
        <v>-9.6956868474091795</v>
      </c>
      <c r="W107" s="2">
        <v>-11.827985693903864</v>
      </c>
      <c r="X107" s="22" t="s">
        <v>17</v>
      </c>
      <c r="Y107" s="23"/>
      <c r="Z107" s="24" t="s">
        <v>17</v>
      </c>
      <c r="AA107" s="24" t="s">
        <v>17</v>
      </c>
      <c r="AB107" s="1" t="s">
        <v>17</v>
      </c>
      <c r="AC107" s="2" t="s">
        <v>17</v>
      </c>
      <c r="AD107" s="2" t="s">
        <v>17</v>
      </c>
      <c r="AE107" s="22" t="s">
        <v>17</v>
      </c>
      <c r="AF107" s="23"/>
      <c r="AG107" s="24" t="s">
        <v>17</v>
      </c>
      <c r="AH107" s="24" t="s">
        <v>17</v>
      </c>
      <c r="AI107" s="1" t="s">
        <v>17</v>
      </c>
      <c r="AJ107" s="2" t="s">
        <v>17</v>
      </c>
      <c r="AK107" s="2" t="s">
        <v>17</v>
      </c>
      <c r="AL107" s="3"/>
      <c r="AM107" s="2"/>
      <c r="AN107" s="24" t="s">
        <v>17</v>
      </c>
      <c r="AO107" s="24" t="s">
        <v>17</v>
      </c>
      <c r="AP107" s="1" t="s">
        <v>17</v>
      </c>
      <c r="AQ107" s="2" t="s">
        <v>17</v>
      </c>
      <c r="AR107" s="2" t="s">
        <v>17</v>
      </c>
      <c r="AS107" s="3"/>
      <c r="AT107" s="2"/>
      <c r="AU107" s="4"/>
      <c r="AV107" s="2"/>
      <c r="AW107" s="1" t="s">
        <v>17</v>
      </c>
      <c r="AX107" s="2" t="s">
        <v>17</v>
      </c>
      <c r="AY107" s="2" t="s">
        <v>17</v>
      </c>
      <c r="AZ107" s="5"/>
      <c r="BA107" s="6"/>
      <c r="BB107" s="4"/>
      <c r="BC107" s="6"/>
      <c r="BD107" s="6"/>
      <c r="BE107" s="6"/>
      <c r="BF107" s="7"/>
    </row>
    <row r="108" spans="1:58" ht="18" customHeight="1">
      <c r="A108" s="106" t="s">
        <v>15</v>
      </c>
      <c r="B108" s="93" t="s">
        <v>85</v>
      </c>
      <c r="C108" s="28">
        <v>177.845</v>
      </c>
      <c r="D108" s="28">
        <v>178.07</v>
      </c>
      <c r="E108" s="28">
        <v>177.95749999999998</v>
      </c>
      <c r="F108" s="28">
        <v>177.95749999999998</v>
      </c>
      <c r="G108" s="29">
        <v>5101.2645189868399</v>
      </c>
      <c r="H108" s="29">
        <v>2574.5267226123601</v>
      </c>
      <c r="I108" s="27">
        <f t="shared" si="4"/>
        <v>2</v>
      </c>
      <c r="J108" s="27">
        <f t="shared" si="5"/>
        <v>1</v>
      </c>
      <c r="K108" s="27">
        <f t="shared" si="3"/>
        <v>1</v>
      </c>
      <c r="L108" s="25">
        <v>595.76008975000002</v>
      </c>
      <c r="M108" s="25">
        <v>599.84476782243337</v>
      </c>
      <c r="N108" s="38">
        <v>0.51685089491737557</v>
      </c>
      <c r="O108" s="38">
        <v>-13.211349386689442</v>
      </c>
      <c r="P108" s="71">
        <v>-15.278752966358944</v>
      </c>
      <c r="Q108" s="53">
        <v>42682</v>
      </c>
      <c r="R108" s="23">
        <v>5</v>
      </c>
      <c r="S108" s="24">
        <v>596.70782850000001</v>
      </c>
      <c r="T108" s="24">
        <v>600.9051981415513</v>
      </c>
      <c r="U108" s="1"/>
      <c r="V108" s="2"/>
      <c r="W108" s="2"/>
      <c r="X108" s="22">
        <v>43321</v>
      </c>
      <c r="Y108" s="23">
        <v>5</v>
      </c>
      <c r="Z108" s="24">
        <v>594.81235100000004</v>
      </c>
      <c r="AA108" s="24">
        <v>598.78433750331556</v>
      </c>
      <c r="AB108" s="1">
        <v>0.51685089491737557</v>
      </c>
      <c r="AC108" s="2">
        <v>-13.211349386689442</v>
      </c>
      <c r="AD108" s="2">
        <v>-15.278752966358944</v>
      </c>
      <c r="AE108" s="22" t="s">
        <v>17</v>
      </c>
      <c r="AF108" s="23"/>
      <c r="AG108" s="24" t="s">
        <v>17</v>
      </c>
      <c r="AH108" s="24" t="s">
        <v>17</v>
      </c>
      <c r="AI108" s="1" t="s">
        <v>17</v>
      </c>
      <c r="AJ108" s="2" t="s">
        <v>17</v>
      </c>
      <c r="AK108" s="2" t="s">
        <v>17</v>
      </c>
      <c r="AL108" s="3"/>
      <c r="AM108" s="2"/>
      <c r="AN108" s="24" t="s">
        <v>17</v>
      </c>
      <c r="AO108" s="24" t="s">
        <v>17</v>
      </c>
      <c r="AP108" s="1" t="s">
        <v>17</v>
      </c>
      <c r="AQ108" s="2" t="s">
        <v>17</v>
      </c>
      <c r="AR108" s="2" t="s">
        <v>17</v>
      </c>
      <c r="AS108" s="3"/>
      <c r="AT108" s="2"/>
      <c r="AU108" s="4"/>
      <c r="AV108" s="2"/>
      <c r="AW108" s="1" t="s">
        <v>17</v>
      </c>
      <c r="AX108" s="2" t="s">
        <v>17</v>
      </c>
      <c r="AY108" s="2" t="s">
        <v>17</v>
      </c>
      <c r="AZ108" s="5"/>
      <c r="BA108" s="6"/>
      <c r="BB108" s="4"/>
      <c r="BC108" s="6"/>
      <c r="BD108" s="6"/>
      <c r="BE108" s="6"/>
      <c r="BF108" s="7"/>
    </row>
    <row r="109" spans="1:58" ht="18" customHeight="1">
      <c r="A109" s="106" t="s">
        <v>15</v>
      </c>
      <c r="B109" s="93" t="s">
        <v>86</v>
      </c>
      <c r="C109" s="28">
        <v>178.57</v>
      </c>
      <c r="D109" s="28">
        <v>178.66</v>
      </c>
      <c r="E109" s="28">
        <v>178.61500000000001</v>
      </c>
      <c r="F109" s="28">
        <v>178.61500000000001</v>
      </c>
      <c r="G109" s="29">
        <v>5123.7071123907399</v>
      </c>
      <c r="H109" s="29">
        <v>2603.4995367035799</v>
      </c>
      <c r="I109" s="27">
        <f t="shared" si="4"/>
        <v>1</v>
      </c>
      <c r="J109" s="27">
        <f t="shared" si="5"/>
        <v>1</v>
      </c>
      <c r="K109" s="27">
        <f t="shared" si="3"/>
        <v>1</v>
      </c>
      <c r="L109" s="25">
        <v>596.76406050000003</v>
      </c>
      <c r="M109" s="25">
        <v>600.79944637945641</v>
      </c>
      <c r="N109" s="38">
        <v>0.52338334201507131</v>
      </c>
      <c r="O109" s="38">
        <v>-9.7171488716909504</v>
      </c>
      <c r="P109" s="71">
        <v>-11.810682239751236</v>
      </c>
      <c r="Q109" s="53">
        <v>43447</v>
      </c>
      <c r="R109" s="23">
        <v>7</v>
      </c>
      <c r="S109" s="24">
        <v>596.76406050000003</v>
      </c>
      <c r="T109" s="24">
        <v>600.79944637945641</v>
      </c>
      <c r="U109" s="1">
        <v>0.52338334201507131</v>
      </c>
      <c r="V109" s="2">
        <v>-9.7171488716909504</v>
      </c>
      <c r="W109" s="2">
        <v>-11.810682239751236</v>
      </c>
      <c r="X109" s="22" t="s">
        <v>17</v>
      </c>
      <c r="Y109" s="23"/>
      <c r="Z109" s="24" t="s">
        <v>17</v>
      </c>
      <c r="AA109" s="24" t="s">
        <v>17</v>
      </c>
      <c r="AB109" s="1" t="s">
        <v>17</v>
      </c>
      <c r="AC109" s="2" t="s">
        <v>17</v>
      </c>
      <c r="AD109" s="2" t="s">
        <v>17</v>
      </c>
      <c r="AE109" s="22" t="s">
        <v>17</v>
      </c>
      <c r="AF109" s="23"/>
      <c r="AG109" s="24" t="s">
        <v>17</v>
      </c>
      <c r="AH109" s="24" t="s">
        <v>17</v>
      </c>
      <c r="AI109" s="1" t="s">
        <v>17</v>
      </c>
      <c r="AJ109" s="2" t="s">
        <v>17</v>
      </c>
      <c r="AK109" s="2" t="s">
        <v>17</v>
      </c>
      <c r="AL109" s="3"/>
      <c r="AM109" s="2"/>
      <c r="AN109" s="24" t="s">
        <v>17</v>
      </c>
      <c r="AO109" s="24" t="s">
        <v>17</v>
      </c>
      <c r="AP109" s="1" t="s">
        <v>17</v>
      </c>
      <c r="AQ109" s="2" t="s">
        <v>17</v>
      </c>
      <c r="AR109" s="2" t="s">
        <v>17</v>
      </c>
      <c r="AS109" s="3"/>
      <c r="AT109" s="2"/>
      <c r="AU109" s="4"/>
      <c r="AV109" s="2"/>
      <c r="AW109" s="1" t="s">
        <v>17</v>
      </c>
      <c r="AX109" s="2" t="s">
        <v>17</v>
      </c>
      <c r="AY109" s="2" t="s">
        <v>17</v>
      </c>
      <c r="AZ109" s="5"/>
      <c r="BA109" s="6"/>
      <c r="BB109" s="4"/>
      <c r="BC109" s="6"/>
      <c r="BD109" s="6"/>
      <c r="BE109" s="6"/>
      <c r="BF109" s="7"/>
    </row>
    <row r="110" spans="1:58" ht="18" customHeight="1">
      <c r="A110" s="106" t="s">
        <v>15</v>
      </c>
      <c r="B110" s="93" t="s">
        <v>87</v>
      </c>
      <c r="C110" s="28">
        <v>179.19</v>
      </c>
      <c r="D110" s="28">
        <v>179.31</v>
      </c>
      <c r="E110" s="28">
        <v>179.25</v>
      </c>
      <c r="F110" s="28">
        <v>179.25</v>
      </c>
      <c r="G110" s="29">
        <v>5145.3305806302496</v>
      </c>
      <c r="H110" s="29">
        <v>2632.3419773022501</v>
      </c>
      <c r="I110" s="27">
        <f t="shared" si="4"/>
        <v>2</v>
      </c>
      <c r="J110" s="27">
        <f t="shared" si="5"/>
        <v>1</v>
      </c>
      <c r="K110" s="27">
        <f t="shared" si="3"/>
        <v>1</v>
      </c>
      <c r="L110" s="25">
        <v>597.10781637499997</v>
      </c>
      <c r="M110" s="25">
        <v>601.19571836047135</v>
      </c>
      <c r="N110" s="38">
        <v>0.52988936635878225</v>
      </c>
      <c r="O110" s="38">
        <v>-10.238338339053744</v>
      </c>
      <c r="P110" s="71">
        <v>-12.357895804488873</v>
      </c>
      <c r="Q110" s="53">
        <v>44118</v>
      </c>
      <c r="R110" s="23">
        <v>10</v>
      </c>
      <c r="S110" s="24">
        <v>596.15781300000003</v>
      </c>
      <c r="T110" s="24">
        <v>600.23921110028289</v>
      </c>
      <c r="U110" s="1">
        <v>0.52988936635878225</v>
      </c>
      <c r="V110" s="2">
        <v>-10.238338339053744</v>
      </c>
      <c r="W110" s="2">
        <v>-12.357895804488873</v>
      </c>
      <c r="X110" s="22">
        <v>44159</v>
      </c>
      <c r="Y110" s="23" t="s">
        <v>88</v>
      </c>
      <c r="Z110" s="24">
        <v>598.05781974999991</v>
      </c>
      <c r="AA110" s="24">
        <v>602.15222562065981</v>
      </c>
      <c r="AB110" s="1"/>
      <c r="AC110" s="2"/>
      <c r="AD110" s="2"/>
      <c r="AE110" s="22" t="s">
        <v>17</v>
      </c>
      <c r="AF110" s="23"/>
      <c r="AG110" s="24" t="s">
        <v>17</v>
      </c>
      <c r="AH110" s="24" t="s">
        <v>17</v>
      </c>
      <c r="AI110" s="1" t="s">
        <v>17</v>
      </c>
      <c r="AJ110" s="2" t="s">
        <v>17</v>
      </c>
      <c r="AK110" s="2" t="s">
        <v>17</v>
      </c>
      <c r="AL110" s="3"/>
      <c r="AM110" s="2"/>
      <c r="AN110" s="24" t="s">
        <v>17</v>
      </c>
      <c r="AO110" s="24" t="s">
        <v>17</v>
      </c>
      <c r="AP110" s="1" t="s">
        <v>17</v>
      </c>
      <c r="AQ110" s="2" t="s">
        <v>17</v>
      </c>
      <c r="AR110" s="2" t="s">
        <v>17</v>
      </c>
      <c r="AS110" s="3"/>
      <c r="AT110" s="2"/>
      <c r="AU110" s="4"/>
      <c r="AV110" s="2"/>
      <c r="AW110" s="1" t="s">
        <v>17</v>
      </c>
      <c r="AX110" s="2" t="s">
        <v>17</v>
      </c>
      <c r="AY110" s="2" t="s">
        <v>17</v>
      </c>
      <c r="AZ110" s="5"/>
      <c r="BA110" s="6"/>
      <c r="BB110" s="4"/>
      <c r="BC110" s="6"/>
      <c r="BD110" s="6"/>
      <c r="BE110" s="6"/>
      <c r="BF110" s="7"/>
    </row>
    <row r="111" spans="1:58" ht="18" customHeight="1">
      <c r="A111" s="106" t="s">
        <v>15</v>
      </c>
      <c r="B111" s="93" t="s">
        <v>89</v>
      </c>
      <c r="C111" s="28">
        <v>180.57</v>
      </c>
      <c r="D111" s="28">
        <v>180.69</v>
      </c>
      <c r="E111" s="28">
        <v>180.63</v>
      </c>
      <c r="F111" s="28">
        <v>180.63</v>
      </c>
      <c r="G111" s="29">
        <v>5193.8194252591002</v>
      </c>
      <c r="H111" s="29">
        <v>2696.0974064921302</v>
      </c>
      <c r="I111" s="27">
        <f t="shared" si="4"/>
        <v>1</v>
      </c>
      <c r="J111" s="27">
        <f t="shared" si="5"/>
        <v>1</v>
      </c>
      <c r="K111" s="27">
        <f t="shared" si="3"/>
        <v>1</v>
      </c>
      <c r="L111" s="25">
        <v>595.02566899999999</v>
      </c>
      <c r="M111" s="25">
        <v>599.02190497400045</v>
      </c>
      <c r="N111" s="38">
        <v>0.51981991038796416</v>
      </c>
      <c r="O111" s="38">
        <v>-10.518198414639524</v>
      </c>
      <c r="P111" s="71">
        <v>-12.597478056191381</v>
      </c>
      <c r="Q111" s="53">
        <v>43447</v>
      </c>
      <c r="R111" s="23">
        <v>12</v>
      </c>
      <c r="S111" s="24">
        <v>595.02566899999999</v>
      </c>
      <c r="T111" s="24">
        <v>599.02190497400045</v>
      </c>
      <c r="U111" s="1">
        <v>0.51981991038796416</v>
      </c>
      <c r="V111" s="2">
        <v>-10.518198414639524</v>
      </c>
      <c r="W111" s="2">
        <v>-12.597478056191381</v>
      </c>
      <c r="X111" s="22" t="s">
        <v>17</v>
      </c>
      <c r="Y111" s="23"/>
      <c r="Z111" s="24" t="s">
        <v>17</v>
      </c>
      <c r="AA111" s="24" t="s">
        <v>17</v>
      </c>
      <c r="AB111" s="1" t="s">
        <v>17</v>
      </c>
      <c r="AC111" s="2" t="s">
        <v>17</v>
      </c>
      <c r="AD111" s="2" t="s">
        <v>17</v>
      </c>
      <c r="AE111" s="22" t="s">
        <v>17</v>
      </c>
      <c r="AF111" s="23"/>
      <c r="AG111" s="24" t="s">
        <v>17</v>
      </c>
      <c r="AH111" s="24" t="s">
        <v>17</v>
      </c>
      <c r="AI111" s="1" t="s">
        <v>17</v>
      </c>
      <c r="AJ111" s="2" t="s">
        <v>17</v>
      </c>
      <c r="AK111" s="2" t="s">
        <v>17</v>
      </c>
      <c r="AL111" s="3"/>
      <c r="AM111" s="2"/>
      <c r="AN111" s="24" t="s">
        <v>17</v>
      </c>
      <c r="AO111" s="24" t="s">
        <v>17</v>
      </c>
      <c r="AP111" s="1" t="s">
        <v>17</v>
      </c>
      <c r="AQ111" s="2" t="s">
        <v>17</v>
      </c>
      <c r="AR111" s="2" t="s">
        <v>17</v>
      </c>
      <c r="AS111" s="3"/>
      <c r="AT111" s="2"/>
      <c r="AU111" s="4"/>
      <c r="AV111" s="2"/>
      <c r="AW111" s="1" t="s">
        <v>17</v>
      </c>
      <c r="AX111" s="2" t="s">
        <v>17</v>
      </c>
      <c r="AY111" s="2" t="s">
        <v>17</v>
      </c>
      <c r="AZ111" s="5"/>
      <c r="BA111" s="6"/>
      <c r="BB111" s="4"/>
      <c r="BC111" s="6"/>
      <c r="BD111" s="6"/>
      <c r="BE111" s="6"/>
      <c r="BF111" s="7"/>
    </row>
    <row r="112" spans="1:58" ht="18" customHeight="1">
      <c r="A112" s="106" t="s">
        <v>15</v>
      </c>
      <c r="B112" s="93" t="s">
        <v>90</v>
      </c>
      <c r="C112" s="28">
        <v>181.82499999999999</v>
      </c>
      <c r="D112" s="28">
        <v>182.07</v>
      </c>
      <c r="E112" s="28">
        <v>181.94749999999999</v>
      </c>
      <c r="F112" s="28">
        <v>181.94749999999999</v>
      </c>
      <c r="G112" s="29">
        <v>5241.3106541442903</v>
      </c>
      <c r="H112" s="29">
        <v>2746.7866710041499</v>
      </c>
      <c r="I112" s="27">
        <f t="shared" si="4"/>
        <v>1</v>
      </c>
      <c r="J112" s="27">
        <f t="shared" si="5"/>
        <v>1</v>
      </c>
      <c r="K112" s="27">
        <f t="shared" si="3"/>
        <v>1</v>
      </c>
      <c r="L112" s="25">
        <v>591.48884699999996</v>
      </c>
      <c r="M112" s="25">
        <v>595.53896280841661</v>
      </c>
      <c r="N112" s="38">
        <v>0.5299786417778396</v>
      </c>
      <c r="O112" s="38">
        <v>-9.4934695987717319</v>
      </c>
      <c r="P112" s="71">
        <v>-11.61338416588309</v>
      </c>
      <c r="Q112" s="53">
        <v>42691</v>
      </c>
      <c r="R112" s="23">
        <v>7</v>
      </c>
      <c r="S112" s="24">
        <v>591.48884699999996</v>
      </c>
      <c r="T112" s="24">
        <v>595.53896280841661</v>
      </c>
      <c r="U112" s="1">
        <v>0.5299786417778396</v>
      </c>
      <c r="V112" s="2">
        <v>-9.4934695987717319</v>
      </c>
      <c r="W112" s="2">
        <v>-11.61338416588309</v>
      </c>
      <c r="X112" s="22" t="s">
        <v>17</v>
      </c>
      <c r="Y112" s="23"/>
      <c r="Z112" s="24" t="s">
        <v>17</v>
      </c>
      <c r="AA112" s="24" t="s">
        <v>17</v>
      </c>
      <c r="AB112" s="1" t="s">
        <v>17</v>
      </c>
      <c r="AC112" s="2" t="s">
        <v>17</v>
      </c>
      <c r="AD112" s="2" t="s">
        <v>17</v>
      </c>
      <c r="AE112" s="22" t="s">
        <v>17</v>
      </c>
      <c r="AF112" s="23"/>
      <c r="AG112" s="24" t="s">
        <v>17</v>
      </c>
      <c r="AH112" s="24" t="s">
        <v>17</v>
      </c>
      <c r="AI112" s="1" t="s">
        <v>17</v>
      </c>
      <c r="AJ112" s="2" t="s">
        <v>17</v>
      </c>
      <c r="AK112" s="2" t="s">
        <v>17</v>
      </c>
      <c r="AL112" s="3"/>
      <c r="AM112" s="2"/>
      <c r="AN112" s="24" t="s">
        <v>17</v>
      </c>
      <c r="AO112" s="24" t="s">
        <v>17</v>
      </c>
      <c r="AP112" s="1" t="s">
        <v>17</v>
      </c>
      <c r="AQ112" s="2" t="s">
        <v>17</v>
      </c>
      <c r="AR112" s="2" t="s">
        <v>17</v>
      </c>
      <c r="AS112" s="3"/>
      <c r="AT112" s="2"/>
      <c r="AU112" s="4"/>
      <c r="AV112" s="2"/>
      <c r="AW112" s="1" t="s">
        <v>17</v>
      </c>
      <c r="AX112" s="2" t="s">
        <v>17</v>
      </c>
      <c r="AY112" s="2" t="s">
        <v>17</v>
      </c>
      <c r="AZ112" s="5"/>
      <c r="BA112" s="6"/>
      <c r="BB112" s="4"/>
      <c r="BC112" s="6"/>
      <c r="BD112" s="6"/>
      <c r="BE112" s="6"/>
      <c r="BF112" s="7"/>
    </row>
    <row r="113" spans="1:58" ht="18" customHeight="1">
      <c r="A113" s="106" t="s">
        <v>15</v>
      </c>
      <c r="B113" s="93" t="s">
        <v>91</v>
      </c>
      <c r="C113" s="28">
        <v>182.33</v>
      </c>
      <c r="D113" s="28">
        <v>182.45</v>
      </c>
      <c r="E113" s="28">
        <v>182.39</v>
      </c>
      <c r="F113" s="28">
        <v>182.39</v>
      </c>
      <c r="G113" s="29">
        <v>5257.4555849406597</v>
      </c>
      <c r="H113" s="29">
        <v>2760.4523378727099</v>
      </c>
      <c r="I113" s="27">
        <f t="shared" si="4"/>
        <v>2</v>
      </c>
      <c r="J113" s="27">
        <f t="shared" si="5"/>
        <v>1</v>
      </c>
      <c r="K113" s="27">
        <f t="shared" si="3"/>
        <v>1</v>
      </c>
      <c r="L113" s="25">
        <v>594.47295058333339</v>
      </c>
      <c r="M113" s="25">
        <v>598.52487184692689</v>
      </c>
      <c r="N113" s="38">
        <v>0.52755335051801744</v>
      </c>
      <c r="O113" s="38">
        <v>-9.0166999402844219</v>
      </c>
      <c r="P113" s="71">
        <v>-11.126913342356492</v>
      </c>
      <c r="Q113" s="53">
        <v>44118</v>
      </c>
      <c r="R113" s="23">
        <v>10</v>
      </c>
      <c r="S113" s="24">
        <v>593.7384065</v>
      </c>
      <c r="T113" s="24">
        <v>597.78532111898949</v>
      </c>
      <c r="U113" s="1">
        <v>0.52755335051801744</v>
      </c>
      <c r="V113" s="2">
        <v>-9.0166999402844219</v>
      </c>
      <c r="W113" s="2">
        <v>-11.126913342356492</v>
      </c>
      <c r="X113" s="22">
        <v>44151</v>
      </c>
      <c r="Y113" s="23" t="s">
        <v>88</v>
      </c>
      <c r="Z113" s="24">
        <v>595.20749466666666</v>
      </c>
      <c r="AA113" s="24">
        <v>599.26442257486428</v>
      </c>
      <c r="AB113" s="1"/>
      <c r="AC113" s="2"/>
      <c r="AD113" s="2"/>
      <c r="AE113" s="22" t="s">
        <v>17</v>
      </c>
      <c r="AF113" s="23"/>
      <c r="AG113" s="24" t="s">
        <v>17</v>
      </c>
      <c r="AH113" s="24" t="s">
        <v>17</v>
      </c>
      <c r="AI113" s="1" t="s">
        <v>17</v>
      </c>
      <c r="AJ113" s="2" t="s">
        <v>17</v>
      </c>
      <c r="AK113" s="2" t="s">
        <v>17</v>
      </c>
      <c r="AL113" s="3"/>
      <c r="AM113" s="2"/>
      <c r="AN113" s="24" t="s">
        <v>17</v>
      </c>
      <c r="AO113" s="24" t="s">
        <v>17</v>
      </c>
      <c r="AP113" s="1" t="s">
        <v>17</v>
      </c>
      <c r="AQ113" s="2" t="s">
        <v>17</v>
      </c>
      <c r="AR113" s="2" t="s">
        <v>17</v>
      </c>
      <c r="AS113" s="3"/>
      <c r="AT113" s="2"/>
      <c r="AU113" s="4"/>
      <c r="AV113" s="2"/>
      <c r="AW113" s="1" t="s">
        <v>17</v>
      </c>
      <c r="AX113" s="2" t="s">
        <v>17</v>
      </c>
      <c r="AY113" s="2" t="s">
        <v>17</v>
      </c>
      <c r="AZ113" s="5"/>
      <c r="BA113" s="6"/>
      <c r="BB113" s="4"/>
      <c r="BC113" s="6"/>
      <c r="BD113" s="6"/>
      <c r="BE113" s="6"/>
      <c r="BF113" s="7"/>
    </row>
    <row r="114" spans="1:58" ht="18" customHeight="1">
      <c r="A114" s="106" t="s">
        <v>15</v>
      </c>
      <c r="B114" s="93" t="s">
        <v>92</v>
      </c>
      <c r="C114" s="28">
        <v>183.07</v>
      </c>
      <c r="D114" s="28">
        <v>183.19</v>
      </c>
      <c r="E114" s="28">
        <v>183.13</v>
      </c>
      <c r="F114" s="28">
        <v>183.13</v>
      </c>
      <c r="G114" s="29">
        <v>5284.6998211625596</v>
      </c>
      <c r="H114" s="29">
        <v>2782.7701076878102</v>
      </c>
      <c r="I114" s="27">
        <f t="shared" si="4"/>
        <v>1</v>
      </c>
      <c r="J114" s="27">
        <f t="shared" si="5"/>
        <v>2</v>
      </c>
      <c r="K114" s="27">
        <f t="shared" si="3"/>
        <v>1</v>
      </c>
      <c r="L114" s="25">
        <v>593.67659000000003</v>
      </c>
      <c r="M114" s="25">
        <v>597.71542456017357</v>
      </c>
      <c r="N114" s="38">
        <v>0.52476605144646804</v>
      </c>
      <c r="O114" s="38">
        <v>-10.120736546733845</v>
      </c>
      <c r="P114" s="71">
        <v>-12.22695598941781</v>
      </c>
      <c r="Q114" s="53">
        <v>43454</v>
      </c>
      <c r="R114" s="23">
        <v>12</v>
      </c>
      <c r="S114" s="24">
        <v>593.67659000000003</v>
      </c>
      <c r="T114" s="24">
        <v>597.71542456017357</v>
      </c>
      <c r="U114" s="1">
        <v>0.52655486067099133</v>
      </c>
      <c r="V114" s="2">
        <v>-10.120736546733845</v>
      </c>
      <c r="W114" s="2">
        <v>-12.22695598941781</v>
      </c>
      <c r="X114" s="22">
        <v>44099</v>
      </c>
      <c r="Y114" s="23" t="s">
        <v>88</v>
      </c>
      <c r="Z114" s="24"/>
      <c r="AA114" s="24"/>
      <c r="AB114" s="1">
        <v>0.52297724222194475</v>
      </c>
      <c r="AC114" s="2"/>
      <c r="AD114" s="2"/>
      <c r="AE114" s="22" t="s">
        <v>17</v>
      </c>
      <c r="AF114" s="23"/>
      <c r="AG114" s="24" t="s">
        <v>17</v>
      </c>
      <c r="AH114" s="24" t="s">
        <v>17</v>
      </c>
      <c r="AI114" s="1" t="s">
        <v>17</v>
      </c>
      <c r="AJ114" s="2" t="s">
        <v>17</v>
      </c>
      <c r="AK114" s="2" t="s">
        <v>17</v>
      </c>
      <c r="AL114" s="3"/>
      <c r="AM114" s="2"/>
      <c r="AN114" s="24" t="s">
        <v>17</v>
      </c>
      <c r="AO114" s="24" t="s">
        <v>17</v>
      </c>
      <c r="AP114" s="1" t="s">
        <v>17</v>
      </c>
      <c r="AQ114" s="2" t="s">
        <v>17</v>
      </c>
      <c r="AR114" s="2" t="s">
        <v>17</v>
      </c>
      <c r="AS114" s="3"/>
      <c r="AT114" s="2"/>
      <c r="AU114" s="4"/>
      <c r="AV114" s="2"/>
      <c r="AW114" s="1" t="s">
        <v>17</v>
      </c>
      <c r="AX114" s="2" t="s">
        <v>17</v>
      </c>
      <c r="AY114" s="2" t="s">
        <v>17</v>
      </c>
      <c r="AZ114" s="5"/>
      <c r="BA114" s="6"/>
      <c r="BB114" s="4"/>
      <c r="BC114" s="6"/>
      <c r="BD114" s="6"/>
      <c r="BE114" s="6"/>
      <c r="BF114" s="7"/>
    </row>
    <row r="115" spans="1:58" ht="18" customHeight="1">
      <c r="A115" s="106" t="s">
        <v>15</v>
      </c>
      <c r="B115" s="93" t="s">
        <v>93</v>
      </c>
      <c r="C115" s="28">
        <v>184.45250000000001</v>
      </c>
      <c r="D115" s="28">
        <v>184.57000000000002</v>
      </c>
      <c r="E115" s="28">
        <v>184.51125000000002</v>
      </c>
      <c r="F115" s="28">
        <v>184.51125000000002</v>
      </c>
      <c r="G115" s="29">
        <v>5335.4479700837501</v>
      </c>
      <c r="H115" s="29">
        <v>2823.5624776193899</v>
      </c>
      <c r="I115" s="27">
        <f t="shared" si="4"/>
        <v>1</v>
      </c>
      <c r="J115" s="27">
        <f t="shared" si="5"/>
        <v>1</v>
      </c>
      <c r="K115" s="27">
        <f t="shared" si="3"/>
        <v>0</v>
      </c>
      <c r="L115" s="25">
        <v>590.68503250000003</v>
      </c>
      <c r="M115" s="25">
        <v>594.67555348414442</v>
      </c>
      <c r="N115" s="38">
        <v>0.52289094232627065</v>
      </c>
      <c r="O115" s="38"/>
      <c r="P115" s="71"/>
      <c r="Q115" s="53">
        <v>42619</v>
      </c>
      <c r="R115" s="23">
        <v>3</v>
      </c>
      <c r="S115" s="24">
        <v>590.68503250000003</v>
      </c>
      <c r="T115" s="24">
        <v>594.67555348414442</v>
      </c>
      <c r="U115" s="1">
        <v>0.52289094232627065</v>
      </c>
      <c r="V115" s="2"/>
      <c r="W115" s="2"/>
      <c r="X115" s="22" t="s">
        <v>17</v>
      </c>
      <c r="Y115" s="23"/>
      <c r="Z115" s="24" t="s">
        <v>17</v>
      </c>
      <c r="AA115" s="24" t="s">
        <v>17</v>
      </c>
      <c r="AB115" s="1" t="s">
        <v>17</v>
      </c>
      <c r="AC115" s="2" t="s">
        <v>17</v>
      </c>
      <c r="AD115" s="2" t="s">
        <v>17</v>
      </c>
      <c r="AE115" s="22" t="s">
        <v>17</v>
      </c>
      <c r="AF115" s="23"/>
      <c r="AG115" s="24" t="s">
        <v>17</v>
      </c>
      <c r="AH115" s="24" t="s">
        <v>17</v>
      </c>
      <c r="AI115" s="1" t="s">
        <v>17</v>
      </c>
      <c r="AJ115" s="2" t="s">
        <v>17</v>
      </c>
      <c r="AK115" s="2" t="s">
        <v>17</v>
      </c>
      <c r="AL115" s="3"/>
      <c r="AM115" s="2"/>
      <c r="AN115" s="24" t="s">
        <v>17</v>
      </c>
      <c r="AO115" s="24" t="s">
        <v>17</v>
      </c>
      <c r="AP115" s="1" t="s">
        <v>17</v>
      </c>
      <c r="AQ115" s="2" t="s">
        <v>17</v>
      </c>
      <c r="AR115" s="2" t="s">
        <v>17</v>
      </c>
      <c r="AS115" s="3"/>
      <c r="AT115" s="2"/>
      <c r="AU115" s="4"/>
      <c r="AV115" s="2"/>
      <c r="AW115" s="1" t="s">
        <v>17</v>
      </c>
      <c r="AX115" s="2" t="s">
        <v>17</v>
      </c>
      <c r="AY115" s="2" t="s">
        <v>17</v>
      </c>
      <c r="AZ115" s="5"/>
      <c r="BA115" s="6"/>
      <c r="BB115" s="4"/>
      <c r="BC115" s="6"/>
      <c r="BD115" s="6"/>
      <c r="BE115" s="6"/>
      <c r="BF115" s="7"/>
    </row>
    <row r="116" spans="1:58" ht="18" customHeight="1">
      <c r="A116" s="106" t="s">
        <v>15</v>
      </c>
      <c r="B116" s="93" t="s">
        <v>94</v>
      </c>
      <c r="C116" s="28">
        <v>184.95</v>
      </c>
      <c r="D116" s="28">
        <v>185.07</v>
      </c>
      <c r="E116" s="28">
        <v>185.01</v>
      </c>
      <c r="F116" s="28">
        <v>185.01</v>
      </c>
      <c r="G116" s="29">
        <v>5353.5773155309698</v>
      </c>
      <c r="H116" s="29">
        <v>2838.80483257069</v>
      </c>
      <c r="I116" s="27">
        <f t="shared" si="4"/>
        <v>1</v>
      </c>
      <c r="J116" s="27">
        <f t="shared" si="5"/>
        <v>1</v>
      </c>
      <c r="K116" s="27">
        <f t="shared" si="3"/>
        <v>1</v>
      </c>
      <c r="L116" s="25">
        <v>587.11892399999999</v>
      </c>
      <c r="M116" s="25">
        <v>591.07975941447876</v>
      </c>
      <c r="N116" s="38">
        <v>0.52215351272000277</v>
      </c>
      <c r="O116" s="38">
        <v>-7.8830856320601939</v>
      </c>
      <c r="P116" s="71">
        <v>-9.9716996829402049</v>
      </c>
      <c r="Q116" s="53">
        <v>43461</v>
      </c>
      <c r="R116" s="23">
        <v>12</v>
      </c>
      <c r="S116" s="24">
        <v>587.11892399999999</v>
      </c>
      <c r="T116" s="24">
        <v>591.07975941447876</v>
      </c>
      <c r="U116" s="1">
        <v>0.52215351272000277</v>
      </c>
      <c r="V116" s="2">
        <v>-7.8830856320601939</v>
      </c>
      <c r="W116" s="2">
        <v>-9.9716996829402049</v>
      </c>
      <c r="X116" s="22" t="s">
        <v>17</v>
      </c>
      <c r="Y116" s="23"/>
      <c r="Z116" s="24" t="s">
        <v>17</v>
      </c>
      <c r="AA116" s="24" t="s">
        <v>17</v>
      </c>
      <c r="AB116" s="1" t="s">
        <v>17</v>
      </c>
      <c r="AC116" s="2" t="s">
        <v>17</v>
      </c>
      <c r="AD116" s="2" t="s">
        <v>17</v>
      </c>
      <c r="AE116" s="22" t="s">
        <v>17</v>
      </c>
      <c r="AF116" s="23"/>
      <c r="AG116" s="24" t="s">
        <v>17</v>
      </c>
      <c r="AH116" s="24" t="s">
        <v>17</v>
      </c>
      <c r="AI116" s="1" t="s">
        <v>17</v>
      </c>
      <c r="AJ116" s="2" t="s">
        <v>17</v>
      </c>
      <c r="AK116" s="2" t="s">
        <v>17</v>
      </c>
      <c r="AL116" s="3"/>
      <c r="AM116" s="2"/>
      <c r="AN116" s="24" t="s">
        <v>17</v>
      </c>
      <c r="AO116" s="24" t="s">
        <v>17</v>
      </c>
      <c r="AP116" s="1" t="s">
        <v>17</v>
      </c>
      <c r="AQ116" s="2" t="s">
        <v>17</v>
      </c>
      <c r="AR116" s="2" t="s">
        <v>17</v>
      </c>
      <c r="AS116" s="3"/>
      <c r="AT116" s="2"/>
      <c r="AU116" s="4"/>
      <c r="AV116" s="2"/>
      <c r="AW116" s="1" t="s">
        <v>17</v>
      </c>
      <c r="AX116" s="2" t="s">
        <v>17</v>
      </c>
      <c r="AY116" s="2" t="s">
        <v>17</v>
      </c>
      <c r="AZ116" s="5"/>
      <c r="BA116" s="6"/>
      <c r="BB116" s="4"/>
      <c r="BC116" s="6"/>
      <c r="BD116" s="6"/>
      <c r="BE116" s="6"/>
      <c r="BF116" s="7"/>
    </row>
    <row r="117" spans="1:58" ht="18" customHeight="1">
      <c r="A117" s="106" t="s">
        <v>15</v>
      </c>
      <c r="B117" s="93" t="s">
        <v>95</v>
      </c>
      <c r="C117" s="28">
        <v>185.69</v>
      </c>
      <c r="D117" s="28">
        <v>185.81</v>
      </c>
      <c r="E117" s="28">
        <v>185.75</v>
      </c>
      <c r="F117" s="28">
        <v>185.75</v>
      </c>
      <c r="G117" s="29">
        <v>5379.9239693914997</v>
      </c>
      <c r="H117" s="29">
        <v>2862.4816136217501</v>
      </c>
      <c r="I117" s="27">
        <f t="shared" si="4"/>
        <v>2</v>
      </c>
      <c r="J117" s="27">
        <f t="shared" si="5"/>
        <v>1</v>
      </c>
      <c r="K117" s="27">
        <f t="shared" si="3"/>
        <v>1</v>
      </c>
      <c r="L117" s="25">
        <v>584.52210233333335</v>
      </c>
      <c r="M117" s="25">
        <v>588.45979006727293</v>
      </c>
      <c r="N117" s="38">
        <v>0.52080058383352501</v>
      </c>
      <c r="O117" s="38">
        <v>-11.695721624080168</v>
      </c>
      <c r="P117" s="71">
        <v>-13.778923959414268</v>
      </c>
      <c r="Q117" s="53">
        <v>44130</v>
      </c>
      <c r="R117" s="23">
        <v>9</v>
      </c>
      <c r="S117" s="24">
        <v>583.64633099999992</v>
      </c>
      <c r="T117" s="24">
        <v>587.57811901855973</v>
      </c>
      <c r="U117" s="1">
        <v>0.52080058383352501</v>
      </c>
      <c r="V117" s="2">
        <v>-11.695721624080168</v>
      </c>
      <c r="W117" s="2">
        <v>-13.778923959414268</v>
      </c>
      <c r="X117" s="22">
        <v>44152</v>
      </c>
      <c r="Y117" s="23" t="s">
        <v>88</v>
      </c>
      <c r="Z117" s="24">
        <v>585.39787366666667</v>
      </c>
      <c r="AA117" s="24">
        <v>589.34146111598625</v>
      </c>
      <c r="AB117" s="1"/>
      <c r="AC117" s="2"/>
      <c r="AD117" s="2"/>
      <c r="AE117" s="22" t="s">
        <v>17</v>
      </c>
      <c r="AF117" s="23"/>
      <c r="AG117" s="24" t="s">
        <v>17</v>
      </c>
      <c r="AH117" s="24" t="s">
        <v>17</v>
      </c>
      <c r="AI117" s="1" t="s">
        <v>17</v>
      </c>
      <c r="AJ117" s="2" t="s">
        <v>17</v>
      </c>
      <c r="AK117" s="2" t="s">
        <v>17</v>
      </c>
      <c r="AL117" s="3"/>
      <c r="AM117" s="2"/>
      <c r="AN117" s="24" t="s">
        <v>17</v>
      </c>
      <c r="AO117" s="24" t="s">
        <v>17</v>
      </c>
      <c r="AP117" s="1" t="s">
        <v>17</v>
      </c>
      <c r="AQ117" s="2" t="s">
        <v>17</v>
      </c>
      <c r="AR117" s="2" t="s">
        <v>17</v>
      </c>
      <c r="AS117" s="3"/>
      <c r="AT117" s="2"/>
      <c r="AU117" s="4"/>
      <c r="AV117" s="2"/>
      <c r="AW117" s="1" t="s">
        <v>17</v>
      </c>
      <c r="AX117" s="2" t="s">
        <v>17</v>
      </c>
      <c r="AY117" s="2" t="s">
        <v>17</v>
      </c>
      <c r="AZ117" s="5"/>
      <c r="BA117" s="6"/>
      <c r="BB117" s="4"/>
      <c r="BC117" s="6"/>
      <c r="BD117" s="6"/>
      <c r="BE117" s="6"/>
      <c r="BF117" s="7"/>
    </row>
    <row r="118" spans="1:58" ht="18" customHeight="1">
      <c r="A118" s="106" t="s">
        <v>15</v>
      </c>
      <c r="B118" s="93" t="s">
        <v>96</v>
      </c>
      <c r="C118" s="28">
        <v>186.315</v>
      </c>
      <c r="D118" s="28">
        <v>186.54</v>
      </c>
      <c r="E118" s="28">
        <v>186.42750000000001</v>
      </c>
      <c r="F118" s="28">
        <v>186.42750000000001</v>
      </c>
      <c r="G118" s="29">
        <v>5403.92974176405</v>
      </c>
      <c r="H118" s="29">
        <v>2884.3224948950201</v>
      </c>
      <c r="I118" s="27">
        <f t="shared" si="4"/>
        <v>1</v>
      </c>
      <c r="J118" s="27">
        <f t="shared" si="5"/>
        <v>1</v>
      </c>
      <c r="K118" s="27">
        <f t="shared" si="3"/>
        <v>1</v>
      </c>
      <c r="L118" s="25">
        <v>584.55066349999993</v>
      </c>
      <c r="M118" s="25">
        <v>588.54416754699002</v>
      </c>
      <c r="N118" s="38">
        <v>0.5287732266496814</v>
      </c>
      <c r="O118" s="38">
        <v>-11.847344775483993</v>
      </c>
      <c r="P118" s="71">
        <v>-13.962437682082719</v>
      </c>
      <c r="Q118" s="53">
        <v>42691</v>
      </c>
      <c r="R118" s="23">
        <v>7</v>
      </c>
      <c r="S118" s="24">
        <v>584.55066349999993</v>
      </c>
      <c r="T118" s="24">
        <v>588.54416754699002</v>
      </c>
      <c r="U118" s="1">
        <v>0.5287732266496814</v>
      </c>
      <c r="V118" s="2">
        <v>-11.847344775483993</v>
      </c>
      <c r="W118" s="2">
        <v>-13.962437682082719</v>
      </c>
      <c r="X118" s="22" t="s">
        <v>17</v>
      </c>
      <c r="Y118" s="23"/>
      <c r="Z118" s="24" t="s">
        <v>17</v>
      </c>
      <c r="AA118" s="24" t="s">
        <v>17</v>
      </c>
      <c r="AB118" s="1" t="s">
        <v>17</v>
      </c>
      <c r="AC118" s="2" t="s">
        <v>17</v>
      </c>
      <c r="AD118" s="2" t="s">
        <v>17</v>
      </c>
      <c r="AE118" s="22" t="s">
        <v>17</v>
      </c>
      <c r="AF118" s="23"/>
      <c r="AG118" s="24" t="s">
        <v>17</v>
      </c>
      <c r="AH118" s="24" t="s">
        <v>17</v>
      </c>
      <c r="AI118" s="1" t="s">
        <v>17</v>
      </c>
      <c r="AJ118" s="2" t="s">
        <v>17</v>
      </c>
      <c r="AK118" s="2" t="s">
        <v>17</v>
      </c>
      <c r="AL118" s="3"/>
      <c r="AM118" s="2"/>
      <c r="AN118" s="24" t="s">
        <v>17</v>
      </c>
      <c r="AO118" s="24" t="s">
        <v>17</v>
      </c>
      <c r="AP118" s="1" t="s">
        <v>17</v>
      </c>
      <c r="AQ118" s="2" t="s">
        <v>17</v>
      </c>
      <c r="AR118" s="2" t="s">
        <v>17</v>
      </c>
      <c r="AS118" s="3"/>
      <c r="AT118" s="2"/>
      <c r="AU118" s="4"/>
      <c r="AV118" s="2"/>
      <c r="AW118" s="1" t="s">
        <v>17</v>
      </c>
      <c r="AX118" s="2" t="s">
        <v>17</v>
      </c>
      <c r="AY118" s="2" t="s">
        <v>17</v>
      </c>
      <c r="AZ118" s="5"/>
      <c r="BA118" s="6"/>
      <c r="BB118" s="4"/>
      <c r="BC118" s="6"/>
      <c r="BD118" s="6"/>
      <c r="BE118" s="6"/>
      <c r="BF118" s="7"/>
    </row>
    <row r="119" spans="1:58" ht="18" customHeight="1">
      <c r="A119" s="106" t="s">
        <v>15</v>
      </c>
      <c r="B119" s="93" t="s">
        <v>97</v>
      </c>
      <c r="C119" s="28">
        <v>187.04</v>
      </c>
      <c r="D119" s="28">
        <v>187.16</v>
      </c>
      <c r="E119" s="28">
        <v>187.1</v>
      </c>
      <c r="F119" s="28">
        <v>187.1</v>
      </c>
      <c r="G119" s="29">
        <v>5427.4171365467901</v>
      </c>
      <c r="H119" s="29">
        <v>2906.2177558445001</v>
      </c>
      <c r="I119" s="27">
        <f t="shared" si="4"/>
        <v>1</v>
      </c>
      <c r="J119" s="27">
        <f t="shared" si="5"/>
        <v>1</v>
      </c>
      <c r="K119" s="27">
        <f t="shared" si="3"/>
        <v>1</v>
      </c>
      <c r="L119" s="25">
        <v>588.01347750000002</v>
      </c>
      <c r="M119" s="25">
        <v>592.03333665259186</v>
      </c>
      <c r="N119" s="38">
        <v>0.52912836395613283</v>
      </c>
      <c r="O119" s="38">
        <v>-9.1941627462213127</v>
      </c>
      <c r="P119" s="71">
        <v>-11.310676202045844</v>
      </c>
      <c r="Q119" s="53">
        <v>43230</v>
      </c>
      <c r="R119" s="23">
        <v>6</v>
      </c>
      <c r="S119" s="24">
        <v>588.01347750000002</v>
      </c>
      <c r="T119" s="24">
        <v>592.03333665259186</v>
      </c>
      <c r="U119" s="1">
        <v>0.52912836395613283</v>
      </c>
      <c r="V119" s="2">
        <v>-9.1941627462213127</v>
      </c>
      <c r="W119" s="2">
        <v>-11.310676202045844</v>
      </c>
      <c r="X119" s="22" t="s">
        <v>17</v>
      </c>
      <c r="Y119" s="23"/>
      <c r="Z119" s="24" t="s">
        <v>17</v>
      </c>
      <c r="AA119" s="24" t="s">
        <v>17</v>
      </c>
      <c r="AB119" s="1" t="s">
        <v>17</v>
      </c>
      <c r="AC119" s="2" t="s">
        <v>17</v>
      </c>
      <c r="AD119" s="2" t="s">
        <v>17</v>
      </c>
      <c r="AE119" s="22" t="s">
        <v>17</v>
      </c>
      <c r="AF119" s="23"/>
      <c r="AG119" s="24" t="s">
        <v>17</v>
      </c>
      <c r="AH119" s="24" t="s">
        <v>17</v>
      </c>
      <c r="AI119" s="1" t="s">
        <v>17</v>
      </c>
      <c r="AJ119" s="2" t="s">
        <v>17</v>
      </c>
      <c r="AK119" s="2" t="s">
        <v>17</v>
      </c>
      <c r="AL119" s="3"/>
      <c r="AM119" s="2"/>
      <c r="AN119" s="24" t="s">
        <v>17</v>
      </c>
      <c r="AO119" s="24" t="s">
        <v>17</v>
      </c>
      <c r="AP119" s="1" t="s">
        <v>17</v>
      </c>
      <c r="AQ119" s="2" t="s">
        <v>17</v>
      </c>
      <c r="AR119" s="2" t="s">
        <v>17</v>
      </c>
      <c r="AS119" s="3"/>
      <c r="AT119" s="2"/>
      <c r="AU119" s="4"/>
      <c r="AV119" s="2"/>
      <c r="AW119" s="1" t="s">
        <v>17</v>
      </c>
      <c r="AX119" s="2" t="s">
        <v>17</v>
      </c>
      <c r="AY119" s="2" t="s">
        <v>17</v>
      </c>
      <c r="AZ119" s="5"/>
      <c r="BA119" s="6"/>
      <c r="BB119" s="4"/>
      <c r="BC119" s="6"/>
      <c r="BD119" s="6"/>
      <c r="BE119" s="6"/>
      <c r="BF119" s="7"/>
    </row>
    <row r="120" spans="1:58" ht="18" customHeight="1">
      <c r="A120" s="106" t="s">
        <v>15</v>
      </c>
      <c r="B120" s="93" t="s">
        <v>98</v>
      </c>
      <c r="C120" s="28">
        <v>188.48</v>
      </c>
      <c r="D120" s="28">
        <v>188.56</v>
      </c>
      <c r="E120" s="28">
        <v>188.51999999999998</v>
      </c>
      <c r="F120" s="28">
        <v>188.51999999999998</v>
      </c>
      <c r="G120" s="29">
        <v>5476.49527158208</v>
      </c>
      <c r="H120" s="29">
        <v>2958.6415422634</v>
      </c>
      <c r="I120" s="27">
        <f t="shared" si="4"/>
        <v>1</v>
      </c>
      <c r="J120" s="27">
        <f t="shared" si="5"/>
        <v>0</v>
      </c>
      <c r="K120" s="27">
        <f t="shared" si="3"/>
        <v>0</v>
      </c>
      <c r="L120" s="25">
        <v>591.11769800000002</v>
      </c>
      <c r="M120" s="25">
        <v>595.15877865459152</v>
      </c>
      <c r="N120" s="38"/>
      <c r="O120" s="38"/>
      <c r="P120" s="71"/>
      <c r="Q120" s="53">
        <v>44147</v>
      </c>
      <c r="R120" s="23">
        <v>3</v>
      </c>
      <c r="S120" s="24">
        <v>591.11769800000002</v>
      </c>
      <c r="T120" s="24">
        <v>595.15877865459152</v>
      </c>
      <c r="U120" s="1"/>
      <c r="V120" s="2"/>
      <c r="W120" s="2"/>
      <c r="X120" s="22" t="s">
        <v>17</v>
      </c>
      <c r="Y120" s="23"/>
      <c r="Z120" s="24" t="s">
        <v>17</v>
      </c>
      <c r="AA120" s="24" t="s">
        <v>17</v>
      </c>
      <c r="AB120" s="1" t="s">
        <v>17</v>
      </c>
      <c r="AC120" s="2" t="s">
        <v>17</v>
      </c>
      <c r="AD120" s="2" t="s">
        <v>17</v>
      </c>
      <c r="AE120" s="22" t="s">
        <v>17</v>
      </c>
      <c r="AF120" s="23"/>
      <c r="AG120" s="24" t="s">
        <v>17</v>
      </c>
      <c r="AH120" s="24" t="s">
        <v>17</v>
      </c>
      <c r="AI120" s="1" t="s">
        <v>17</v>
      </c>
      <c r="AJ120" s="2" t="s">
        <v>17</v>
      </c>
      <c r="AK120" s="2" t="s">
        <v>17</v>
      </c>
      <c r="AL120" s="3"/>
      <c r="AM120" s="2"/>
      <c r="AN120" s="24" t="s">
        <v>17</v>
      </c>
      <c r="AO120" s="24" t="s">
        <v>17</v>
      </c>
      <c r="AP120" s="1" t="s">
        <v>17</v>
      </c>
      <c r="AQ120" s="2" t="s">
        <v>17</v>
      </c>
      <c r="AR120" s="2" t="s">
        <v>17</v>
      </c>
      <c r="AS120" s="3"/>
      <c r="AT120" s="2"/>
      <c r="AU120" s="4"/>
      <c r="AV120" s="2"/>
      <c r="AW120" s="1" t="s">
        <v>17</v>
      </c>
      <c r="AX120" s="2" t="s">
        <v>17</v>
      </c>
      <c r="AY120" s="2" t="s">
        <v>17</v>
      </c>
      <c r="AZ120" s="5"/>
      <c r="BA120" s="6"/>
      <c r="BB120" s="4"/>
      <c r="BC120" s="6"/>
      <c r="BD120" s="6"/>
      <c r="BE120" s="6"/>
      <c r="BF120" s="7"/>
    </row>
    <row r="121" spans="1:58" ht="18" customHeight="1">
      <c r="A121" s="106" t="s">
        <v>15</v>
      </c>
      <c r="B121" s="93" t="s">
        <v>99</v>
      </c>
      <c r="C121" s="28">
        <v>188.56</v>
      </c>
      <c r="D121" s="28">
        <v>188.68</v>
      </c>
      <c r="E121" s="28">
        <v>188.62</v>
      </c>
      <c r="F121" s="28">
        <v>188.62</v>
      </c>
      <c r="G121" s="29">
        <v>5479.93686062498</v>
      </c>
      <c r="H121" s="29">
        <v>2962.5846853778999</v>
      </c>
      <c r="I121" s="27">
        <f t="shared" si="4"/>
        <v>1</v>
      </c>
      <c r="J121" s="27">
        <f t="shared" si="5"/>
        <v>1</v>
      </c>
      <c r="K121" s="27">
        <f t="shared" si="3"/>
        <v>1</v>
      </c>
      <c r="L121" s="25">
        <v>587.84349450000002</v>
      </c>
      <c r="M121" s="25">
        <v>591.90305887464228</v>
      </c>
      <c r="N121" s="38">
        <v>0.5345092220547798</v>
      </c>
      <c r="O121" s="38">
        <v>-9.2117123624984032</v>
      </c>
      <c r="P121" s="71">
        <v>-11.349749250717522</v>
      </c>
      <c r="Q121" s="53">
        <v>42710</v>
      </c>
      <c r="R121" s="23">
        <v>10</v>
      </c>
      <c r="S121" s="24">
        <v>587.84349450000002</v>
      </c>
      <c r="T121" s="24">
        <v>591.90305887464228</v>
      </c>
      <c r="U121" s="1">
        <v>0.5345092220547798</v>
      </c>
      <c r="V121" s="2">
        <v>-9.2117123624984032</v>
      </c>
      <c r="W121" s="2">
        <v>-11.349749250717522</v>
      </c>
      <c r="X121" s="22" t="s">
        <v>17</v>
      </c>
      <c r="Y121" s="23"/>
      <c r="Z121" s="24" t="s">
        <v>17</v>
      </c>
      <c r="AA121" s="24" t="s">
        <v>17</v>
      </c>
      <c r="AB121" s="1" t="s">
        <v>17</v>
      </c>
      <c r="AC121" s="2" t="s">
        <v>17</v>
      </c>
      <c r="AD121" s="2" t="s">
        <v>17</v>
      </c>
      <c r="AE121" s="22" t="s">
        <v>17</v>
      </c>
      <c r="AF121" s="23"/>
      <c r="AG121" s="24" t="s">
        <v>17</v>
      </c>
      <c r="AH121" s="24" t="s">
        <v>17</v>
      </c>
      <c r="AI121" s="1" t="s">
        <v>17</v>
      </c>
      <c r="AJ121" s="2" t="s">
        <v>17</v>
      </c>
      <c r="AK121" s="2" t="s">
        <v>17</v>
      </c>
      <c r="AL121" s="3"/>
      <c r="AM121" s="2"/>
      <c r="AN121" s="24" t="s">
        <v>17</v>
      </c>
      <c r="AO121" s="24" t="s">
        <v>17</v>
      </c>
      <c r="AP121" s="1" t="s">
        <v>17</v>
      </c>
      <c r="AQ121" s="2" t="s">
        <v>17</v>
      </c>
      <c r="AR121" s="2" t="s">
        <v>17</v>
      </c>
      <c r="AS121" s="3"/>
      <c r="AT121" s="2"/>
      <c r="AU121" s="4"/>
      <c r="AV121" s="2"/>
      <c r="AW121" s="1" t="s">
        <v>17</v>
      </c>
      <c r="AX121" s="2" t="s">
        <v>17</v>
      </c>
      <c r="AY121" s="2" t="s">
        <v>17</v>
      </c>
      <c r="AZ121" s="5"/>
      <c r="BA121" s="6"/>
      <c r="BB121" s="4"/>
      <c r="BC121" s="6"/>
      <c r="BD121" s="6"/>
      <c r="BE121" s="6"/>
      <c r="BF121" s="7"/>
    </row>
    <row r="122" spans="1:58" ht="18" customHeight="1">
      <c r="A122" s="106" t="s">
        <v>15</v>
      </c>
      <c r="B122" s="93" t="s">
        <v>100</v>
      </c>
      <c r="C122" s="28">
        <v>189.56</v>
      </c>
      <c r="D122" s="28">
        <v>189.67</v>
      </c>
      <c r="E122" s="28">
        <v>189.61500000000001</v>
      </c>
      <c r="F122" s="28">
        <v>189.61500000000001</v>
      </c>
      <c r="G122" s="29">
        <v>5515.1104552264596</v>
      </c>
      <c r="H122" s="29">
        <v>3001.7165737138398</v>
      </c>
      <c r="I122" s="27">
        <f t="shared" si="4"/>
        <v>1</v>
      </c>
      <c r="J122" s="27">
        <f t="shared" si="5"/>
        <v>1</v>
      </c>
      <c r="K122" s="27">
        <f t="shared" si="3"/>
        <v>1</v>
      </c>
      <c r="L122" s="25">
        <v>590.94158300000004</v>
      </c>
      <c r="M122" s="25">
        <v>594.93892225311652</v>
      </c>
      <c r="N122" s="38">
        <v>0.5235569673196494</v>
      </c>
      <c r="O122" s="38">
        <v>-9.6529196656582883</v>
      </c>
      <c r="P122" s="71">
        <v>-11.747147534936886</v>
      </c>
      <c r="Q122" s="53">
        <v>43452</v>
      </c>
      <c r="R122" s="23">
        <v>10</v>
      </c>
      <c r="S122" s="24">
        <v>590.94158300000004</v>
      </c>
      <c r="T122" s="24">
        <v>594.93892225311652</v>
      </c>
      <c r="U122" s="1">
        <v>0.5235569673196494</v>
      </c>
      <c r="V122" s="2">
        <v>-9.6529196656582883</v>
      </c>
      <c r="W122" s="2">
        <v>-11.747147534936886</v>
      </c>
      <c r="X122" s="22" t="s">
        <v>17</v>
      </c>
      <c r="Y122" s="23"/>
      <c r="Z122" s="24" t="s">
        <v>17</v>
      </c>
      <c r="AA122" s="24" t="s">
        <v>17</v>
      </c>
      <c r="AB122" s="1" t="s">
        <v>17</v>
      </c>
      <c r="AC122" s="2" t="s">
        <v>17</v>
      </c>
      <c r="AD122" s="2" t="s">
        <v>17</v>
      </c>
      <c r="AE122" s="22" t="s">
        <v>17</v>
      </c>
      <c r="AF122" s="23"/>
      <c r="AG122" s="24" t="s">
        <v>17</v>
      </c>
      <c r="AH122" s="24" t="s">
        <v>17</v>
      </c>
      <c r="AI122" s="1" t="s">
        <v>17</v>
      </c>
      <c r="AJ122" s="2" t="s">
        <v>17</v>
      </c>
      <c r="AK122" s="2" t="s">
        <v>17</v>
      </c>
      <c r="AL122" s="3"/>
      <c r="AM122" s="2"/>
      <c r="AN122" s="24" t="s">
        <v>17</v>
      </c>
      <c r="AO122" s="24" t="s">
        <v>17</v>
      </c>
      <c r="AP122" s="1" t="s">
        <v>17</v>
      </c>
      <c r="AQ122" s="2" t="s">
        <v>17</v>
      </c>
      <c r="AR122" s="2" t="s">
        <v>17</v>
      </c>
      <c r="AS122" s="3"/>
      <c r="AT122" s="2"/>
      <c r="AU122" s="4"/>
      <c r="AV122" s="2"/>
      <c r="AW122" s="1" t="s">
        <v>17</v>
      </c>
      <c r="AX122" s="2" t="s">
        <v>17</v>
      </c>
      <c r="AY122" s="2" t="s">
        <v>17</v>
      </c>
      <c r="AZ122" s="5"/>
      <c r="BA122" s="6"/>
      <c r="BB122" s="4"/>
      <c r="BC122" s="6"/>
      <c r="BD122" s="6"/>
      <c r="BE122" s="6"/>
      <c r="BF122" s="7"/>
    </row>
    <row r="123" spans="1:58" ht="18" customHeight="1">
      <c r="A123" s="106" t="s">
        <v>15</v>
      </c>
      <c r="B123" s="93" t="s">
        <v>101</v>
      </c>
      <c r="C123" s="28">
        <v>190.42500000000001</v>
      </c>
      <c r="D123" s="28">
        <v>190.56</v>
      </c>
      <c r="E123" s="28">
        <v>190.49250000000001</v>
      </c>
      <c r="F123" s="28">
        <v>190.49250000000001</v>
      </c>
      <c r="G123" s="29">
        <v>5546.6873737454298</v>
      </c>
      <c r="H123" s="29">
        <v>3034.34978069218</v>
      </c>
      <c r="I123" s="27">
        <f t="shared" si="4"/>
        <v>1</v>
      </c>
      <c r="J123" s="27">
        <f t="shared" si="5"/>
        <v>1</v>
      </c>
      <c r="K123" s="27">
        <f t="shared" si="3"/>
        <v>0</v>
      </c>
      <c r="L123" s="25">
        <v>584.34005550000006</v>
      </c>
      <c r="M123" s="25">
        <v>588.25267979248986</v>
      </c>
      <c r="N123" s="38">
        <v>0.51825079371292659</v>
      </c>
      <c r="O123" s="38"/>
      <c r="P123" s="71"/>
      <c r="Q123" s="53">
        <v>42605</v>
      </c>
      <c r="R123" s="23">
        <v>3</v>
      </c>
      <c r="S123" s="24">
        <v>584.34005550000006</v>
      </c>
      <c r="T123" s="24">
        <v>588.25267979248986</v>
      </c>
      <c r="U123" s="1">
        <v>0.51825079371292659</v>
      </c>
      <c r="V123" s="2"/>
      <c r="W123" s="2"/>
      <c r="X123" s="22" t="s">
        <v>17</v>
      </c>
      <c r="Y123" s="23"/>
      <c r="Z123" s="24" t="s">
        <v>17</v>
      </c>
      <c r="AA123" s="24" t="s">
        <v>17</v>
      </c>
      <c r="AB123" s="1" t="s">
        <v>17</v>
      </c>
      <c r="AC123" s="2" t="s">
        <v>17</v>
      </c>
      <c r="AD123" s="2" t="s">
        <v>17</v>
      </c>
      <c r="AE123" s="22" t="s">
        <v>17</v>
      </c>
      <c r="AF123" s="23"/>
      <c r="AG123" s="24" t="s">
        <v>17</v>
      </c>
      <c r="AH123" s="24" t="s">
        <v>17</v>
      </c>
      <c r="AI123" s="1" t="s">
        <v>17</v>
      </c>
      <c r="AJ123" s="2" t="s">
        <v>17</v>
      </c>
      <c r="AK123" s="2" t="s">
        <v>17</v>
      </c>
      <c r="AL123" s="3"/>
      <c r="AM123" s="2"/>
      <c r="AN123" s="24" t="s">
        <v>17</v>
      </c>
      <c r="AO123" s="24" t="s">
        <v>17</v>
      </c>
      <c r="AP123" s="1" t="s">
        <v>17</v>
      </c>
      <c r="AQ123" s="2" t="s">
        <v>17</v>
      </c>
      <c r="AR123" s="2" t="s">
        <v>17</v>
      </c>
      <c r="AS123" s="3"/>
      <c r="AT123" s="2"/>
      <c r="AU123" s="4"/>
      <c r="AV123" s="2"/>
      <c r="AW123" s="1" t="s">
        <v>17</v>
      </c>
      <c r="AX123" s="2" t="s">
        <v>17</v>
      </c>
      <c r="AY123" s="2" t="s">
        <v>17</v>
      </c>
      <c r="AZ123" s="5"/>
      <c r="BA123" s="6"/>
      <c r="BB123" s="4"/>
      <c r="BC123" s="6"/>
      <c r="BD123" s="6"/>
      <c r="BE123" s="6"/>
      <c r="BF123" s="7"/>
    </row>
    <row r="124" spans="1:58" ht="18" customHeight="1">
      <c r="A124" s="106" t="s">
        <v>15</v>
      </c>
      <c r="B124" s="93" t="s">
        <v>102</v>
      </c>
      <c r="C124" s="28">
        <v>190.56</v>
      </c>
      <c r="D124" s="28">
        <v>190.68</v>
      </c>
      <c r="E124" s="28">
        <v>190.62</v>
      </c>
      <c r="F124" s="28">
        <v>190.62</v>
      </c>
      <c r="G124" s="29">
        <v>5551.4720319233402</v>
      </c>
      <c r="H124" s="29">
        <v>3039.0809460118398</v>
      </c>
      <c r="I124" s="27">
        <f t="shared" si="4"/>
        <v>2</v>
      </c>
      <c r="J124" s="27">
        <f t="shared" si="5"/>
        <v>2</v>
      </c>
      <c r="K124" s="27">
        <f t="shared" si="3"/>
        <v>0</v>
      </c>
      <c r="L124" s="25">
        <v>585.47737949999998</v>
      </c>
      <c r="M124" s="25">
        <v>589.4444110510899</v>
      </c>
      <c r="N124" s="38">
        <v>0.52443450557715376</v>
      </c>
      <c r="O124" s="38"/>
      <c r="P124" s="71"/>
      <c r="Q124" s="53">
        <v>43145</v>
      </c>
      <c r="R124" s="23">
        <v>3</v>
      </c>
      <c r="S124" s="24">
        <v>586.66725199999996</v>
      </c>
      <c r="T124" s="24">
        <v>590.65026468240706</v>
      </c>
      <c r="U124" s="1">
        <v>0.52548137688890328</v>
      </c>
      <c r="V124" s="2"/>
      <c r="W124" s="2"/>
      <c r="X124" s="22">
        <v>43145</v>
      </c>
      <c r="Y124" s="23">
        <v>3</v>
      </c>
      <c r="Z124" s="24">
        <v>584.28750700000001</v>
      </c>
      <c r="AA124" s="24">
        <v>588.23855741977275</v>
      </c>
      <c r="AB124" s="1">
        <v>0.52338763426540424</v>
      </c>
      <c r="AC124" s="2"/>
      <c r="AD124" s="2"/>
      <c r="AE124" s="22" t="s">
        <v>17</v>
      </c>
      <c r="AF124" s="23"/>
      <c r="AG124" s="24" t="s">
        <v>17</v>
      </c>
      <c r="AH124" s="24" t="s">
        <v>17</v>
      </c>
      <c r="AI124" s="1" t="s">
        <v>17</v>
      </c>
      <c r="AJ124" s="2" t="s">
        <v>17</v>
      </c>
      <c r="AK124" s="2" t="s">
        <v>17</v>
      </c>
      <c r="AL124" s="3"/>
      <c r="AM124" s="2"/>
      <c r="AN124" s="24" t="s">
        <v>17</v>
      </c>
      <c r="AO124" s="24" t="s">
        <v>17</v>
      </c>
      <c r="AP124" s="1" t="s">
        <v>17</v>
      </c>
      <c r="AQ124" s="2" t="s">
        <v>17</v>
      </c>
      <c r="AR124" s="2" t="s">
        <v>17</v>
      </c>
      <c r="AS124" s="3"/>
      <c r="AT124" s="2"/>
      <c r="AU124" s="4"/>
      <c r="AV124" s="2"/>
      <c r="AW124" s="1" t="s">
        <v>17</v>
      </c>
      <c r="AX124" s="2" t="s">
        <v>17</v>
      </c>
      <c r="AY124" s="2" t="s">
        <v>17</v>
      </c>
      <c r="AZ124" s="5"/>
      <c r="BA124" s="6"/>
      <c r="BB124" s="4"/>
      <c r="BC124" s="6"/>
      <c r="BD124" s="6"/>
      <c r="BE124" s="6"/>
      <c r="BF124" s="7"/>
    </row>
    <row r="125" spans="1:58" ht="18" customHeight="1">
      <c r="A125" s="106" t="s">
        <v>15</v>
      </c>
      <c r="B125" s="93" t="s">
        <v>103</v>
      </c>
      <c r="C125" s="28">
        <v>191.92</v>
      </c>
      <c r="D125" s="28">
        <v>192.04</v>
      </c>
      <c r="E125" s="28">
        <v>191.98</v>
      </c>
      <c r="F125" s="28">
        <v>191.98</v>
      </c>
      <c r="G125" s="29">
        <v>5602.0487104163603</v>
      </c>
      <c r="H125" s="29">
        <v>3080.2921912956199</v>
      </c>
      <c r="I125" s="27">
        <f t="shared" si="4"/>
        <v>1</v>
      </c>
      <c r="J125" s="27">
        <f t="shared" si="5"/>
        <v>1</v>
      </c>
      <c r="K125" s="27">
        <f t="shared" si="3"/>
        <v>1</v>
      </c>
      <c r="L125" s="25">
        <v>588.27579349999996</v>
      </c>
      <c r="M125" s="25">
        <v>592.17800865144613</v>
      </c>
      <c r="N125" s="38">
        <v>0.51341401401661102</v>
      </c>
      <c r="O125" s="38">
        <v>-8.8987018038175769</v>
      </c>
      <c r="P125" s="71">
        <v>-10.952357859884021</v>
      </c>
      <c r="Q125" s="53">
        <v>43461</v>
      </c>
      <c r="R125" s="23">
        <v>12</v>
      </c>
      <c r="S125" s="24">
        <v>588.27579349999996</v>
      </c>
      <c r="T125" s="24">
        <v>592.17800865144613</v>
      </c>
      <c r="U125" s="1">
        <v>0.51341401401661102</v>
      </c>
      <c r="V125" s="2">
        <v>-8.8987018038175769</v>
      </c>
      <c r="W125" s="2">
        <v>-10.952357859884021</v>
      </c>
      <c r="X125" s="22" t="s">
        <v>17</v>
      </c>
      <c r="Y125" s="23"/>
      <c r="Z125" s="24" t="s">
        <v>17</v>
      </c>
      <c r="AA125" s="24" t="s">
        <v>17</v>
      </c>
      <c r="AB125" s="1" t="s">
        <v>17</v>
      </c>
      <c r="AC125" s="2" t="s">
        <v>17</v>
      </c>
      <c r="AD125" s="2" t="s">
        <v>17</v>
      </c>
      <c r="AE125" s="22" t="s">
        <v>17</v>
      </c>
      <c r="AF125" s="23"/>
      <c r="AG125" s="24" t="s">
        <v>17</v>
      </c>
      <c r="AH125" s="24" t="s">
        <v>17</v>
      </c>
      <c r="AI125" s="1" t="s">
        <v>17</v>
      </c>
      <c r="AJ125" s="2" t="s">
        <v>17</v>
      </c>
      <c r="AK125" s="2" t="s">
        <v>17</v>
      </c>
      <c r="AL125" s="3"/>
      <c r="AM125" s="2"/>
      <c r="AN125" s="24" t="s">
        <v>17</v>
      </c>
      <c r="AO125" s="24" t="s">
        <v>17</v>
      </c>
      <c r="AP125" s="1" t="s">
        <v>17</v>
      </c>
      <c r="AQ125" s="2" t="s">
        <v>17</v>
      </c>
      <c r="AR125" s="2" t="s">
        <v>17</v>
      </c>
      <c r="AS125" s="3"/>
      <c r="AT125" s="2"/>
      <c r="AU125" s="4"/>
      <c r="AV125" s="2"/>
      <c r="AW125" s="1" t="s">
        <v>17</v>
      </c>
      <c r="AX125" s="2" t="s">
        <v>17</v>
      </c>
      <c r="AY125" s="2" t="s">
        <v>17</v>
      </c>
      <c r="AZ125" s="5"/>
      <c r="BA125" s="6"/>
      <c r="BB125" s="4"/>
      <c r="BC125" s="6"/>
      <c r="BD125" s="6"/>
      <c r="BE125" s="6"/>
      <c r="BF125" s="7"/>
    </row>
    <row r="126" spans="1:58" ht="18" customHeight="1">
      <c r="A126" s="106" t="s">
        <v>15</v>
      </c>
      <c r="B126" s="93" t="s">
        <v>104</v>
      </c>
      <c r="C126" s="28">
        <v>192.32</v>
      </c>
      <c r="D126" s="28">
        <v>192.54</v>
      </c>
      <c r="E126" s="28">
        <v>192.43</v>
      </c>
      <c r="F126" s="28">
        <v>192.43</v>
      </c>
      <c r="G126" s="29">
        <v>5617.7765372242702</v>
      </c>
      <c r="H126" s="29">
        <v>3094.6931360661802</v>
      </c>
      <c r="I126" s="27">
        <f t="shared" si="4"/>
        <v>1</v>
      </c>
      <c r="J126" s="27">
        <f t="shared" si="5"/>
        <v>1</v>
      </c>
      <c r="K126" s="27">
        <f t="shared" si="3"/>
        <v>1</v>
      </c>
      <c r="L126" s="25">
        <v>590.49261650000005</v>
      </c>
      <c r="M126" s="25">
        <v>594.50200129190102</v>
      </c>
      <c r="N126" s="38">
        <v>0.52553392139143007</v>
      </c>
      <c r="O126" s="38">
        <v>-8.1907056063876826</v>
      </c>
      <c r="P126" s="71">
        <v>-10.292841291953403</v>
      </c>
      <c r="Q126" s="53">
        <v>42691</v>
      </c>
      <c r="R126" s="23">
        <v>7</v>
      </c>
      <c r="S126" s="24">
        <v>590.49261650000005</v>
      </c>
      <c r="T126" s="24">
        <v>594.50200129190102</v>
      </c>
      <c r="U126" s="1">
        <v>0.52553392139143007</v>
      </c>
      <c r="V126" s="2">
        <v>-8.1907056063876826</v>
      </c>
      <c r="W126" s="2">
        <v>-10.292841291953403</v>
      </c>
      <c r="X126" s="22" t="s">
        <v>17</v>
      </c>
      <c r="Y126" s="23"/>
      <c r="Z126" s="24" t="s">
        <v>17</v>
      </c>
      <c r="AA126" s="24" t="s">
        <v>17</v>
      </c>
      <c r="AB126" s="1" t="s">
        <v>17</v>
      </c>
      <c r="AC126" s="2" t="s">
        <v>17</v>
      </c>
      <c r="AD126" s="2" t="s">
        <v>17</v>
      </c>
      <c r="AE126" s="22" t="s">
        <v>17</v>
      </c>
      <c r="AF126" s="23"/>
      <c r="AG126" s="24" t="s">
        <v>17</v>
      </c>
      <c r="AH126" s="24" t="s">
        <v>17</v>
      </c>
      <c r="AI126" s="1" t="s">
        <v>17</v>
      </c>
      <c r="AJ126" s="2" t="s">
        <v>17</v>
      </c>
      <c r="AK126" s="2" t="s">
        <v>17</v>
      </c>
      <c r="AL126" s="3"/>
      <c r="AM126" s="2"/>
      <c r="AN126" s="24" t="s">
        <v>17</v>
      </c>
      <c r="AO126" s="24" t="s">
        <v>17</v>
      </c>
      <c r="AP126" s="1" t="s">
        <v>17</v>
      </c>
      <c r="AQ126" s="2" t="s">
        <v>17</v>
      </c>
      <c r="AR126" s="2" t="s">
        <v>17</v>
      </c>
      <c r="AS126" s="3"/>
      <c r="AT126" s="2"/>
      <c r="AU126" s="4"/>
      <c r="AV126" s="2"/>
      <c r="AW126" s="1" t="s">
        <v>17</v>
      </c>
      <c r="AX126" s="2" t="s">
        <v>17</v>
      </c>
      <c r="AY126" s="2" t="s">
        <v>17</v>
      </c>
      <c r="AZ126" s="5"/>
      <c r="BA126" s="6"/>
      <c r="BB126" s="4"/>
      <c r="BC126" s="6"/>
      <c r="BD126" s="6"/>
      <c r="BE126" s="6"/>
      <c r="BF126" s="7"/>
    </row>
    <row r="127" spans="1:58" ht="18" customHeight="1">
      <c r="A127" s="106" t="s">
        <v>15</v>
      </c>
      <c r="B127" s="93" t="s">
        <v>105</v>
      </c>
      <c r="C127" s="28">
        <v>193.42</v>
      </c>
      <c r="D127" s="28">
        <v>193.54</v>
      </c>
      <c r="E127" s="28">
        <v>193.48</v>
      </c>
      <c r="F127" s="28">
        <v>193.48</v>
      </c>
      <c r="G127" s="29">
        <v>5653.5485244853999</v>
      </c>
      <c r="H127" s="29">
        <v>3129.3190680356001</v>
      </c>
      <c r="I127" s="27">
        <f t="shared" si="4"/>
        <v>1</v>
      </c>
      <c r="J127" s="27">
        <f t="shared" si="5"/>
        <v>1</v>
      </c>
      <c r="K127" s="27">
        <f t="shared" si="3"/>
        <v>1</v>
      </c>
      <c r="L127" s="25">
        <v>590.06353749999994</v>
      </c>
      <c r="M127" s="25">
        <v>594.0311693619293</v>
      </c>
      <c r="N127" s="38">
        <v>0.52043929146416978</v>
      </c>
      <c r="O127" s="38">
        <v>-9.703478651927</v>
      </c>
      <c r="P127" s="71">
        <v>-11.785235817783679</v>
      </c>
      <c r="Q127" s="53">
        <v>43459</v>
      </c>
      <c r="R127" s="23">
        <v>12</v>
      </c>
      <c r="S127" s="24">
        <v>590.06353749999994</v>
      </c>
      <c r="T127" s="24">
        <v>594.0311693619293</v>
      </c>
      <c r="U127" s="1">
        <v>0.52043929146416978</v>
      </c>
      <c r="V127" s="2">
        <v>-9.703478651927</v>
      </c>
      <c r="W127" s="2">
        <v>-11.785235817783679</v>
      </c>
      <c r="X127" s="22" t="s">
        <v>17</v>
      </c>
      <c r="Y127" s="23"/>
      <c r="Z127" s="24" t="s">
        <v>17</v>
      </c>
      <c r="AA127" s="24" t="s">
        <v>17</v>
      </c>
      <c r="AB127" s="1" t="s">
        <v>17</v>
      </c>
      <c r="AC127" s="2" t="s">
        <v>17</v>
      </c>
      <c r="AD127" s="2" t="s">
        <v>17</v>
      </c>
      <c r="AE127" s="22" t="s">
        <v>17</v>
      </c>
      <c r="AF127" s="23"/>
      <c r="AG127" s="24" t="s">
        <v>17</v>
      </c>
      <c r="AH127" s="24" t="s">
        <v>17</v>
      </c>
      <c r="AI127" s="1" t="s">
        <v>17</v>
      </c>
      <c r="AJ127" s="2" t="s">
        <v>17</v>
      </c>
      <c r="AK127" s="2" t="s">
        <v>17</v>
      </c>
      <c r="AL127" s="3"/>
      <c r="AM127" s="2"/>
      <c r="AN127" s="24" t="s">
        <v>17</v>
      </c>
      <c r="AO127" s="24" t="s">
        <v>17</v>
      </c>
      <c r="AP127" s="1" t="s">
        <v>17</v>
      </c>
      <c r="AQ127" s="2" t="s">
        <v>17</v>
      </c>
      <c r="AR127" s="2" t="s">
        <v>17</v>
      </c>
      <c r="AS127" s="3"/>
      <c r="AT127" s="2"/>
      <c r="AU127" s="4"/>
      <c r="AV127" s="2"/>
      <c r="AW127" s="1" t="s">
        <v>17</v>
      </c>
      <c r="AX127" s="2" t="s">
        <v>17</v>
      </c>
      <c r="AY127" s="2" t="s">
        <v>17</v>
      </c>
      <c r="AZ127" s="5"/>
      <c r="BA127" s="6"/>
      <c r="BB127" s="4"/>
      <c r="BC127" s="6"/>
      <c r="BD127" s="6"/>
      <c r="BE127" s="6"/>
      <c r="BF127" s="7"/>
    </row>
    <row r="128" spans="1:58" ht="18" customHeight="1">
      <c r="A128" s="106" t="s">
        <v>15</v>
      </c>
      <c r="B128" s="93" t="s">
        <v>106</v>
      </c>
      <c r="C128" s="28">
        <v>194.35</v>
      </c>
      <c r="D128" s="28">
        <v>194.54</v>
      </c>
      <c r="E128" s="28">
        <v>194.44499999999999</v>
      </c>
      <c r="F128" s="28">
        <v>194.44499999999999</v>
      </c>
      <c r="G128" s="29">
        <v>5685.0815303577901</v>
      </c>
      <c r="H128" s="29">
        <v>3164.1707905252501</v>
      </c>
      <c r="I128" s="27">
        <f t="shared" si="4"/>
        <v>1</v>
      </c>
      <c r="J128" s="27">
        <f t="shared" si="5"/>
        <v>1</v>
      </c>
      <c r="K128" s="27">
        <f t="shared" si="3"/>
        <v>0</v>
      </c>
      <c r="L128" s="25">
        <v>587.968435</v>
      </c>
      <c r="M128" s="25">
        <v>592.06862765036362</v>
      </c>
      <c r="N128" s="38">
        <v>0.53974389342714701</v>
      </c>
      <c r="O128" s="38"/>
      <c r="P128" s="71"/>
      <c r="Q128" s="53">
        <v>42528</v>
      </c>
      <c r="R128" s="23">
        <v>3</v>
      </c>
      <c r="S128" s="24">
        <v>587.968435</v>
      </c>
      <c r="T128" s="24">
        <v>592.06862765036362</v>
      </c>
      <c r="U128" s="1">
        <v>0.53974389342714701</v>
      </c>
      <c r="V128" s="2"/>
      <c r="W128" s="2"/>
      <c r="X128" s="22" t="s">
        <v>17</v>
      </c>
      <c r="Y128" s="23"/>
      <c r="Z128" s="24" t="s">
        <v>17</v>
      </c>
      <c r="AA128" s="24" t="s">
        <v>17</v>
      </c>
      <c r="AB128" s="1" t="s">
        <v>17</v>
      </c>
      <c r="AC128" s="2" t="s">
        <v>17</v>
      </c>
      <c r="AD128" s="2" t="s">
        <v>17</v>
      </c>
      <c r="AE128" s="22" t="s">
        <v>17</v>
      </c>
      <c r="AF128" s="23"/>
      <c r="AG128" s="24" t="s">
        <v>17</v>
      </c>
      <c r="AH128" s="24" t="s">
        <v>17</v>
      </c>
      <c r="AI128" s="1" t="s">
        <v>17</v>
      </c>
      <c r="AJ128" s="2" t="s">
        <v>17</v>
      </c>
      <c r="AK128" s="2" t="s">
        <v>17</v>
      </c>
      <c r="AL128" s="3"/>
      <c r="AM128" s="2"/>
      <c r="AN128" s="24" t="s">
        <v>17</v>
      </c>
      <c r="AO128" s="24" t="s">
        <v>17</v>
      </c>
      <c r="AP128" s="1" t="s">
        <v>17</v>
      </c>
      <c r="AQ128" s="2" t="s">
        <v>17</v>
      </c>
      <c r="AR128" s="2" t="s">
        <v>17</v>
      </c>
      <c r="AS128" s="3"/>
      <c r="AT128" s="2"/>
      <c r="AU128" s="4"/>
      <c r="AV128" s="2"/>
      <c r="AW128" s="1" t="s">
        <v>17</v>
      </c>
      <c r="AX128" s="2" t="s">
        <v>17</v>
      </c>
      <c r="AY128" s="2" t="s">
        <v>17</v>
      </c>
      <c r="AZ128" s="5"/>
      <c r="BA128" s="6"/>
      <c r="BB128" s="4"/>
      <c r="BC128" s="6"/>
      <c r="BD128" s="6"/>
      <c r="BE128" s="6"/>
      <c r="BF128" s="7"/>
    </row>
    <row r="129" spans="1:58" ht="18" customHeight="1">
      <c r="A129" s="106" t="s">
        <v>15</v>
      </c>
      <c r="B129" s="93" t="s">
        <v>107</v>
      </c>
      <c r="C129" s="28">
        <v>195.16</v>
      </c>
      <c r="D129" s="28">
        <v>195.28</v>
      </c>
      <c r="E129" s="28">
        <v>195.22</v>
      </c>
      <c r="F129" s="28">
        <v>195.22</v>
      </c>
      <c r="G129" s="29">
        <v>5709.7788004907197</v>
      </c>
      <c r="H129" s="29">
        <v>3193.1664301204801</v>
      </c>
      <c r="I129" s="27">
        <f t="shared" si="4"/>
        <v>2</v>
      </c>
      <c r="J129" s="27">
        <f t="shared" si="5"/>
        <v>1</v>
      </c>
      <c r="K129" s="27">
        <f t="shared" si="3"/>
        <v>1</v>
      </c>
      <c r="L129" s="25">
        <v>585.62911024999994</v>
      </c>
      <c r="M129" s="25">
        <v>589.5952316575648</v>
      </c>
      <c r="N129" s="38">
        <v>0.52357289272331187</v>
      </c>
      <c r="O129" s="38">
        <v>-9.7547134610266326</v>
      </c>
      <c r="P129" s="71">
        <v>-11.84900503191988</v>
      </c>
      <c r="Q129" s="53">
        <v>44130</v>
      </c>
      <c r="R129" s="23">
        <v>9</v>
      </c>
      <c r="S129" s="24">
        <v>584.15932850000002</v>
      </c>
      <c r="T129" s="24">
        <v>588.11549594052133</v>
      </c>
      <c r="U129" s="1">
        <v>0.52357289272331187</v>
      </c>
      <c r="V129" s="2">
        <v>-9.7547134610266326</v>
      </c>
      <c r="W129" s="2">
        <v>-11.84900503191988</v>
      </c>
      <c r="X129" s="22">
        <v>44152</v>
      </c>
      <c r="Y129" s="23" t="s">
        <v>88</v>
      </c>
      <c r="Z129" s="24">
        <v>587.09889199999998</v>
      </c>
      <c r="AA129" s="24">
        <v>591.07496737460826</v>
      </c>
      <c r="AB129" s="1"/>
      <c r="AC129" s="2"/>
      <c r="AD129" s="2"/>
      <c r="AE129" s="22" t="s">
        <v>17</v>
      </c>
      <c r="AF129" s="23"/>
      <c r="AG129" s="24" t="s">
        <v>17</v>
      </c>
      <c r="AH129" s="24" t="s">
        <v>17</v>
      </c>
      <c r="AI129" s="1" t="s">
        <v>17</v>
      </c>
      <c r="AJ129" s="2" t="s">
        <v>17</v>
      </c>
      <c r="AK129" s="2" t="s">
        <v>17</v>
      </c>
      <c r="AL129" s="3"/>
      <c r="AM129" s="2"/>
      <c r="AN129" s="24" t="s">
        <v>17</v>
      </c>
      <c r="AO129" s="24" t="s">
        <v>17</v>
      </c>
      <c r="AP129" s="1" t="s">
        <v>17</v>
      </c>
      <c r="AQ129" s="2" t="s">
        <v>17</v>
      </c>
      <c r="AR129" s="2" t="s">
        <v>17</v>
      </c>
      <c r="AS129" s="3"/>
      <c r="AT129" s="2"/>
      <c r="AU129" s="4"/>
      <c r="AV129" s="2"/>
      <c r="AW129" s="1" t="s">
        <v>17</v>
      </c>
      <c r="AX129" s="2" t="s">
        <v>17</v>
      </c>
      <c r="AY129" s="2" t="s">
        <v>17</v>
      </c>
      <c r="AZ129" s="5"/>
      <c r="BA129" s="6"/>
      <c r="BB129" s="4"/>
      <c r="BC129" s="6"/>
      <c r="BD129" s="6"/>
      <c r="BE129" s="6"/>
      <c r="BF129" s="7"/>
    </row>
    <row r="130" spans="1:58" ht="18" customHeight="1">
      <c r="A130" s="106" t="s">
        <v>15</v>
      </c>
      <c r="B130" s="93" t="s">
        <v>108</v>
      </c>
      <c r="C130" s="28">
        <v>195.54</v>
      </c>
      <c r="D130" s="28">
        <v>195.66</v>
      </c>
      <c r="E130" s="28">
        <v>195.6</v>
      </c>
      <c r="F130" s="28">
        <v>195.6</v>
      </c>
      <c r="G130" s="29">
        <v>5722.2624649685904</v>
      </c>
      <c r="H130" s="29">
        <v>3206.9001778274001</v>
      </c>
      <c r="I130" s="27">
        <f t="shared" si="4"/>
        <v>1</v>
      </c>
      <c r="J130" s="27">
        <f t="shared" si="5"/>
        <v>1</v>
      </c>
      <c r="K130" s="27">
        <f t="shared" si="3"/>
        <v>1</v>
      </c>
      <c r="L130" s="25">
        <v>583.92424249999999</v>
      </c>
      <c r="M130" s="25">
        <v>587.82724821521231</v>
      </c>
      <c r="N130" s="38">
        <v>0.51734489450594445</v>
      </c>
      <c r="O130" s="38">
        <v>-8.8849187873164546</v>
      </c>
      <c r="P130" s="71">
        <v>-10.954298365340232</v>
      </c>
      <c r="Q130" s="53">
        <v>43216</v>
      </c>
      <c r="R130" s="23">
        <v>6</v>
      </c>
      <c r="S130" s="24">
        <v>583.92424249999999</v>
      </c>
      <c r="T130" s="24">
        <v>587.82724821521231</v>
      </c>
      <c r="U130" s="1">
        <v>0.51734489450594445</v>
      </c>
      <c r="V130" s="2">
        <v>-8.8849187873164546</v>
      </c>
      <c r="W130" s="2">
        <v>-10.954298365340232</v>
      </c>
      <c r="X130" s="22" t="s">
        <v>17</v>
      </c>
      <c r="Y130" s="23"/>
      <c r="Z130" s="24" t="s">
        <v>17</v>
      </c>
      <c r="AA130" s="24" t="s">
        <v>17</v>
      </c>
      <c r="AB130" s="1" t="s">
        <v>17</v>
      </c>
      <c r="AC130" s="2" t="s">
        <v>17</v>
      </c>
      <c r="AD130" s="2" t="s">
        <v>17</v>
      </c>
      <c r="AE130" s="22" t="s">
        <v>17</v>
      </c>
      <c r="AF130" s="23"/>
      <c r="AG130" s="24" t="s">
        <v>17</v>
      </c>
      <c r="AH130" s="24" t="s">
        <v>17</v>
      </c>
      <c r="AI130" s="1" t="s">
        <v>17</v>
      </c>
      <c r="AJ130" s="2" t="s">
        <v>17</v>
      </c>
      <c r="AK130" s="2" t="s">
        <v>17</v>
      </c>
      <c r="AL130" s="3"/>
      <c r="AM130" s="2"/>
      <c r="AN130" s="24" t="s">
        <v>17</v>
      </c>
      <c r="AO130" s="24" t="s">
        <v>17</v>
      </c>
      <c r="AP130" s="1" t="s">
        <v>17</v>
      </c>
      <c r="AQ130" s="2" t="s">
        <v>17</v>
      </c>
      <c r="AR130" s="2" t="s">
        <v>17</v>
      </c>
      <c r="AS130" s="3"/>
      <c r="AT130" s="2"/>
      <c r="AU130" s="4"/>
      <c r="AV130" s="2"/>
      <c r="AW130" s="1" t="s">
        <v>17</v>
      </c>
      <c r="AX130" s="2" t="s">
        <v>17</v>
      </c>
      <c r="AY130" s="2" t="s">
        <v>17</v>
      </c>
      <c r="AZ130" s="5"/>
      <c r="BA130" s="6"/>
      <c r="BB130" s="4"/>
      <c r="BC130" s="6"/>
      <c r="BD130" s="6"/>
      <c r="BE130" s="6"/>
      <c r="BF130" s="7"/>
    </row>
    <row r="131" spans="1:58" ht="18" customHeight="1">
      <c r="A131" s="106" t="s">
        <v>15</v>
      </c>
      <c r="B131" s="93" t="s">
        <v>109</v>
      </c>
      <c r="C131" s="28">
        <v>196.39</v>
      </c>
      <c r="D131" s="28">
        <v>196.58</v>
      </c>
      <c r="E131" s="28">
        <v>196.48500000000001</v>
      </c>
      <c r="F131" s="28">
        <v>196.48500000000001</v>
      </c>
      <c r="G131" s="29">
        <v>5752.0441116274797</v>
      </c>
      <c r="H131" s="29">
        <v>3237.6245937326298</v>
      </c>
      <c r="I131" s="27">
        <f t="shared" si="4"/>
        <v>1</v>
      </c>
      <c r="J131" s="27">
        <f t="shared" si="5"/>
        <v>1</v>
      </c>
      <c r="K131" s="27">
        <f t="shared" si="3"/>
        <v>1</v>
      </c>
      <c r="L131" s="25">
        <v>588.33981700000004</v>
      </c>
      <c r="M131" s="25">
        <v>592.36873123745931</v>
      </c>
      <c r="N131" s="38">
        <v>0.53002611464525451</v>
      </c>
      <c r="O131" s="38">
        <v>-11.472232996199928</v>
      </c>
      <c r="P131" s="71">
        <v>-13.592337454780946</v>
      </c>
      <c r="Q131" s="53">
        <v>42691</v>
      </c>
      <c r="R131" s="23">
        <v>5</v>
      </c>
      <c r="S131" s="24">
        <v>588.33981700000004</v>
      </c>
      <c r="T131" s="24">
        <v>592.36873123745931</v>
      </c>
      <c r="U131" s="1">
        <v>0.53002611464525451</v>
      </c>
      <c r="V131" s="2">
        <v>-11.472232996199928</v>
      </c>
      <c r="W131" s="2">
        <v>-13.592337454780946</v>
      </c>
      <c r="X131" s="22" t="s">
        <v>17</v>
      </c>
      <c r="Y131" s="23"/>
      <c r="Z131" s="24" t="s">
        <v>17</v>
      </c>
      <c r="AA131" s="24" t="s">
        <v>17</v>
      </c>
      <c r="AB131" s="1" t="s">
        <v>17</v>
      </c>
      <c r="AC131" s="2" t="s">
        <v>17</v>
      </c>
      <c r="AD131" s="2" t="s">
        <v>17</v>
      </c>
      <c r="AE131" s="22" t="s">
        <v>17</v>
      </c>
      <c r="AF131" s="23"/>
      <c r="AG131" s="24" t="s">
        <v>17</v>
      </c>
      <c r="AH131" s="24" t="s">
        <v>17</v>
      </c>
      <c r="AI131" s="1" t="s">
        <v>17</v>
      </c>
      <c r="AJ131" s="2" t="s">
        <v>17</v>
      </c>
      <c r="AK131" s="2" t="s">
        <v>17</v>
      </c>
      <c r="AL131" s="3"/>
      <c r="AM131" s="2"/>
      <c r="AN131" s="24" t="s">
        <v>17</v>
      </c>
      <c r="AO131" s="24" t="s">
        <v>17</v>
      </c>
      <c r="AP131" s="1" t="s">
        <v>17</v>
      </c>
      <c r="AQ131" s="2" t="s">
        <v>17</v>
      </c>
      <c r="AR131" s="2" t="s">
        <v>17</v>
      </c>
      <c r="AS131" s="3"/>
      <c r="AT131" s="2"/>
      <c r="AU131" s="4"/>
      <c r="AV131" s="2"/>
      <c r="AW131" s="1" t="s">
        <v>17</v>
      </c>
      <c r="AX131" s="2" t="s">
        <v>17</v>
      </c>
      <c r="AY131" s="2" t="s">
        <v>17</v>
      </c>
      <c r="AZ131" s="5"/>
      <c r="BA131" s="6"/>
      <c r="BB131" s="4"/>
      <c r="BC131" s="6"/>
      <c r="BD131" s="6"/>
      <c r="BE131" s="6"/>
      <c r="BF131" s="7"/>
    </row>
    <row r="132" spans="1:58" ht="18" customHeight="1">
      <c r="A132" s="106" t="s">
        <v>15</v>
      </c>
      <c r="B132" s="93" t="s">
        <v>110</v>
      </c>
      <c r="C132" s="28">
        <v>196.58</v>
      </c>
      <c r="D132" s="28">
        <v>196.7</v>
      </c>
      <c r="E132" s="28">
        <v>196.64</v>
      </c>
      <c r="F132" s="28">
        <v>196.64</v>
      </c>
      <c r="G132" s="29">
        <v>5757.1382791402702</v>
      </c>
      <c r="H132" s="29">
        <v>3242.6045445606801</v>
      </c>
      <c r="I132" s="27">
        <f t="shared" si="4"/>
        <v>2</v>
      </c>
      <c r="J132" s="27">
        <f t="shared" si="5"/>
        <v>2</v>
      </c>
      <c r="K132" s="27">
        <f t="shared" si="3"/>
        <v>0</v>
      </c>
      <c r="L132" s="25">
        <v>584.33488349999993</v>
      </c>
      <c r="M132" s="25">
        <v>588.35737402878704</v>
      </c>
      <c r="N132" s="38">
        <v>0.5328058488974774</v>
      </c>
      <c r="O132" s="38"/>
      <c r="P132" s="71"/>
      <c r="Q132" s="53">
        <v>43145</v>
      </c>
      <c r="R132" s="23">
        <v>3</v>
      </c>
      <c r="S132" s="24">
        <v>583.42941399999995</v>
      </c>
      <c r="T132" s="24">
        <v>587.43539444293356</v>
      </c>
      <c r="U132" s="1">
        <v>0.5314445901416498</v>
      </c>
      <c r="V132" s="2"/>
      <c r="W132" s="2"/>
      <c r="X132" s="22">
        <v>43145</v>
      </c>
      <c r="Y132" s="23">
        <v>3</v>
      </c>
      <c r="Z132" s="24">
        <v>585.24035300000003</v>
      </c>
      <c r="AA132" s="24">
        <v>589.27935361464063</v>
      </c>
      <c r="AB132" s="1">
        <v>0.534167107653305</v>
      </c>
      <c r="AC132" s="2"/>
      <c r="AD132" s="2"/>
      <c r="AE132" s="22" t="s">
        <v>17</v>
      </c>
      <c r="AF132" s="23"/>
      <c r="AG132" s="24" t="s">
        <v>17</v>
      </c>
      <c r="AH132" s="24" t="s">
        <v>17</v>
      </c>
      <c r="AI132" s="1" t="s">
        <v>17</v>
      </c>
      <c r="AJ132" s="2" t="s">
        <v>17</v>
      </c>
      <c r="AK132" s="2" t="s">
        <v>17</v>
      </c>
      <c r="AL132" s="3"/>
      <c r="AM132" s="2"/>
      <c r="AN132" s="24" t="s">
        <v>17</v>
      </c>
      <c r="AO132" s="24" t="s">
        <v>17</v>
      </c>
      <c r="AP132" s="1" t="s">
        <v>17</v>
      </c>
      <c r="AQ132" s="2" t="s">
        <v>17</v>
      </c>
      <c r="AR132" s="2" t="s">
        <v>17</v>
      </c>
      <c r="AS132" s="3"/>
      <c r="AT132" s="2"/>
      <c r="AU132" s="4"/>
      <c r="AV132" s="2"/>
      <c r="AW132" s="1" t="s">
        <v>17</v>
      </c>
      <c r="AX132" s="2" t="s">
        <v>17</v>
      </c>
      <c r="AY132" s="2" t="s">
        <v>17</v>
      </c>
      <c r="AZ132" s="5"/>
      <c r="BA132" s="6"/>
      <c r="BB132" s="4"/>
      <c r="BC132" s="6"/>
      <c r="BD132" s="6"/>
      <c r="BE132" s="6"/>
      <c r="BF132" s="7"/>
    </row>
    <row r="133" spans="1:58" ht="18" customHeight="1">
      <c r="A133" s="106" t="s">
        <v>15</v>
      </c>
      <c r="B133" s="93" t="s">
        <v>111</v>
      </c>
      <c r="C133" s="28">
        <v>197.58</v>
      </c>
      <c r="D133" s="28">
        <v>197.7</v>
      </c>
      <c r="E133" s="28">
        <v>197.64</v>
      </c>
      <c r="F133" s="28">
        <v>197.64</v>
      </c>
      <c r="G133" s="29">
        <v>5791.0262441412397</v>
      </c>
      <c r="H133" s="29">
        <v>3277.1419920929602</v>
      </c>
      <c r="I133" s="27">
        <f t="shared" si="4"/>
        <v>1</v>
      </c>
      <c r="J133" s="27">
        <f t="shared" si="5"/>
        <v>1</v>
      </c>
      <c r="K133" s="27">
        <f t="shared" si="3"/>
        <v>1</v>
      </c>
      <c r="L133" s="25">
        <v>586.56143150000003</v>
      </c>
      <c r="M133" s="25">
        <v>590.54478267035165</v>
      </c>
      <c r="N133" s="38">
        <v>0.52562084302998358</v>
      </c>
      <c r="O133" s="38">
        <v>-10.967002571306118</v>
      </c>
      <c r="P133" s="71">
        <v>-13.069485943426052</v>
      </c>
      <c r="Q133" s="53">
        <v>42711</v>
      </c>
      <c r="R133" s="23">
        <v>11</v>
      </c>
      <c r="S133" s="24">
        <v>586.56143150000003</v>
      </c>
      <c r="T133" s="24">
        <v>590.54478267035165</v>
      </c>
      <c r="U133" s="1">
        <v>0.52562084302998358</v>
      </c>
      <c r="V133" s="2">
        <v>-10.967002571306118</v>
      </c>
      <c r="W133" s="2">
        <v>-13.069485943426052</v>
      </c>
      <c r="X133" s="22" t="s">
        <v>17</v>
      </c>
      <c r="Y133" s="23"/>
      <c r="Z133" s="24" t="s">
        <v>17</v>
      </c>
      <c r="AA133" s="24" t="s">
        <v>17</v>
      </c>
      <c r="AB133" s="1" t="s">
        <v>17</v>
      </c>
      <c r="AC133" s="2" t="s">
        <v>17</v>
      </c>
      <c r="AD133" s="2" t="s">
        <v>17</v>
      </c>
      <c r="AE133" s="22" t="s">
        <v>17</v>
      </c>
      <c r="AF133" s="23"/>
      <c r="AG133" s="24" t="s">
        <v>17</v>
      </c>
      <c r="AH133" s="24" t="s">
        <v>17</v>
      </c>
      <c r="AI133" s="1" t="s">
        <v>17</v>
      </c>
      <c r="AJ133" s="2" t="s">
        <v>17</v>
      </c>
      <c r="AK133" s="2" t="s">
        <v>17</v>
      </c>
      <c r="AL133" s="3"/>
      <c r="AM133" s="2"/>
      <c r="AN133" s="24" t="s">
        <v>17</v>
      </c>
      <c r="AO133" s="24" t="s">
        <v>17</v>
      </c>
      <c r="AP133" s="1" t="s">
        <v>17</v>
      </c>
      <c r="AQ133" s="2" t="s">
        <v>17</v>
      </c>
      <c r="AR133" s="2" t="s">
        <v>17</v>
      </c>
      <c r="AS133" s="3"/>
      <c r="AT133" s="2"/>
      <c r="AU133" s="4"/>
      <c r="AV133" s="2"/>
      <c r="AW133" s="1" t="s">
        <v>17</v>
      </c>
      <c r="AX133" s="2" t="s">
        <v>17</v>
      </c>
      <c r="AY133" s="2" t="s">
        <v>17</v>
      </c>
      <c r="AZ133" s="5"/>
      <c r="BA133" s="6"/>
      <c r="BB133" s="4"/>
      <c r="BC133" s="6"/>
      <c r="BD133" s="6"/>
      <c r="BE133" s="6"/>
      <c r="BF133" s="7"/>
    </row>
    <row r="134" spans="1:58" ht="18" customHeight="1">
      <c r="A134" s="106" t="s">
        <v>15</v>
      </c>
      <c r="B134" s="93" t="s">
        <v>112</v>
      </c>
      <c r="C134" s="28">
        <v>198.41499999999999</v>
      </c>
      <c r="D134" s="28">
        <v>198.58</v>
      </c>
      <c r="E134" s="28">
        <v>198.4975</v>
      </c>
      <c r="F134" s="28">
        <v>198.4975</v>
      </c>
      <c r="G134" s="29">
        <v>5820.0370369399998</v>
      </c>
      <c r="H134" s="29">
        <v>3308.6768326285001</v>
      </c>
      <c r="I134" s="27">
        <f t="shared" si="4"/>
        <v>1</v>
      </c>
      <c r="J134" s="27">
        <f t="shared" si="5"/>
        <v>1</v>
      </c>
      <c r="K134" s="27">
        <f t="shared" si="3"/>
        <v>0</v>
      </c>
      <c r="L134" s="25">
        <v>587.50824</v>
      </c>
      <c r="M134" s="25">
        <v>591.53294245875929</v>
      </c>
      <c r="N134" s="38">
        <v>0.53022146248049573</v>
      </c>
      <c r="O134" s="38"/>
      <c r="P134" s="71"/>
      <c r="Q134" s="53">
        <v>42684</v>
      </c>
      <c r="R134" s="23">
        <v>4</v>
      </c>
      <c r="S134" s="24">
        <v>587.50824</v>
      </c>
      <c r="T134" s="24">
        <v>591.53294245875929</v>
      </c>
      <c r="U134" s="1">
        <v>0.53022146248049573</v>
      </c>
      <c r="V134" s="2"/>
      <c r="W134" s="2"/>
      <c r="X134" s="22" t="s">
        <v>17</v>
      </c>
      <c r="Y134" s="23"/>
      <c r="Z134" s="24" t="s">
        <v>17</v>
      </c>
      <c r="AA134" s="24" t="s">
        <v>17</v>
      </c>
      <c r="AB134" s="1" t="s">
        <v>17</v>
      </c>
      <c r="AC134" s="2" t="s">
        <v>17</v>
      </c>
      <c r="AD134" s="2" t="s">
        <v>17</v>
      </c>
      <c r="AE134" s="22" t="s">
        <v>17</v>
      </c>
      <c r="AF134" s="23"/>
      <c r="AG134" s="24" t="s">
        <v>17</v>
      </c>
      <c r="AH134" s="24" t="s">
        <v>17</v>
      </c>
      <c r="AI134" s="1" t="s">
        <v>17</v>
      </c>
      <c r="AJ134" s="2" t="s">
        <v>17</v>
      </c>
      <c r="AK134" s="2" t="s">
        <v>17</v>
      </c>
      <c r="AL134" s="3"/>
      <c r="AM134" s="2"/>
      <c r="AN134" s="24" t="s">
        <v>17</v>
      </c>
      <c r="AO134" s="24" t="s">
        <v>17</v>
      </c>
      <c r="AP134" s="1" t="s">
        <v>17</v>
      </c>
      <c r="AQ134" s="2" t="s">
        <v>17</v>
      </c>
      <c r="AR134" s="2" t="s">
        <v>17</v>
      </c>
      <c r="AS134" s="3"/>
      <c r="AT134" s="2"/>
      <c r="AU134" s="4"/>
      <c r="AV134" s="2"/>
      <c r="AW134" s="1" t="s">
        <v>17</v>
      </c>
      <c r="AX134" s="2" t="s">
        <v>17</v>
      </c>
      <c r="AY134" s="2" t="s">
        <v>17</v>
      </c>
      <c r="AZ134" s="5"/>
      <c r="BA134" s="6"/>
      <c r="BB134" s="4"/>
      <c r="BC134" s="6"/>
      <c r="BD134" s="6"/>
      <c r="BE134" s="6"/>
      <c r="BF134" s="7"/>
    </row>
    <row r="135" spans="1:58" ht="18" customHeight="1">
      <c r="A135" s="106" t="s">
        <v>15</v>
      </c>
      <c r="B135" s="93" t="s">
        <v>113</v>
      </c>
      <c r="C135" s="28">
        <v>198.58</v>
      </c>
      <c r="D135" s="28">
        <v>198.7</v>
      </c>
      <c r="E135" s="28">
        <v>198.64</v>
      </c>
      <c r="F135" s="28">
        <v>198.64</v>
      </c>
      <c r="G135" s="29">
        <v>5824.74829975584</v>
      </c>
      <c r="H135" s="29">
        <v>3313.9493614051098</v>
      </c>
      <c r="I135" s="27">
        <f t="shared" si="4"/>
        <v>1</v>
      </c>
      <c r="J135" s="27">
        <f t="shared" si="5"/>
        <v>1</v>
      </c>
      <c r="K135" s="27">
        <f t="shared" si="3"/>
        <v>1</v>
      </c>
      <c r="L135" s="25">
        <v>584.70447650000006</v>
      </c>
      <c r="M135" s="25">
        <v>588.66590570617609</v>
      </c>
      <c r="N135" s="38">
        <v>0.52438826789225068</v>
      </c>
      <c r="O135" s="38">
        <v>-10.712326686286966</v>
      </c>
      <c r="P135" s="71">
        <v>-12.809879757855969</v>
      </c>
      <c r="Q135" s="53">
        <v>43237</v>
      </c>
      <c r="R135" s="23">
        <v>6</v>
      </c>
      <c r="S135" s="24">
        <v>584.70447650000006</v>
      </c>
      <c r="T135" s="24">
        <v>588.66590570617609</v>
      </c>
      <c r="U135" s="1">
        <v>0.52438826789225068</v>
      </c>
      <c r="V135" s="2">
        <v>-10.712326686286966</v>
      </c>
      <c r="W135" s="2">
        <v>-12.809879757855969</v>
      </c>
      <c r="X135" s="22" t="s">
        <v>17</v>
      </c>
      <c r="Y135" s="23"/>
      <c r="Z135" s="24" t="s">
        <v>17</v>
      </c>
      <c r="AA135" s="24" t="s">
        <v>17</v>
      </c>
      <c r="AB135" s="1" t="s">
        <v>17</v>
      </c>
      <c r="AC135" s="2" t="s">
        <v>17</v>
      </c>
      <c r="AD135" s="2" t="s">
        <v>17</v>
      </c>
      <c r="AE135" s="22" t="s">
        <v>17</v>
      </c>
      <c r="AF135" s="23"/>
      <c r="AG135" s="24" t="s">
        <v>17</v>
      </c>
      <c r="AH135" s="24" t="s">
        <v>17</v>
      </c>
      <c r="AI135" s="1" t="s">
        <v>17</v>
      </c>
      <c r="AJ135" s="2" t="s">
        <v>17</v>
      </c>
      <c r="AK135" s="2" t="s">
        <v>17</v>
      </c>
      <c r="AL135" s="3"/>
      <c r="AM135" s="2"/>
      <c r="AN135" s="24" t="s">
        <v>17</v>
      </c>
      <c r="AO135" s="24" t="s">
        <v>17</v>
      </c>
      <c r="AP135" s="1" t="s">
        <v>17</v>
      </c>
      <c r="AQ135" s="2" t="s">
        <v>17</v>
      </c>
      <c r="AR135" s="2" t="s">
        <v>17</v>
      </c>
      <c r="AS135" s="3"/>
      <c r="AT135" s="2"/>
      <c r="AU135" s="4"/>
      <c r="AV135" s="2"/>
      <c r="AW135" s="1" t="s">
        <v>17</v>
      </c>
      <c r="AX135" s="2" t="s">
        <v>17</v>
      </c>
      <c r="AY135" s="2" t="s">
        <v>17</v>
      </c>
      <c r="AZ135" s="8"/>
      <c r="BA135" s="9"/>
      <c r="BB135" s="4"/>
      <c r="BC135" s="9"/>
      <c r="BD135" s="9"/>
      <c r="BE135" s="9"/>
      <c r="BF135" s="10"/>
    </row>
    <row r="136" spans="1:58" ht="18" customHeight="1">
      <c r="A136" s="106" t="s">
        <v>15</v>
      </c>
      <c r="B136" s="93" t="s">
        <v>114</v>
      </c>
      <c r="C136" s="28">
        <v>199.96</v>
      </c>
      <c r="D136" s="28">
        <v>200.08</v>
      </c>
      <c r="E136" s="28">
        <v>200.02</v>
      </c>
      <c r="F136" s="28">
        <v>200.02</v>
      </c>
      <c r="G136" s="29">
        <v>5871.0103396190598</v>
      </c>
      <c r="H136" s="29">
        <v>3367.1646386318998</v>
      </c>
      <c r="I136" s="27">
        <f t="shared" si="4"/>
        <v>1</v>
      </c>
      <c r="J136" s="27">
        <f t="shared" si="5"/>
        <v>1</v>
      </c>
      <c r="K136" s="27">
        <f t="shared" si="3"/>
        <v>1</v>
      </c>
      <c r="L136" s="25">
        <v>587.519046</v>
      </c>
      <c r="M136" s="25">
        <v>591.44446827387003</v>
      </c>
      <c r="N136" s="38">
        <v>0.51713260270291883</v>
      </c>
      <c r="O136" s="38">
        <v>-11.185745735846076</v>
      </c>
      <c r="P136" s="71">
        <v>-13.254276146657752</v>
      </c>
      <c r="Q136" s="53">
        <v>43472</v>
      </c>
      <c r="R136" s="23">
        <v>12</v>
      </c>
      <c r="S136" s="24">
        <v>587.519046</v>
      </c>
      <c r="T136" s="24">
        <v>591.44446827387003</v>
      </c>
      <c r="U136" s="1">
        <v>0.51713260270291883</v>
      </c>
      <c r="V136" s="2">
        <v>-11.185745735846076</v>
      </c>
      <c r="W136" s="2">
        <v>-13.254276146657752</v>
      </c>
      <c r="X136" s="22" t="s">
        <v>17</v>
      </c>
      <c r="Y136" s="23"/>
      <c r="Z136" s="24" t="s">
        <v>17</v>
      </c>
      <c r="AA136" s="24" t="s">
        <v>17</v>
      </c>
      <c r="AB136" s="1" t="s">
        <v>17</v>
      </c>
      <c r="AC136" s="2" t="s">
        <v>17</v>
      </c>
      <c r="AD136" s="2" t="s">
        <v>17</v>
      </c>
      <c r="AE136" s="22" t="s">
        <v>17</v>
      </c>
      <c r="AF136" s="23"/>
      <c r="AG136" s="24" t="s">
        <v>17</v>
      </c>
      <c r="AH136" s="24" t="s">
        <v>17</v>
      </c>
      <c r="AI136" s="1" t="s">
        <v>17</v>
      </c>
      <c r="AJ136" s="2" t="s">
        <v>17</v>
      </c>
      <c r="AK136" s="2" t="s">
        <v>17</v>
      </c>
      <c r="AL136" s="3"/>
      <c r="AM136" s="2"/>
      <c r="AN136" s="24" t="s">
        <v>17</v>
      </c>
      <c r="AO136" s="24" t="s">
        <v>17</v>
      </c>
      <c r="AP136" s="1" t="s">
        <v>17</v>
      </c>
      <c r="AQ136" s="2" t="s">
        <v>17</v>
      </c>
      <c r="AR136" s="2" t="s">
        <v>17</v>
      </c>
      <c r="AS136" s="3"/>
      <c r="AT136" s="2"/>
      <c r="AU136" s="4"/>
      <c r="AV136" s="2"/>
      <c r="AW136" s="1" t="s">
        <v>17</v>
      </c>
      <c r="AX136" s="2" t="s">
        <v>17</v>
      </c>
      <c r="AY136" s="2" t="s">
        <v>17</v>
      </c>
      <c r="AZ136" s="5"/>
      <c r="BA136" s="6"/>
      <c r="BB136" s="4"/>
      <c r="BC136" s="6"/>
      <c r="BD136" s="6"/>
      <c r="BE136" s="6"/>
      <c r="BF136" s="7"/>
    </row>
    <row r="137" spans="1:58" ht="18" customHeight="1">
      <c r="A137" s="106" t="s">
        <v>15</v>
      </c>
      <c r="B137" s="93" t="s">
        <v>115</v>
      </c>
      <c r="C137" s="28">
        <v>200.35499999999999</v>
      </c>
      <c r="D137" s="28">
        <v>200.58</v>
      </c>
      <c r="E137" s="28">
        <v>200.4675</v>
      </c>
      <c r="F137" s="28">
        <v>200.4675</v>
      </c>
      <c r="G137" s="29">
        <v>5885.8922527429004</v>
      </c>
      <c r="H137" s="29">
        <v>3385.4390883646502</v>
      </c>
      <c r="I137" s="27">
        <f t="shared" si="4"/>
        <v>1</v>
      </c>
      <c r="J137" s="27">
        <f t="shared" si="5"/>
        <v>1</v>
      </c>
      <c r="K137" s="27">
        <f t="shared" si="3"/>
        <v>1</v>
      </c>
      <c r="L137" s="25">
        <v>589.27410450000002</v>
      </c>
      <c r="M137" s="25">
        <v>593.3353264993217</v>
      </c>
      <c r="N137" s="38">
        <v>0.5334292914935812</v>
      </c>
      <c r="O137" s="38">
        <v>-8.6496301287491981</v>
      </c>
      <c r="P137" s="71">
        <v>-10.783347294723523</v>
      </c>
      <c r="Q137" s="53">
        <v>42681</v>
      </c>
      <c r="R137" s="23">
        <v>5</v>
      </c>
      <c r="S137" s="24">
        <v>589.27410450000002</v>
      </c>
      <c r="T137" s="24">
        <v>593.3353264993217</v>
      </c>
      <c r="U137" s="1">
        <v>0.5334292914935812</v>
      </c>
      <c r="V137" s="2">
        <v>-8.6496301287491981</v>
      </c>
      <c r="W137" s="2">
        <v>-10.783347294723523</v>
      </c>
      <c r="X137" s="22" t="s">
        <v>17</v>
      </c>
      <c r="Y137" s="23"/>
      <c r="Z137" s="24" t="s">
        <v>17</v>
      </c>
      <c r="AA137" s="24" t="s">
        <v>17</v>
      </c>
      <c r="AB137" s="1" t="s">
        <v>17</v>
      </c>
      <c r="AC137" s="2" t="s">
        <v>17</v>
      </c>
      <c r="AD137" s="2" t="s">
        <v>17</v>
      </c>
      <c r="AE137" s="22" t="s">
        <v>17</v>
      </c>
      <c r="AF137" s="23"/>
      <c r="AG137" s="24" t="s">
        <v>17</v>
      </c>
      <c r="AH137" s="24" t="s">
        <v>17</v>
      </c>
      <c r="AI137" s="1" t="s">
        <v>17</v>
      </c>
      <c r="AJ137" s="2" t="s">
        <v>17</v>
      </c>
      <c r="AK137" s="2" t="s">
        <v>17</v>
      </c>
      <c r="AL137" s="3"/>
      <c r="AM137" s="2"/>
      <c r="AN137" s="24" t="s">
        <v>17</v>
      </c>
      <c r="AO137" s="24" t="s">
        <v>17</v>
      </c>
      <c r="AP137" s="1" t="s">
        <v>17</v>
      </c>
      <c r="AQ137" s="2" t="s">
        <v>17</v>
      </c>
      <c r="AR137" s="2" t="s">
        <v>17</v>
      </c>
      <c r="AS137" s="3"/>
      <c r="AT137" s="2"/>
      <c r="AU137" s="4"/>
      <c r="AV137" s="2"/>
      <c r="AW137" s="1" t="s">
        <v>17</v>
      </c>
      <c r="AX137" s="2" t="s">
        <v>17</v>
      </c>
      <c r="AY137" s="2" t="s">
        <v>17</v>
      </c>
      <c r="AZ137" s="5"/>
      <c r="BA137" s="6"/>
      <c r="BB137" s="4"/>
      <c r="BC137" s="6"/>
      <c r="BD137" s="6"/>
      <c r="BE137" s="6"/>
      <c r="BF137" s="7"/>
    </row>
    <row r="138" spans="1:58" ht="18" customHeight="1">
      <c r="A138" s="106" t="s">
        <v>15</v>
      </c>
      <c r="B138" s="93" t="s">
        <v>116</v>
      </c>
      <c r="C138" s="28">
        <v>200.845</v>
      </c>
      <c r="D138" s="28">
        <v>200.965</v>
      </c>
      <c r="E138" s="28">
        <v>200.905</v>
      </c>
      <c r="F138" s="28">
        <v>200.905</v>
      </c>
      <c r="G138" s="29">
        <v>5900.4434566862301</v>
      </c>
      <c r="H138" s="29">
        <v>3403.3074392144499</v>
      </c>
      <c r="I138" s="27">
        <f t="shared" si="4"/>
        <v>2</v>
      </c>
      <c r="J138" s="27">
        <f t="shared" si="5"/>
        <v>1</v>
      </c>
      <c r="K138" s="27">
        <f t="shared" si="3"/>
        <v>1</v>
      </c>
      <c r="L138" s="25">
        <v>585.33365924999998</v>
      </c>
      <c r="M138" s="25">
        <v>589.22484671022733</v>
      </c>
      <c r="N138" s="38">
        <v>0.51392887522205832</v>
      </c>
      <c r="O138" s="38">
        <v>-9.2076906512830181</v>
      </c>
      <c r="P138" s="71">
        <v>-11.263406152171251</v>
      </c>
      <c r="Q138" s="53">
        <v>44130</v>
      </c>
      <c r="R138" s="23">
        <v>9</v>
      </c>
      <c r="S138" s="24">
        <v>583.46758350000005</v>
      </c>
      <c r="T138" s="24">
        <v>587.34636564157961</v>
      </c>
      <c r="U138" s="1">
        <v>0.51392887522205832</v>
      </c>
      <c r="V138" s="2">
        <v>-9.2076906512830181</v>
      </c>
      <c r="W138" s="2">
        <v>-11.263406152171251</v>
      </c>
      <c r="X138" s="22">
        <v>44159</v>
      </c>
      <c r="Y138" s="23" t="s">
        <v>88</v>
      </c>
      <c r="Z138" s="24">
        <v>587.19973500000003</v>
      </c>
      <c r="AA138" s="24">
        <v>591.10332777887504</v>
      </c>
      <c r="AB138" s="1"/>
      <c r="AC138" s="2"/>
      <c r="AD138" s="2"/>
      <c r="AE138" s="22" t="s">
        <v>17</v>
      </c>
      <c r="AF138" s="23"/>
      <c r="AG138" s="24" t="s">
        <v>17</v>
      </c>
      <c r="AH138" s="24" t="s">
        <v>17</v>
      </c>
      <c r="AI138" s="1" t="s">
        <v>17</v>
      </c>
      <c r="AJ138" s="2" t="s">
        <v>17</v>
      </c>
      <c r="AK138" s="2" t="s">
        <v>17</v>
      </c>
      <c r="AL138" s="3"/>
      <c r="AM138" s="2"/>
      <c r="AN138" s="24" t="s">
        <v>17</v>
      </c>
      <c r="AO138" s="24" t="s">
        <v>17</v>
      </c>
      <c r="AP138" s="1" t="s">
        <v>17</v>
      </c>
      <c r="AQ138" s="2" t="s">
        <v>17</v>
      </c>
      <c r="AR138" s="2" t="s">
        <v>17</v>
      </c>
      <c r="AS138" s="3"/>
      <c r="AT138" s="2"/>
      <c r="AU138" s="4"/>
      <c r="AV138" s="2"/>
      <c r="AW138" s="1" t="s">
        <v>17</v>
      </c>
      <c r="AX138" s="2" t="s">
        <v>17</v>
      </c>
      <c r="AY138" s="2" t="s">
        <v>17</v>
      </c>
      <c r="AZ138" s="5"/>
      <c r="BA138" s="6"/>
      <c r="BB138" s="4"/>
      <c r="BC138" s="6"/>
      <c r="BD138" s="6"/>
      <c r="BE138" s="6"/>
      <c r="BF138" s="7"/>
    </row>
    <row r="139" spans="1:58" ht="18" customHeight="1">
      <c r="A139" s="106" t="s">
        <v>15</v>
      </c>
      <c r="B139" s="93" t="s">
        <v>117</v>
      </c>
      <c r="C139" s="28">
        <v>201.96</v>
      </c>
      <c r="D139" s="28">
        <v>202.08</v>
      </c>
      <c r="E139" s="28">
        <v>202.02</v>
      </c>
      <c r="F139" s="28">
        <v>202.02</v>
      </c>
      <c r="G139" s="29">
        <v>5937.0949189500398</v>
      </c>
      <c r="H139" s="29">
        <v>3452.21536074496</v>
      </c>
      <c r="I139" s="27">
        <f t="shared" si="4"/>
        <v>1</v>
      </c>
      <c r="J139" s="27">
        <f t="shared" si="5"/>
        <v>1</v>
      </c>
      <c r="K139" s="27">
        <f t="shared" si="3"/>
        <v>1</v>
      </c>
      <c r="L139" s="25">
        <v>577.5697654999999</v>
      </c>
      <c r="M139" s="25">
        <v>581.48740921749175</v>
      </c>
      <c r="N139" s="38">
        <v>0.52499839164155127</v>
      </c>
      <c r="O139" s="38">
        <v>-8.1126362898915616</v>
      </c>
      <c r="P139" s="71">
        <v>-10.212629856457767</v>
      </c>
      <c r="Q139" s="53">
        <v>43391</v>
      </c>
      <c r="R139" s="23">
        <v>9</v>
      </c>
      <c r="S139" s="24">
        <v>577.5697654999999</v>
      </c>
      <c r="T139" s="24">
        <v>581.48740921749175</v>
      </c>
      <c r="U139" s="1">
        <v>0.52499839164155127</v>
      </c>
      <c r="V139" s="2">
        <v>-8.1126362898915616</v>
      </c>
      <c r="W139" s="2">
        <v>-10.212629856457767</v>
      </c>
      <c r="X139" s="22" t="s">
        <v>17</v>
      </c>
      <c r="Y139" s="23"/>
      <c r="Z139" s="24" t="s">
        <v>17</v>
      </c>
      <c r="AA139" s="24" t="s">
        <v>17</v>
      </c>
      <c r="AB139" s="1" t="s">
        <v>17</v>
      </c>
      <c r="AC139" s="2" t="s">
        <v>17</v>
      </c>
      <c r="AD139" s="2" t="s">
        <v>17</v>
      </c>
      <c r="AE139" s="22" t="s">
        <v>17</v>
      </c>
      <c r="AF139" s="23"/>
      <c r="AG139" s="24" t="s">
        <v>17</v>
      </c>
      <c r="AH139" s="24" t="s">
        <v>17</v>
      </c>
      <c r="AI139" s="1" t="s">
        <v>17</v>
      </c>
      <c r="AJ139" s="2" t="s">
        <v>17</v>
      </c>
      <c r="AK139" s="2" t="s">
        <v>17</v>
      </c>
      <c r="AL139" s="3"/>
      <c r="AM139" s="2"/>
      <c r="AN139" s="24" t="s">
        <v>17</v>
      </c>
      <c r="AO139" s="24" t="s">
        <v>17</v>
      </c>
      <c r="AP139" s="1" t="s">
        <v>17</v>
      </c>
      <c r="AQ139" s="2" t="s">
        <v>17</v>
      </c>
      <c r="AR139" s="2" t="s">
        <v>17</v>
      </c>
      <c r="AS139" s="3"/>
      <c r="AT139" s="2"/>
      <c r="AU139" s="4"/>
      <c r="AV139" s="2"/>
      <c r="AW139" s="1" t="s">
        <v>17</v>
      </c>
      <c r="AX139" s="2" t="s">
        <v>17</v>
      </c>
      <c r="AY139" s="2" t="s">
        <v>17</v>
      </c>
      <c r="AZ139" s="5"/>
      <c r="BA139" s="6"/>
      <c r="BB139" s="4"/>
      <c r="BC139" s="6"/>
      <c r="BD139" s="6"/>
      <c r="BE139" s="6"/>
      <c r="BF139" s="7"/>
    </row>
    <row r="140" spans="1:58" ht="18" customHeight="1">
      <c r="A140" s="106" t="s">
        <v>15</v>
      </c>
      <c r="B140" s="93" t="s">
        <v>118</v>
      </c>
      <c r="C140" s="28">
        <v>202.38500000000002</v>
      </c>
      <c r="D140" s="28">
        <v>202.58</v>
      </c>
      <c r="E140" s="28">
        <v>202.48250000000002</v>
      </c>
      <c r="F140" s="28">
        <v>202.48250000000002</v>
      </c>
      <c r="G140" s="29">
        <v>5952.9668288709599</v>
      </c>
      <c r="H140" s="29">
        <v>3471.73407782304</v>
      </c>
      <c r="I140" s="27">
        <f t="shared" si="4"/>
        <v>1</v>
      </c>
      <c r="J140" s="27">
        <f t="shared" si="5"/>
        <v>1</v>
      </c>
      <c r="K140" s="27">
        <f t="shared" si="3"/>
        <v>0</v>
      </c>
      <c r="L140" s="25">
        <v>583.09728933333338</v>
      </c>
      <c r="M140" s="25">
        <v>587.12799625371031</v>
      </c>
      <c r="N140" s="38">
        <v>0.53502944628691651</v>
      </c>
      <c r="O140" s="38"/>
      <c r="P140" s="71"/>
      <c r="Q140" s="53">
        <v>42528</v>
      </c>
      <c r="R140" s="23">
        <v>3</v>
      </c>
      <c r="S140" s="24">
        <v>583.09728933333338</v>
      </c>
      <c r="T140" s="24">
        <v>587.12799625371031</v>
      </c>
      <c r="U140" s="1">
        <v>0.53502944628691651</v>
      </c>
      <c r="V140" s="2"/>
      <c r="W140" s="2"/>
      <c r="X140" s="22" t="s">
        <v>17</v>
      </c>
      <c r="Y140" s="23"/>
      <c r="Z140" s="24" t="s">
        <v>17</v>
      </c>
      <c r="AA140" s="24" t="s">
        <v>17</v>
      </c>
      <c r="AB140" s="1" t="s">
        <v>17</v>
      </c>
      <c r="AC140" s="2" t="s">
        <v>17</v>
      </c>
      <c r="AD140" s="2" t="s">
        <v>17</v>
      </c>
      <c r="AE140" s="22" t="s">
        <v>17</v>
      </c>
      <c r="AF140" s="23"/>
      <c r="AG140" s="24" t="s">
        <v>17</v>
      </c>
      <c r="AH140" s="24" t="s">
        <v>17</v>
      </c>
      <c r="AI140" s="1" t="s">
        <v>17</v>
      </c>
      <c r="AJ140" s="2" t="s">
        <v>17</v>
      </c>
      <c r="AK140" s="2" t="s">
        <v>17</v>
      </c>
      <c r="AL140" s="3"/>
      <c r="AM140" s="2"/>
      <c r="AN140" s="24" t="s">
        <v>17</v>
      </c>
      <c r="AO140" s="24" t="s">
        <v>17</v>
      </c>
      <c r="AP140" s="1" t="s">
        <v>17</v>
      </c>
      <c r="AQ140" s="2" t="s">
        <v>17</v>
      </c>
      <c r="AR140" s="2" t="s">
        <v>17</v>
      </c>
      <c r="AS140" s="3"/>
      <c r="AT140" s="2"/>
      <c r="AU140" s="4"/>
      <c r="AV140" s="2"/>
      <c r="AW140" s="1" t="s">
        <v>17</v>
      </c>
      <c r="AX140" s="2" t="s">
        <v>17</v>
      </c>
      <c r="AY140" s="2" t="s">
        <v>17</v>
      </c>
      <c r="AZ140" s="5"/>
      <c r="BA140" s="6"/>
      <c r="BB140" s="4"/>
      <c r="BC140" s="6"/>
      <c r="BD140" s="6"/>
      <c r="BE140" s="6"/>
      <c r="BF140" s="7"/>
    </row>
    <row r="141" spans="1:58" ht="18" customHeight="1">
      <c r="A141" s="106" t="s">
        <v>15</v>
      </c>
      <c r="B141" s="93" t="s">
        <v>119</v>
      </c>
      <c r="C141" s="28">
        <v>203.08</v>
      </c>
      <c r="D141" s="28">
        <v>203.2</v>
      </c>
      <c r="E141" s="28">
        <v>203.14</v>
      </c>
      <c r="F141" s="28">
        <v>203.14</v>
      </c>
      <c r="G141" s="29">
        <v>5975.9307065946796</v>
      </c>
      <c r="H141" s="29">
        <v>3498.9465504515601</v>
      </c>
      <c r="I141" s="27">
        <f t="shared" si="4"/>
        <v>1</v>
      </c>
      <c r="J141" s="27">
        <f t="shared" si="5"/>
        <v>1</v>
      </c>
      <c r="K141" s="27">
        <f t="shared" si="3"/>
        <v>1</v>
      </c>
      <c r="L141" s="25">
        <v>582.54211549999991</v>
      </c>
      <c r="M141" s="25">
        <v>586.45521465297611</v>
      </c>
      <c r="N141" s="38">
        <v>0.51991339923773694</v>
      </c>
      <c r="O141" s="38">
        <v>-10.476058394788158</v>
      </c>
      <c r="P141" s="71">
        <v>-12.555711991739106</v>
      </c>
      <c r="Q141" s="53">
        <v>43230</v>
      </c>
      <c r="R141" s="23">
        <v>6</v>
      </c>
      <c r="S141" s="24">
        <v>582.54211549999991</v>
      </c>
      <c r="T141" s="24">
        <v>586.45521465297611</v>
      </c>
      <c r="U141" s="1">
        <v>0.51991339923773694</v>
      </c>
      <c r="V141" s="2">
        <v>-10.476058394788158</v>
      </c>
      <c r="W141" s="2">
        <v>-12.555711991739106</v>
      </c>
      <c r="X141" s="22" t="s">
        <v>17</v>
      </c>
      <c r="Y141" s="23"/>
      <c r="Z141" s="24" t="s">
        <v>17</v>
      </c>
      <c r="AA141" s="24" t="s">
        <v>17</v>
      </c>
      <c r="AB141" s="1" t="s">
        <v>17</v>
      </c>
      <c r="AC141" s="2" t="s">
        <v>17</v>
      </c>
      <c r="AD141" s="2" t="s">
        <v>17</v>
      </c>
      <c r="AE141" s="22" t="s">
        <v>17</v>
      </c>
      <c r="AF141" s="23"/>
      <c r="AG141" s="24" t="s">
        <v>17</v>
      </c>
      <c r="AH141" s="24" t="s">
        <v>17</v>
      </c>
      <c r="AI141" s="1" t="s">
        <v>17</v>
      </c>
      <c r="AJ141" s="2" t="s">
        <v>17</v>
      </c>
      <c r="AK141" s="2" t="s">
        <v>17</v>
      </c>
      <c r="AL141" s="3"/>
      <c r="AM141" s="2"/>
      <c r="AN141" s="24" t="s">
        <v>17</v>
      </c>
      <c r="AO141" s="24" t="s">
        <v>17</v>
      </c>
      <c r="AP141" s="1" t="s">
        <v>17</v>
      </c>
      <c r="AQ141" s="2" t="s">
        <v>17</v>
      </c>
      <c r="AR141" s="2" t="s">
        <v>17</v>
      </c>
      <c r="AS141" s="3"/>
      <c r="AT141" s="2"/>
      <c r="AU141" s="4"/>
      <c r="AV141" s="2"/>
      <c r="AW141" s="1" t="s">
        <v>17</v>
      </c>
      <c r="AX141" s="2" t="s">
        <v>17</v>
      </c>
      <c r="AY141" s="2" t="s">
        <v>17</v>
      </c>
      <c r="AZ141" s="5"/>
      <c r="BA141" s="6"/>
      <c r="BB141" s="4"/>
      <c r="BC141" s="6"/>
      <c r="BD141" s="6"/>
      <c r="BE141" s="6"/>
      <c r="BF141" s="7"/>
    </row>
    <row r="142" spans="1:58" ht="18" customHeight="1">
      <c r="A142" s="106" t="s">
        <v>15</v>
      </c>
      <c r="B142" s="93" t="s">
        <v>120</v>
      </c>
      <c r="C142" s="28">
        <v>204.43</v>
      </c>
      <c r="D142" s="28">
        <v>204.53</v>
      </c>
      <c r="E142" s="28">
        <v>204.48000000000002</v>
      </c>
      <c r="F142" s="28">
        <v>204.48000000000002</v>
      </c>
      <c r="G142" s="29">
        <v>6024.1610248666302</v>
      </c>
      <c r="H142" s="29">
        <v>3547.1041120632799</v>
      </c>
      <c r="I142" s="27">
        <f t="shared" si="4"/>
        <v>1</v>
      </c>
      <c r="J142" s="27">
        <f t="shared" si="5"/>
        <v>0</v>
      </c>
      <c r="K142" s="27">
        <f t="shared" si="3"/>
        <v>0</v>
      </c>
      <c r="L142" s="25">
        <v>583.33739449999996</v>
      </c>
      <c r="M142" s="25">
        <v>587.25583576558654</v>
      </c>
      <c r="N142" s="38"/>
      <c r="O142" s="38"/>
      <c r="P142" s="71"/>
      <c r="Q142" s="53">
        <v>44147</v>
      </c>
      <c r="R142" s="23">
        <v>3</v>
      </c>
      <c r="S142" s="24">
        <v>583.33739449999996</v>
      </c>
      <c r="T142" s="24">
        <v>587.25583576558654</v>
      </c>
      <c r="U142" s="1"/>
      <c r="V142" s="2"/>
      <c r="W142" s="2"/>
      <c r="X142" s="22" t="s">
        <v>17</v>
      </c>
      <c r="Y142" s="23"/>
      <c r="Z142" s="24" t="s">
        <v>17</v>
      </c>
      <c r="AA142" s="24" t="s">
        <v>17</v>
      </c>
      <c r="AB142" s="1" t="s">
        <v>17</v>
      </c>
      <c r="AC142" s="2" t="s">
        <v>17</v>
      </c>
      <c r="AD142" s="2" t="s">
        <v>17</v>
      </c>
      <c r="AE142" s="22" t="s">
        <v>17</v>
      </c>
      <c r="AF142" s="23"/>
      <c r="AG142" s="24" t="s">
        <v>17</v>
      </c>
      <c r="AH142" s="24" t="s">
        <v>17</v>
      </c>
      <c r="AI142" s="1" t="s">
        <v>17</v>
      </c>
      <c r="AJ142" s="2" t="s">
        <v>17</v>
      </c>
      <c r="AK142" s="2" t="s">
        <v>17</v>
      </c>
      <c r="AL142" s="3"/>
      <c r="AM142" s="2"/>
      <c r="AN142" s="24" t="s">
        <v>17</v>
      </c>
      <c r="AO142" s="24" t="s">
        <v>17</v>
      </c>
      <c r="AP142" s="1" t="s">
        <v>17</v>
      </c>
      <c r="AQ142" s="2" t="s">
        <v>17</v>
      </c>
      <c r="AR142" s="2" t="s">
        <v>17</v>
      </c>
      <c r="AS142" s="3"/>
      <c r="AT142" s="2"/>
      <c r="AU142" s="4"/>
      <c r="AV142" s="2"/>
      <c r="AW142" s="1" t="s">
        <v>17</v>
      </c>
      <c r="AX142" s="2" t="s">
        <v>17</v>
      </c>
      <c r="AY142" s="2" t="s">
        <v>17</v>
      </c>
      <c r="AZ142" s="5"/>
      <c r="BA142" s="6"/>
      <c r="BB142" s="4"/>
      <c r="BC142" s="6"/>
      <c r="BD142" s="6"/>
      <c r="BE142" s="6"/>
      <c r="BF142" s="7"/>
    </row>
    <row r="143" spans="1:58" ht="18" customHeight="1">
      <c r="A143" s="106" t="s">
        <v>15</v>
      </c>
      <c r="B143" s="93" t="s">
        <v>121</v>
      </c>
      <c r="C143" s="28">
        <v>205.91</v>
      </c>
      <c r="D143" s="28">
        <v>206.03</v>
      </c>
      <c r="E143" s="28">
        <v>205.97</v>
      </c>
      <c r="F143" s="28">
        <v>205.97</v>
      </c>
      <c r="G143" s="29">
        <v>6078.5380129287896</v>
      </c>
      <c r="H143" s="29">
        <v>3599.41750213049</v>
      </c>
      <c r="I143" s="27">
        <f t="shared" si="4"/>
        <v>1</v>
      </c>
      <c r="J143" s="27">
        <f t="shared" si="5"/>
        <v>1</v>
      </c>
      <c r="K143" s="27">
        <f t="shared" si="3"/>
        <v>1</v>
      </c>
      <c r="L143" s="25">
        <v>585.20981900000004</v>
      </c>
      <c r="M143" s="25">
        <v>589.1908684315091</v>
      </c>
      <c r="N143" s="38">
        <v>0.52653040148786801</v>
      </c>
      <c r="O143" s="38">
        <v>-8.4422791413910616</v>
      </c>
      <c r="P143" s="71">
        <v>-10.548400747342534</v>
      </c>
      <c r="Q143" s="53">
        <v>43242</v>
      </c>
      <c r="R143" s="23">
        <v>6</v>
      </c>
      <c r="S143" s="24">
        <v>585.20981900000004</v>
      </c>
      <c r="T143" s="24">
        <v>589.1908684315091</v>
      </c>
      <c r="U143" s="1">
        <v>0.52653040148786801</v>
      </c>
      <c r="V143" s="2">
        <v>-8.4422791413910616</v>
      </c>
      <c r="W143" s="2">
        <v>-10.548400747342534</v>
      </c>
      <c r="X143" s="22" t="s">
        <v>17</v>
      </c>
      <c r="Y143" s="23"/>
      <c r="Z143" s="24" t="s">
        <v>17</v>
      </c>
      <c r="AA143" s="24" t="s">
        <v>17</v>
      </c>
      <c r="AB143" s="1" t="s">
        <v>17</v>
      </c>
      <c r="AC143" s="2" t="s">
        <v>17</v>
      </c>
      <c r="AD143" s="2" t="s">
        <v>17</v>
      </c>
      <c r="AE143" s="22" t="s">
        <v>17</v>
      </c>
      <c r="AF143" s="23"/>
      <c r="AG143" s="24" t="s">
        <v>17</v>
      </c>
      <c r="AH143" s="24" t="s">
        <v>17</v>
      </c>
      <c r="AI143" s="1" t="s">
        <v>17</v>
      </c>
      <c r="AJ143" s="2" t="s">
        <v>17</v>
      </c>
      <c r="AK143" s="2" t="s">
        <v>17</v>
      </c>
      <c r="AL143" s="3"/>
      <c r="AM143" s="2"/>
      <c r="AN143" s="24" t="s">
        <v>17</v>
      </c>
      <c r="AO143" s="24" t="s">
        <v>17</v>
      </c>
      <c r="AP143" s="1" t="s">
        <v>17</v>
      </c>
      <c r="AQ143" s="2" t="s">
        <v>17</v>
      </c>
      <c r="AR143" s="2" t="s">
        <v>17</v>
      </c>
      <c r="AS143" s="3"/>
      <c r="AT143" s="2"/>
      <c r="AU143" s="4"/>
      <c r="AV143" s="2"/>
      <c r="AW143" s="1" t="s">
        <v>17</v>
      </c>
      <c r="AX143" s="2" t="s">
        <v>17</v>
      </c>
      <c r="AY143" s="2" t="s">
        <v>17</v>
      </c>
      <c r="AZ143" s="5"/>
      <c r="BA143" s="6"/>
      <c r="BB143" s="4"/>
      <c r="BC143" s="6"/>
      <c r="BD143" s="6"/>
      <c r="BE143" s="6"/>
      <c r="BF143" s="7"/>
    </row>
    <row r="144" spans="1:58" ht="18" customHeight="1">
      <c r="A144" s="106" t="s">
        <v>15</v>
      </c>
      <c r="B144" s="93" t="s">
        <v>122</v>
      </c>
      <c r="C144" s="28">
        <v>206.29</v>
      </c>
      <c r="D144" s="28">
        <v>206.53</v>
      </c>
      <c r="E144" s="28">
        <v>206.41</v>
      </c>
      <c r="F144" s="28">
        <v>206.41</v>
      </c>
      <c r="G144" s="29">
        <v>6095.0065373856596</v>
      </c>
      <c r="H144" s="29">
        <v>3615.8151015856101</v>
      </c>
      <c r="I144" s="27">
        <f t="shared" si="4"/>
        <v>1</v>
      </c>
      <c r="J144" s="27">
        <f t="shared" si="5"/>
        <v>1</v>
      </c>
      <c r="K144" s="27">
        <f t="shared" si="3"/>
        <v>1</v>
      </c>
      <c r="L144" s="25">
        <v>590.36325749999992</v>
      </c>
      <c r="M144" s="25">
        <v>594.47165735247222</v>
      </c>
      <c r="N144" s="38">
        <v>0.53863041210777673</v>
      </c>
      <c r="O144" s="38">
        <v>-10.91159839508693</v>
      </c>
      <c r="P144" s="71">
        <v>-13.066120043518037</v>
      </c>
      <c r="Q144" s="53">
        <v>42683</v>
      </c>
      <c r="R144" s="23">
        <v>6</v>
      </c>
      <c r="S144" s="24">
        <v>590.36325749999992</v>
      </c>
      <c r="T144" s="24">
        <v>594.47165735247222</v>
      </c>
      <c r="U144" s="1">
        <v>0.53863041210777673</v>
      </c>
      <c r="V144" s="2">
        <v>-10.91159839508693</v>
      </c>
      <c r="W144" s="2">
        <v>-13.066120043518037</v>
      </c>
      <c r="X144" s="22" t="s">
        <v>17</v>
      </c>
      <c r="Y144" s="23"/>
      <c r="Z144" s="24" t="s">
        <v>17</v>
      </c>
      <c r="AA144" s="24" t="s">
        <v>17</v>
      </c>
      <c r="AB144" s="1" t="s">
        <v>17</v>
      </c>
      <c r="AC144" s="2" t="s">
        <v>17</v>
      </c>
      <c r="AD144" s="2" t="s">
        <v>17</v>
      </c>
      <c r="AE144" s="22" t="s">
        <v>17</v>
      </c>
      <c r="AF144" s="23"/>
      <c r="AG144" s="24" t="s">
        <v>17</v>
      </c>
      <c r="AH144" s="24" t="s">
        <v>17</v>
      </c>
      <c r="AI144" s="1" t="s">
        <v>17</v>
      </c>
      <c r="AJ144" s="2" t="s">
        <v>17</v>
      </c>
      <c r="AK144" s="2" t="s">
        <v>17</v>
      </c>
      <c r="AL144" s="3"/>
      <c r="AM144" s="2"/>
      <c r="AN144" s="24" t="s">
        <v>17</v>
      </c>
      <c r="AO144" s="24" t="s">
        <v>17</v>
      </c>
      <c r="AP144" s="1" t="s">
        <v>17</v>
      </c>
      <c r="AQ144" s="2" t="s">
        <v>17</v>
      </c>
      <c r="AR144" s="2" t="s">
        <v>17</v>
      </c>
      <c r="AS144" s="3"/>
      <c r="AT144" s="2"/>
      <c r="AU144" s="4"/>
      <c r="AV144" s="2"/>
      <c r="AW144" s="1" t="s">
        <v>17</v>
      </c>
      <c r="AX144" s="2" t="s">
        <v>17</v>
      </c>
      <c r="AY144" s="2" t="s">
        <v>17</v>
      </c>
      <c r="AZ144" s="5"/>
      <c r="BA144" s="6"/>
      <c r="BB144" s="4"/>
      <c r="BC144" s="6"/>
      <c r="BD144" s="6"/>
      <c r="BE144" s="6"/>
      <c r="BF144" s="7"/>
    </row>
    <row r="145" spans="1:58" ht="18" customHeight="1">
      <c r="A145" s="106" t="s">
        <v>15</v>
      </c>
      <c r="B145" s="93" t="s">
        <v>123</v>
      </c>
      <c r="C145" s="28">
        <v>206.53</v>
      </c>
      <c r="D145" s="28">
        <v>206.62</v>
      </c>
      <c r="E145" s="28">
        <v>206.57499999999999</v>
      </c>
      <c r="F145" s="28">
        <v>206.57499999999999</v>
      </c>
      <c r="G145" s="29">
        <v>6101.3791197520804</v>
      </c>
      <c r="H145" s="29">
        <v>3622.17296558918</v>
      </c>
      <c r="I145" s="27">
        <f t="shared" si="4"/>
        <v>1</v>
      </c>
      <c r="J145" s="27">
        <f t="shared" si="5"/>
        <v>2</v>
      </c>
      <c r="K145" s="27">
        <f t="shared" si="3"/>
        <v>0</v>
      </c>
      <c r="L145" s="25">
        <v>587.83666649999998</v>
      </c>
      <c r="M145" s="25">
        <v>591.80483030452297</v>
      </c>
      <c r="N145" s="38">
        <v>0.5218630852726891</v>
      </c>
      <c r="O145" s="38"/>
      <c r="P145" s="71"/>
      <c r="Q145" s="53">
        <v>42619</v>
      </c>
      <c r="R145" s="23">
        <v>3</v>
      </c>
      <c r="S145" s="24">
        <v>587.83666649999998</v>
      </c>
      <c r="T145" s="24">
        <v>591.80483030452297</v>
      </c>
      <c r="U145" s="1">
        <v>0.52248088441197993</v>
      </c>
      <c r="V145" s="2"/>
      <c r="W145" s="2"/>
      <c r="X145" s="22">
        <v>42619</v>
      </c>
      <c r="Y145" s="23">
        <v>3</v>
      </c>
      <c r="Z145" s="24" t="s">
        <v>17</v>
      </c>
      <c r="AA145" s="24" t="s">
        <v>17</v>
      </c>
      <c r="AB145" s="1">
        <v>0.52124528613339827</v>
      </c>
      <c r="AC145" s="2"/>
      <c r="AD145" s="2"/>
      <c r="AE145" s="22" t="s">
        <v>17</v>
      </c>
      <c r="AF145" s="23"/>
      <c r="AG145" s="24" t="s">
        <v>17</v>
      </c>
      <c r="AH145" s="24" t="s">
        <v>17</v>
      </c>
      <c r="AI145" s="1" t="s">
        <v>17</v>
      </c>
      <c r="AJ145" s="2" t="s">
        <v>17</v>
      </c>
      <c r="AK145" s="2" t="s">
        <v>17</v>
      </c>
      <c r="AL145" s="3"/>
      <c r="AM145" s="2"/>
      <c r="AN145" s="24" t="s">
        <v>17</v>
      </c>
      <c r="AO145" s="24" t="s">
        <v>17</v>
      </c>
      <c r="AP145" s="1" t="s">
        <v>17</v>
      </c>
      <c r="AQ145" s="2" t="s">
        <v>17</v>
      </c>
      <c r="AR145" s="2" t="s">
        <v>17</v>
      </c>
      <c r="AS145" s="3"/>
      <c r="AT145" s="2"/>
      <c r="AU145" s="4"/>
      <c r="AV145" s="2"/>
      <c r="AW145" s="1" t="s">
        <v>17</v>
      </c>
      <c r="AX145" s="2" t="s">
        <v>17</v>
      </c>
      <c r="AY145" s="2" t="s">
        <v>17</v>
      </c>
      <c r="AZ145" s="5"/>
      <c r="BA145" s="6"/>
      <c r="BB145" s="4"/>
      <c r="BC145" s="6"/>
      <c r="BD145" s="6"/>
      <c r="BE145" s="6"/>
      <c r="BF145" s="7"/>
    </row>
    <row r="146" spans="1:58" ht="18" customHeight="1">
      <c r="A146" s="106" t="s">
        <v>15</v>
      </c>
      <c r="B146" s="93" t="s">
        <v>124</v>
      </c>
      <c r="C146" s="28">
        <v>207.53</v>
      </c>
      <c r="D146" s="28">
        <v>207.65</v>
      </c>
      <c r="E146" s="28">
        <v>207.59</v>
      </c>
      <c r="F146" s="28">
        <v>207.59</v>
      </c>
      <c r="G146" s="29">
        <v>6139.9017965561497</v>
      </c>
      <c r="H146" s="29">
        <v>3660.6936333427798</v>
      </c>
      <c r="I146" s="27">
        <f t="shared" si="4"/>
        <v>1</v>
      </c>
      <c r="J146" s="27">
        <f t="shared" si="5"/>
        <v>1</v>
      </c>
      <c r="K146" s="27">
        <f t="shared" si="3"/>
        <v>1</v>
      </c>
      <c r="L146" s="25">
        <v>588.48766699999999</v>
      </c>
      <c r="M146" s="25">
        <v>592.42819557569453</v>
      </c>
      <c r="N146" s="38">
        <v>0.51826824741763033</v>
      </c>
      <c r="O146" s="38">
        <v>-8.9174106572909029</v>
      </c>
      <c r="P146" s="71">
        <v>-10.990483646961424</v>
      </c>
      <c r="Q146" s="53">
        <v>43496</v>
      </c>
      <c r="R146" s="23">
        <v>11</v>
      </c>
      <c r="S146" s="24">
        <v>588.48766699999999</v>
      </c>
      <c r="T146" s="24">
        <v>592.42819557569453</v>
      </c>
      <c r="U146" s="1">
        <v>0.51826824741763033</v>
      </c>
      <c r="V146" s="2">
        <v>-8.9174106572909029</v>
      </c>
      <c r="W146" s="2">
        <v>-10.990483646961424</v>
      </c>
      <c r="X146" s="22" t="s">
        <v>17</v>
      </c>
      <c r="Y146" s="23"/>
      <c r="Z146" s="24" t="s">
        <v>17</v>
      </c>
      <c r="AA146" s="24" t="s">
        <v>17</v>
      </c>
      <c r="AB146" s="1" t="s">
        <v>17</v>
      </c>
      <c r="AC146" s="2" t="s">
        <v>17</v>
      </c>
      <c r="AD146" s="2" t="s">
        <v>17</v>
      </c>
      <c r="AE146" s="22" t="s">
        <v>17</v>
      </c>
      <c r="AF146" s="23"/>
      <c r="AG146" s="24" t="s">
        <v>17</v>
      </c>
      <c r="AH146" s="24" t="s">
        <v>17</v>
      </c>
      <c r="AI146" s="1" t="s">
        <v>17</v>
      </c>
      <c r="AJ146" s="2" t="s">
        <v>17</v>
      </c>
      <c r="AK146" s="2" t="s">
        <v>17</v>
      </c>
      <c r="AL146" s="3"/>
      <c r="AM146" s="2"/>
      <c r="AN146" s="24" t="s">
        <v>17</v>
      </c>
      <c r="AO146" s="24" t="s">
        <v>17</v>
      </c>
      <c r="AP146" s="1" t="s">
        <v>17</v>
      </c>
      <c r="AQ146" s="2" t="s">
        <v>17</v>
      </c>
      <c r="AR146" s="2" t="s">
        <v>17</v>
      </c>
      <c r="AS146" s="3"/>
      <c r="AT146" s="2"/>
      <c r="AU146" s="4"/>
      <c r="AV146" s="2"/>
      <c r="AW146" s="1" t="s">
        <v>17</v>
      </c>
      <c r="AX146" s="2" t="s">
        <v>17</v>
      </c>
      <c r="AY146" s="2" t="s">
        <v>17</v>
      </c>
      <c r="AZ146" s="5"/>
      <c r="BA146" s="6"/>
      <c r="BB146" s="4"/>
      <c r="BC146" s="6"/>
      <c r="BD146" s="6"/>
      <c r="BE146" s="6"/>
      <c r="BF146" s="7"/>
    </row>
    <row r="147" spans="1:58" ht="18" customHeight="1">
      <c r="A147" s="106" t="s">
        <v>15</v>
      </c>
      <c r="B147" s="93" t="s">
        <v>125</v>
      </c>
      <c r="C147" s="28">
        <v>208.32</v>
      </c>
      <c r="D147" s="28">
        <v>208.53</v>
      </c>
      <c r="E147" s="28">
        <v>208.42500000000001</v>
      </c>
      <c r="F147" s="28">
        <v>208.42500000000001</v>
      </c>
      <c r="G147" s="29">
        <v>6172.7802415730703</v>
      </c>
      <c r="H147" s="29">
        <v>3692.82931711528</v>
      </c>
      <c r="I147" s="27">
        <f t="shared" si="4"/>
        <v>1</v>
      </c>
      <c r="J147" s="27">
        <f t="shared" si="5"/>
        <v>1</v>
      </c>
      <c r="K147" s="27">
        <f t="shared" si="3"/>
        <v>1</v>
      </c>
      <c r="L147" s="25">
        <v>592.37406349999992</v>
      </c>
      <c r="M147" s="25">
        <v>596.41487292354964</v>
      </c>
      <c r="N147" s="38">
        <v>0.52797069724097589</v>
      </c>
      <c r="O147" s="38">
        <v>-11.552594135060158</v>
      </c>
      <c r="P147" s="71">
        <v>-13.664476924024061</v>
      </c>
      <c r="Q147" s="53">
        <v>42681</v>
      </c>
      <c r="R147" s="23">
        <v>5</v>
      </c>
      <c r="S147" s="24">
        <v>592.37406349999992</v>
      </c>
      <c r="T147" s="24">
        <v>596.41487292354964</v>
      </c>
      <c r="U147" s="1">
        <v>0.52797069724097589</v>
      </c>
      <c r="V147" s="2">
        <v>-11.552594135060158</v>
      </c>
      <c r="W147" s="2">
        <v>-13.664476924024061</v>
      </c>
      <c r="X147" s="22" t="s">
        <v>17</v>
      </c>
      <c r="Y147" s="23"/>
      <c r="Z147" s="24" t="s">
        <v>17</v>
      </c>
      <c r="AA147" s="24" t="s">
        <v>17</v>
      </c>
      <c r="AB147" s="1" t="s">
        <v>17</v>
      </c>
      <c r="AC147" s="2" t="s">
        <v>17</v>
      </c>
      <c r="AD147" s="2" t="s">
        <v>17</v>
      </c>
      <c r="AE147" s="22" t="s">
        <v>17</v>
      </c>
      <c r="AF147" s="23"/>
      <c r="AG147" s="24" t="s">
        <v>17</v>
      </c>
      <c r="AH147" s="24" t="s">
        <v>17</v>
      </c>
      <c r="AI147" s="1" t="s">
        <v>17</v>
      </c>
      <c r="AJ147" s="2" t="s">
        <v>17</v>
      </c>
      <c r="AK147" s="2" t="s">
        <v>17</v>
      </c>
      <c r="AL147" s="3"/>
      <c r="AM147" s="2"/>
      <c r="AN147" s="24" t="s">
        <v>17</v>
      </c>
      <c r="AO147" s="24" t="s">
        <v>17</v>
      </c>
      <c r="AP147" s="1" t="s">
        <v>17</v>
      </c>
      <c r="AQ147" s="2" t="s">
        <v>17</v>
      </c>
      <c r="AR147" s="2" t="s">
        <v>17</v>
      </c>
      <c r="AS147" s="3"/>
      <c r="AT147" s="2"/>
      <c r="AU147" s="4"/>
      <c r="AV147" s="2"/>
      <c r="AW147" s="1" t="s">
        <v>17</v>
      </c>
      <c r="AX147" s="2" t="s">
        <v>17</v>
      </c>
      <c r="AY147" s="2" t="s">
        <v>17</v>
      </c>
      <c r="AZ147" s="5"/>
      <c r="BA147" s="6"/>
      <c r="BB147" s="4"/>
      <c r="BC147" s="6"/>
      <c r="BD147" s="6"/>
      <c r="BE147" s="6"/>
      <c r="BF147" s="7"/>
    </row>
    <row r="148" spans="1:58" ht="18" customHeight="1">
      <c r="A148" s="106" t="s">
        <v>15</v>
      </c>
      <c r="B148" s="93" t="s">
        <v>126</v>
      </c>
      <c r="C148" s="28">
        <v>209.03</v>
      </c>
      <c r="D148" s="28">
        <v>209.15</v>
      </c>
      <c r="E148" s="28">
        <v>209.09</v>
      </c>
      <c r="F148" s="28">
        <v>209.09</v>
      </c>
      <c r="G148" s="29">
        <v>6198.9828087845699</v>
      </c>
      <c r="H148" s="29">
        <v>3717.5209478588199</v>
      </c>
      <c r="I148" s="27">
        <f t="shared" si="4"/>
        <v>1</v>
      </c>
      <c r="J148" s="27">
        <f t="shared" si="5"/>
        <v>1</v>
      </c>
      <c r="K148" s="27">
        <f t="shared" si="3"/>
        <v>1</v>
      </c>
      <c r="L148" s="25">
        <v>582.73030549999999</v>
      </c>
      <c r="M148" s="25">
        <v>586.70792031056078</v>
      </c>
      <c r="N148" s="38">
        <v>0.52831459169411232</v>
      </c>
      <c r="O148" s="38">
        <v>-6.6311610689847589</v>
      </c>
      <c r="P148" s="71">
        <v>-8.7444194357612091</v>
      </c>
      <c r="Q148" s="53">
        <v>43216</v>
      </c>
      <c r="R148" s="23">
        <v>6</v>
      </c>
      <c r="S148" s="24">
        <v>582.73030549999999</v>
      </c>
      <c r="T148" s="24">
        <v>586.70792031056078</v>
      </c>
      <c r="U148" s="1">
        <v>0.52831459169411232</v>
      </c>
      <c r="V148" s="2">
        <v>-6.6311610689847589</v>
      </c>
      <c r="W148" s="2">
        <v>-8.7444194357612091</v>
      </c>
      <c r="X148" s="22" t="s">
        <v>17</v>
      </c>
      <c r="Y148" s="23"/>
      <c r="Z148" s="24" t="s">
        <v>17</v>
      </c>
      <c r="AA148" s="24" t="s">
        <v>17</v>
      </c>
      <c r="AB148" s="1" t="s">
        <v>17</v>
      </c>
      <c r="AC148" s="2" t="s">
        <v>17</v>
      </c>
      <c r="AD148" s="2" t="s">
        <v>17</v>
      </c>
      <c r="AE148" s="22" t="s">
        <v>17</v>
      </c>
      <c r="AF148" s="23"/>
      <c r="AG148" s="24" t="s">
        <v>17</v>
      </c>
      <c r="AH148" s="24" t="s">
        <v>17</v>
      </c>
      <c r="AI148" s="1" t="s">
        <v>17</v>
      </c>
      <c r="AJ148" s="2" t="s">
        <v>17</v>
      </c>
      <c r="AK148" s="2" t="s">
        <v>17</v>
      </c>
      <c r="AL148" s="3"/>
      <c r="AM148" s="2"/>
      <c r="AN148" s="24" t="s">
        <v>17</v>
      </c>
      <c r="AO148" s="24" t="s">
        <v>17</v>
      </c>
      <c r="AP148" s="1" t="s">
        <v>17</v>
      </c>
      <c r="AQ148" s="2" t="s">
        <v>17</v>
      </c>
      <c r="AR148" s="2" t="s">
        <v>17</v>
      </c>
      <c r="AS148" s="3"/>
      <c r="AT148" s="2"/>
      <c r="AU148" s="4"/>
      <c r="AV148" s="2"/>
      <c r="AW148" s="1" t="s">
        <v>17</v>
      </c>
      <c r="AX148" s="2" t="s">
        <v>17</v>
      </c>
      <c r="AY148" s="2" t="s">
        <v>17</v>
      </c>
      <c r="AZ148" s="5"/>
      <c r="BA148" s="6"/>
      <c r="BB148" s="4"/>
      <c r="BC148" s="6"/>
      <c r="BD148" s="6"/>
      <c r="BE148" s="6"/>
      <c r="BF148" s="7"/>
    </row>
    <row r="149" spans="1:58" ht="18" customHeight="1">
      <c r="A149" s="106" t="s">
        <v>15</v>
      </c>
      <c r="B149" s="93" t="s">
        <v>127</v>
      </c>
      <c r="C149" s="28">
        <v>210.30500000000001</v>
      </c>
      <c r="D149" s="28">
        <v>210.42000000000002</v>
      </c>
      <c r="E149" s="28">
        <v>210.36250000000001</v>
      </c>
      <c r="F149" s="28">
        <v>210.36250000000001</v>
      </c>
      <c r="G149" s="29">
        <v>6249.3438061925199</v>
      </c>
      <c r="H149" s="29">
        <v>3761.8623233616399</v>
      </c>
      <c r="I149" s="27">
        <f t="shared" si="4"/>
        <v>1</v>
      </c>
      <c r="J149" s="27">
        <f t="shared" si="5"/>
        <v>0</v>
      </c>
      <c r="K149" s="27">
        <f t="shared" si="3"/>
        <v>0</v>
      </c>
      <c r="L149" s="25">
        <v>587.15799449999997</v>
      </c>
      <c r="M149" s="25">
        <v>591.16583193872464</v>
      </c>
      <c r="N149" s="38"/>
      <c r="O149" s="38"/>
      <c r="P149" s="71"/>
      <c r="Q149" s="53">
        <v>44152</v>
      </c>
      <c r="R149" s="23">
        <v>3</v>
      </c>
      <c r="S149" s="24">
        <v>587.15799449999997</v>
      </c>
      <c r="T149" s="24">
        <v>591.16583193872464</v>
      </c>
      <c r="U149" s="1"/>
      <c r="V149" s="2"/>
      <c r="W149" s="2"/>
      <c r="X149" s="22" t="s">
        <v>17</v>
      </c>
      <c r="Y149" s="23"/>
      <c r="Z149" s="24" t="s">
        <v>17</v>
      </c>
      <c r="AA149" s="24" t="s">
        <v>17</v>
      </c>
      <c r="AB149" s="1" t="s">
        <v>17</v>
      </c>
      <c r="AC149" s="2" t="s">
        <v>17</v>
      </c>
      <c r="AD149" s="2" t="s">
        <v>17</v>
      </c>
      <c r="AE149" s="22" t="s">
        <v>17</v>
      </c>
      <c r="AF149" s="23"/>
      <c r="AG149" s="24" t="s">
        <v>17</v>
      </c>
      <c r="AH149" s="24" t="s">
        <v>17</v>
      </c>
      <c r="AI149" s="1" t="s">
        <v>17</v>
      </c>
      <c r="AJ149" s="2" t="s">
        <v>17</v>
      </c>
      <c r="AK149" s="2" t="s">
        <v>17</v>
      </c>
      <c r="AL149" s="3"/>
      <c r="AM149" s="2"/>
      <c r="AN149" s="24" t="s">
        <v>17</v>
      </c>
      <c r="AO149" s="24" t="s">
        <v>17</v>
      </c>
      <c r="AP149" s="1" t="s">
        <v>17</v>
      </c>
      <c r="AQ149" s="2" t="s">
        <v>17</v>
      </c>
      <c r="AR149" s="2" t="s">
        <v>17</v>
      </c>
      <c r="AS149" s="3"/>
      <c r="AT149" s="2"/>
      <c r="AU149" s="4"/>
      <c r="AV149" s="2"/>
      <c r="AW149" s="1" t="s">
        <v>17</v>
      </c>
      <c r="AX149" s="2" t="s">
        <v>17</v>
      </c>
      <c r="AY149" s="2" t="s">
        <v>17</v>
      </c>
      <c r="AZ149" s="5"/>
      <c r="BA149" s="6"/>
      <c r="BB149" s="4"/>
      <c r="BC149" s="6"/>
      <c r="BD149" s="6"/>
      <c r="BE149" s="6"/>
      <c r="BF149" s="7"/>
    </row>
    <row r="150" spans="1:58" ht="18" customHeight="1">
      <c r="A150" s="106" t="s">
        <v>15</v>
      </c>
      <c r="B150" s="93" t="s">
        <v>128</v>
      </c>
      <c r="C150" s="28">
        <v>211.91</v>
      </c>
      <c r="D150" s="28">
        <v>212.03</v>
      </c>
      <c r="E150" s="28">
        <v>211.97</v>
      </c>
      <c r="F150" s="28">
        <v>211.97</v>
      </c>
      <c r="G150" s="29">
        <v>6310.88100837821</v>
      </c>
      <c r="H150" s="29">
        <v>3822.3812779158802</v>
      </c>
      <c r="I150" s="27">
        <f t="shared" si="4"/>
        <v>1</v>
      </c>
      <c r="J150" s="27">
        <f t="shared" si="5"/>
        <v>1</v>
      </c>
      <c r="K150" s="27">
        <f t="shared" si="3"/>
        <v>1</v>
      </c>
      <c r="L150" s="25">
        <v>597.04893600000003</v>
      </c>
      <c r="M150" s="25">
        <v>601.08504395504713</v>
      </c>
      <c r="N150" s="38">
        <v>0.52322722267206245</v>
      </c>
      <c r="O150" s="38">
        <v>-8.9085864303622984</v>
      </c>
      <c r="P150" s="71">
        <v>-11.001495321050548</v>
      </c>
      <c r="Q150" s="53">
        <v>43472</v>
      </c>
      <c r="R150" s="23">
        <v>12</v>
      </c>
      <c r="S150" s="24">
        <v>597.04893600000003</v>
      </c>
      <c r="T150" s="24">
        <v>601.08504395504713</v>
      </c>
      <c r="U150" s="1">
        <v>0.52322722267206245</v>
      </c>
      <c r="V150" s="2">
        <v>-8.9085864303622984</v>
      </c>
      <c r="W150" s="2">
        <v>-11.001495321050548</v>
      </c>
      <c r="X150" s="22" t="s">
        <v>17</v>
      </c>
      <c r="Y150" s="23"/>
      <c r="Z150" s="24" t="s">
        <v>17</v>
      </c>
      <c r="AA150" s="24" t="s">
        <v>17</v>
      </c>
      <c r="AB150" s="1" t="s">
        <v>17</v>
      </c>
      <c r="AC150" s="2" t="s">
        <v>17</v>
      </c>
      <c r="AD150" s="2" t="s">
        <v>17</v>
      </c>
      <c r="AE150" s="22" t="s">
        <v>17</v>
      </c>
      <c r="AF150" s="23"/>
      <c r="AG150" s="24" t="s">
        <v>17</v>
      </c>
      <c r="AH150" s="24" t="s">
        <v>17</v>
      </c>
      <c r="AI150" s="1" t="s">
        <v>17</v>
      </c>
      <c r="AJ150" s="2" t="s">
        <v>17</v>
      </c>
      <c r="AK150" s="2" t="s">
        <v>17</v>
      </c>
      <c r="AL150" s="3"/>
      <c r="AM150" s="2"/>
      <c r="AN150" s="24" t="s">
        <v>17</v>
      </c>
      <c r="AO150" s="24" t="s">
        <v>17</v>
      </c>
      <c r="AP150" s="1" t="s">
        <v>17</v>
      </c>
      <c r="AQ150" s="2" t="s">
        <v>17</v>
      </c>
      <c r="AR150" s="2" t="s">
        <v>17</v>
      </c>
      <c r="AS150" s="3"/>
      <c r="AT150" s="2"/>
      <c r="AU150" s="4"/>
      <c r="AV150" s="2"/>
      <c r="AW150" s="1" t="s">
        <v>17</v>
      </c>
      <c r="AX150" s="2" t="s">
        <v>17</v>
      </c>
      <c r="AY150" s="2" t="s">
        <v>17</v>
      </c>
      <c r="AZ150" s="5"/>
      <c r="BA150" s="6"/>
      <c r="BB150" s="4"/>
      <c r="BC150" s="6"/>
      <c r="BD150" s="6"/>
      <c r="BE150" s="6"/>
      <c r="BF150" s="7"/>
    </row>
    <row r="151" spans="1:58" ht="18" customHeight="1">
      <c r="A151" s="106" t="s">
        <v>15</v>
      </c>
      <c r="B151" s="93" t="s">
        <v>129</v>
      </c>
      <c r="C151" s="28">
        <v>212.53</v>
      </c>
      <c r="D151" s="28">
        <v>212.65</v>
      </c>
      <c r="E151" s="28">
        <v>212.59</v>
      </c>
      <c r="F151" s="28">
        <v>212.59</v>
      </c>
      <c r="G151" s="29">
        <v>6334.0074765170102</v>
      </c>
      <c r="H151" s="29">
        <v>3846.8726983522101</v>
      </c>
      <c r="I151" s="27">
        <f t="shared" si="4"/>
        <v>1</v>
      </c>
      <c r="J151" s="27">
        <f t="shared" si="5"/>
        <v>1</v>
      </c>
      <c r="K151" s="27">
        <f t="shared" si="3"/>
        <v>1</v>
      </c>
      <c r="L151" s="25">
        <v>590.7214305</v>
      </c>
      <c r="M151" s="25">
        <v>594.67403748567256</v>
      </c>
      <c r="N151" s="38">
        <v>0.5178910353691446</v>
      </c>
      <c r="O151" s="38">
        <v>-9.0579611044632191</v>
      </c>
      <c r="P151" s="71">
        <v>-11.129525245939798</v>
      </c>
      <c r="Q151" s="53">
        <v>42704</v>
      </c>
      <c r="R151" s="23">
        <v>11</v>
      </c>
      <c r="S151" s="24">
        <v>590.7214305</v>
      </c>
      <c r="T151" s="24">
        <v>594.67403748567256</v>
      </c>
      <c r="U151" s="1">
        <v>0.5178910353691446</v>
      </c>
      <c r="V151" s="2">
        <v>-9.0579611044632191</v>
      </c>
      <c r="W151" s="2">
        <v>-11.129525245939798</v>
      </c>
      <c r="X151" s="22" t="s">
        <v>17</v>
      </c>
      <c r="Y151" s="23"/>
      <c r="Z151" s="24" t="s">
        <v>17</v>
      </c>
      <c r="AA151" s="24" t="s">
        <v>17</v>
      </c>
      <c r="AB151" s="1" t="s">
        <v>17</v>
      </c>
      <c r="AC151" s="2" t="s">
        <v>17</v>
      </c>
      <c r="AD151" s="2" t="s">
        <v>17</v>
      </c>
      <c r="AE151" s="22" t="s">
        <v>17</v>
      </c>
      <c r="AF151" s="23"/>
      <c r="AG151" s="24" t="s">
        <v>17</v>
      </c>
      <c r="AH151" s="24" t="s">
        <v>17</v>
      </c>
      <c r="AI151" s="1" t="s">
        <v>17</v>
      </c>
      <c r="AJ151" s="2" t="s">
        <v>17</v>
      </c>
      <c r="AK151" s="2" t="s">
        <v>17</v>
      </c>
      <c r="AL151" s="3"/>
      <c r="AM151" s="2"/>
      <c r="AN151" s="24" t="s">
        <v>17</v>
      </c>
      <c r="AO151" s="24" t="s">
        <v>17</v>
      </c>
      <c r="AP151" s="1" t="s">
        <v>17</v>
      </c>
      <c r="AQ151" s="2" t="s">
        <v>17</v>
      </c>
      <c r="AR151" s="2" t="s">
        <v>17</v>
      </c>
      <c r="AS151" s="3"/>
      <c r="AT151" s="2"/>
      <c r="AU151" s="4"/>
      <c r="AV151" s="2"/>
      <c r="AW151" s="1" t="s">
        <v>17</v>
      </c>
      <c r="AX151" s="2" t="s">
        <v>17</v>
      </c>
      <c r="AY151" s="2" t="s">
        <v>17</v>
      </c>
      <c r="AZ151" s="5"/>
      <c r="BA151" s="6"/>
      <c r="BB151" s="4"/>
      <c r="BC151" s="6"/>
      <c r="BD151" s="6"/>
      <c r="BE151" s="6"/>
      <c r="BF151" s="7"/>
    </row>
    <row r="152" spans="1:58" ht="18" customHeight="1">
      <c r="A152" s="106" t="s">
        <v>15</v>
      </c>
      <c r="B152" s="93" t="s">
        <v>130</v>
      </c>
      <c r="C152" s="28">
        <v>213.91</v>
      </c>
      <c r="D152" s="28">
        <v>214.03</v>
      </c>
      <c r="E152" s="28">
        <v>213.97</v>
      </c>
      <c r="F152" s="28">
        <v>213.97</v>
      </c>
      <c r="G152" s="29">
        <v>6385.0593727181504</v>
      </c>
      <c r="H152" s="29">
        <v>3901.6250366552599</v>
      </c>
      <c r="I152" s="27">
        <f t="shared" si="4"/>
        <v>1</v>
      </c>
      <c r="J152" s="27">
        <f t="shared" si="5"/>
        <v>1</v>
      </c>
      <c r="K152" s="27">
        <f t="shared" si="3"/>
        <v>1</v>
      </c>
      <c r="L152" s="25">
        <v>586.29585050000003</v>
      </c>
      <c r="M152" s="25">
        <v>590.24787800625086</v>
      </c>
      <c r="N152" s="38">
        <v>0.52172377076709076</v>
      </c>
      <c r="O152" s="38">
        <v>-11.66285086029073</v>
      </c>
      <c r="P152" s="71">
        <v>-13.749745943359093</v>
      </c>
      <c r="Q152" s="53">
        <v>43237</v>
      </c>
      <c r="R152" s="23">
        <v>6</v>
      </c>
      <c r="S152" s="24">
        <v>586.29585050000003</v>
      </c>
      <c r="T152" s="24">
        <v>590.24787800625086</v>
      </c>
      <c r="U152" s="1">
        <v>0.52172377076709076</v>
      </c>
      <c r="V152" s="2">
        <v>-11.66285086029073</v>
      </c>
      <c r="W152" s="2">
        <v>-13.749745943359093</v>
      </c>
      <c r="X152" s="22" t="s">
        <v>17</v>
      </c>
      <c r="Y152" s="23"/>
      <c r="Z152" s="24" t="s">
        <v>17</v>
      </c>
      <c r="AA152" s="24" t="s">
        <v>17</v>
      </c>
      <c r="AB152" s="1" t="s">
        <v>17</v>
      </c>
      <c r="AC152" s="2" t="s">
        <v>17</v>
      </c>
      <c r="AD152" s="2" t="s">
        <v>17</v>
      </c>
      <c r="AE152" s="22" t="s">
        <v>17</v>
      </c>
      <c r="AF152" s="23"/>
      <c r="AG152" s="24" t="s">
        <v>17</v>
      </c>
      <c r="AH152" s="24" t="s">
        <v>17</v>
      </c>
      <c r="AI152" s="1" t="s">
        <v>17</v>
      </c>
      <c r="AJ152" s="2" t="s">
        <v>17</v>
      </c>
      <c r="AK152" s="2" t="s">
        <v>17</v>
      </c>
      <c r="AL152" s="3"/>
      <c r="AM152" s="2"/>
      <c r="AN152" s="24" t="s">
        <v>17</v>
      </c>
      <c r="AO152" s="24" t="s">
        <v>17</v>
      </c>
      <c r="AP152" s="1" t="s">
        <v>17</v>
      </c>
      <c r="AQ152" s="2" t="s">
        <v>17</v>
      </c>
      <c r="AR152" s="2" t="s">
        <v>17</v>
      </c>
      <c r="AS152" s="3"/>
      <c r="AT152" s="2"/>
      <c r="AU152" s="4"/>
      <c r="AV152" s="2"/>
      <c r="AW152" s="1" t="s">
        <v>17</v>
      </c>
      <c r="AX152" s="2" t="s">
        <v>17</v>
      </c>
      <c r="AY152" s="2" t="s">
        <v>17</v>
      </c>
      <c r="AZ152" s="5"/>
      <c r="BA152" s="6"/>
      <c r="BB152" s="4"/>
      <c r="BC152" s="6"/>
      <c r="BD152" s="6"/>
      <c r="BE152" s="6"/>
      <c r="BF152" s="7"/>
    </row>
    <row r="153" spans="1:58" ht="18" customHeight="1">
      <c r="A153" s="106" t="s">
        <v>15</v>
      </c>
      <c r="B153" s="93" t="s">
        <v>131</v>
      </c>
      <c r="C153" s="28">
        <v>215.03</v>
      </c>
      <c r="D153" s="28">
        <v>215.15</v>
      </c>
      <c r="E153" s="28">
        <v>215.09</v>
      </c>
      <c r="F153" s="28">
        <v>215.09</v>
      </c>
      <c r="G153" s="29">
        <v>6426.7210054185298</v>
      </c>
      <c r="H153" s="29">
        <v>3945.4016403217202</v>
      </c>
      <c r="I153" s="27">
        <f t="shared" si="4"/>
        <v>2</v>
      </c>
      <c r="J153" s="27">
        <f t="shared" si="5"/>
        <v>2</v>
      </c>
      <c r="K153" s="27">
        <f t="shared" si="3"/>
        <v>0</v>
      </c>
      <c r="L153" s="25">
        <v>587.32689525000001</v>
      </c>
      <c r="M153" s="25">
        <v>591.30786067825954</v>
      </c>
      <c r="N153" s="38">
        <v>0.52463192964768979</v>
      </c>
      <c r="O153" s="38"/>
      <c r="P153" s="71"/>
      <c r="Q153" s="53">
        <v>42607</v>
      </c>
      <c r="R153" s="23">
        <v>3</v>
      </c>
      <c r="S153" s="24">
        <v>589.4272155000001</v>
      </c>
      <c r="T153" s="24">
        <v>593.40007795152371</v>
      </c>
      <c r="U153" s="1">
        <v>0.52168798061069666</v>
      </c>
      <c r="V153" s="2"/>
      <c r="W153" s="2"/>
      <c r="X153" s="22">
        <v>42607</v>
      </c>
      <c r="Y153" s="23">
        <v>3</v>
      </c>
      <c r="Z153" s="24">
        <v>585.22657499999991</v>
      </c>
      <c r="AA153" s="24">
        <v>589.21564340499538</v>
      </c>
      <c r="AB153" s="1">
        <v>0.52757587868468292</v>
      </c>
      <c r="AC153" s="2"/>
      <c r="AD153" s="2"/>
      <c r="AE153" s="22" t="s">
        <v>17</v>
      </c>
      <c r="AF153" s="23"/>
      <c r="AG153" s="24" t="s">
        <v>17</v>
      </c>
      <c r="AH153" s="24" t="s">
        <v>17</v>
      </c>
      <c r="AI153" s="1" t="s">
        <v>17</v>
      </c>
      <c r="AJ153" s="2" t="s">
        <v>17</v>
      </c>
      <c r="AK153" s="2" t="s">
        <v>17</v>
      </c>
      <c r="AL153" s="3"/>
      <c r="AM153" s="2"/>
      <c r="AN153" s="24" t="s">
        <v>17</v>
      </c>
      <c r="AO153" s="24" t="s">
        <v>17</v>
      </c>
      <c r="AP153" s="1" t="s">
        <v>17</v>
      </c>
      <c r="AQ153" s="2" t="s">
        <v>17</v>
      </c>
      <c r="AR153" s="2" t="s">
        <v>17</v>
      </c>
      <c r="AS153" s="3"/>
      <c r="AT153" s="2"/>
      <c r="AU153" s="4"/>
      <c r="AV153" s="2"/>
      <c r="AW153" s="1" t="s">
        <v>17</v>
      </c>
      <c r="AX153" s="2" t="s">
        <v>17</v>
      </c>
      <c r="AY153" s="2" t="s">
        <v>17</v>
      </c>
      <c r="AZ153" s="5"/>
      <c r="BA153" s="6"/>
      <c r="BB153" s="4"/>
      <c r="BC153" s="6"/>
      <c r="BD153" s="6"/>
      <c r="BE153" s="6"/>
      <c r="BF153" s="7"/>
    </row>
    <row r="154" spans="1:58" ht="18" customHeight="1">
      <c r="A154" s="106" t="s">
        <v>15</v>
      </c>
      <c r="B154" s="93" t="s">
        <v>132</v>
      </c>
      <c r="C154" s="28">
        <v>216.53</v>
      </c>
      <c r="D154" s="28">
        <v>216.65</v>
      </c>
      <c r="E154" s="28">
        <v>216.59</v>
      </c>
      <c r="F154" s="28">
        <v>216.59</v>
      </c>
      <c r="G154" s="29">
        <v>6482.0840268760203</v>
      </c>
      <c r="H154" s="29">
        <v>4008.5102186763802</v>
      </c>
      <c r="I154" s="27">
        <f t="shared" si="4"/>
        <v>1</v>
      </c>
      <c r="J154" s="27">
        <f t="shared" si="5"/>
        <v>1</v>
      </c>
      <c r="K154" s="27">
        <f t="shared" si="3"/>
        <v>1</v>
      </c>
      <c r="L154" s="25">
        <v>577.26960150000002</v>
      </c>
      <c r="M154" s="25">
        <v>581.09910023367013</v>
      </c>
      <c r="N154" s="38">
        <v>0.51345303824978927</v>
      </c>
      <c r="O154" s="38">
        <v>-8.1941560901583887</v>
      </c>
      <c r="P154" s="71">
        <v>-10.247968243157546</v>
      </c>
      <c r="Q154" s="53">
        <v>43496</v>
      </c>
      <c r="R154" s="23">
        <v>11</v>
      </c>
      <c r="S154" s="24">
        <v>577.26960150000002</v>
      </c>
      <c r="T154" s="24">
        <v>581.09910023367013</v>
      </c>
      <c r="U154" s="1">
        <v>0.51345303824978927</v>
      </c>
      <c r="V154" s="2">
        <v>-8.1941560901583887</v>
      </c>
      <c r="W154" s="2">
        <v>-10.247968243157546</v>
      </c>
      <c r="X154" s="22" t="s">
        <v>17</v>
      </c>
      <c r="Y154" s="23"/>
      <c r="Z154" s="24" t="s">
        <v>17</v>
      </c>
      <c r="AA154" s="24" t="s">
        <v>17</v>
      </c>
      <c r="AB154" s="1" t="s">
        <v>17</v>
      </c>
      <c r="AC154" s="2" t="s">
        <v>17</v>
      </c>
      <c r="AD154" s="2" t="s">
        <v>17</v>
      </c>
      <c r="AE154" s="22" t="s">
        <v>17</v>
      </c>
      <c r="AF154" s="23"/>
      <c r="AG154" s="24" t="s">
        <v>17</v>
      </c>
      <c r="AH154" s="24" t="s">
        <v>17</v>
      </c>
      <c r="AI154" s="1" t="s">
        <v>17</v>
      </c>
      <c r="AJ154" s="2" t="s">
        <v>17</v>
      </c>
      <c r="AK154" s="2" t="s">
        <v>17</v>
      </c>
      <c r="AL154" s="3"/>
      <c r="AM154" s="2"/>
      <c r="AN154" s="24" t="s">
        <v>17</v>
      </c>
      <c r="AO154" s="24" t="s">
        <v>17</v>
      </c>
      <c r="AP154" s="1" t="s">
        <v>17</v>
      </c>
      <c r="AQ154" s="2" t="s">
        <v>17</v>
      </c>
      <c r="AR154" s="2" t="s">
        <v>17</v>
      </c>
      <c r="AS154" s="3"/>
      <c r="AT154" s="2"/>
      <c r="AU154" s="4"/>
      <c r="AV154" s="2"/>
      <c r="AW154" s="1" t="s">
        <v>17</v>
      </c>
      <c r="AX154" s="2" t="s">
        <v>17</v>
      </c>
      <c r="AY154" s="2" t="s">
        <v>17</v>
      </c>
      <c r="AZ154" s="5"/>
      <c r="BA154" s="6"/>
      <c r="BB154" s="4"/>
      <c r="BC154" s="6"/>
      <c r="BD154" s="6"/>
      <c r="BE154" s="6"/>
      <c r="BF154" s="7"/>
    </row>
    <row r="155" spans="1:58" ht="18" customHeight="1">
      <c r="A155" s="106" t="s">
        <v>15</v>
      </c>
      <c r="B155" s="93" t="s">
        <v>133</v>
      </c>
      <c r="C155" s="28">
        <v>217.53</v>
      </c>
      <c r="D155" s="28">
        <v>217.65</v>
      </c>
      <c r="E155" s="28">
        <v>217.59</v>
      </c>
      <c r="F155" s="28">
        <v>217.59</v>
      </c>
      <c r="G155" s="29">
        <v>6518.1331764635897</v>
      </c>
      <c r="H155" s="29">
        <v>4048.3181348235398</v>
      </c>
      <c r="I155" s="27">
        <f t="shared" si="4"/>
        <v>1</v>
      </c>
      <c r="J155" s="27">
        <f t="shared" si="5"/>
        <v>2</v>
      </c>
      <c r="K155" s="27">
        <f t="shared" si="3"/>
        <v>1</v>
      </c>
      <c r="L155" s="25">
        <v>575.72049850000008</v>
      </c>
      <c r="M155" s="25">
        <v>579.59324380640146</v>
      </c>
      <c r="N155" s="38">
        <v>0.52616554352935552</v>
      </c>
      <c r="O155" s="38">
        <v>-8.6706143184914772</v>
      </c>
      <c r="P155" s="71">
        <v>-10.753208837962159</v>
      </c>
      <c r="Q155" s="53">
        <v>43382</v>
      </c>
      <c r="R155" s="23">
        <v>9</v>
      </c>
      <c r="S155" s="24">
        <v>575.72049850000008</v>
      </c>
      <c r="T155" s="24">
        <v>579.59324380640146</v>
      </c>
      <c r="U155" s="1">
        <v>0.52064862986767046</v>
      </c>
      <c r="V155" s="2">
        <v>-8.6706143184914772</v>
      </c>
      <c r="W155" s="2">
        <v>-10.753208837962159</v>
      </c>
      <c r="X155" s="22">
        <v>44099</v>
      </c>
      <c r="Y155" s="23" t="s">
        <v>88</v>
      </c>
      <c r="Z155" s="24"/>
      <c r="AA155" s="24"/>
      <c r="AB155" s="1">
        <v>0.53168245719104057</v>
      </c>
      <c r="AC155" s="2"/>
      <c r="AD155" s="2"/>
      <c r="AE155" s="22" t="s">
        <v>17</v>
      </c>
      <c r="AF155" s="23"/>
      <c r="AG155" s="24" t="s">
        <v>17</v>
      </c>
      <c r="AH155" s="24" t="s">
        <v>17</v>
      </c>
      <c r="AI155" s="1" t="s">
        <v>17</v>
      </c>
      <c r="AJ155" s="2" t="s">
        <v>17</v>
      </c>
      <c r="AK155" s="2" t="s">
        <v>17</v>
      </c>
      <c r="AL155" s="3"/>
      <c r="AM155" s="2"/>
      <c r="AN155" s="24" t="s">
        <v>17</v>
      </c>
      <c r="AO155" s="24" t="s">
        <v>17</v>
      </c>
      <c r="AP155" s="1" t="s">
        <v>17</v>
      </c>
      <c r="AQ155" s="2" t="s">
        <v>17</v>
      </c>
      <c r="AR155" s="2" t="s">
        <v>17</v>
      </c>
      <c r="AS155" s="3"/>
      <c r="AT155" s="2"/>
      <c r="AU155" s="4"/>
      <c r="AV155" s="2"/>
      <c r="AW155" s="1" t="s">
        <v>17</v>
      </c>
      <c r="AX155" s="2" t="s">
        <v>17</v>
      </c>
      <c r="AY155" s="2" t="s">
        <v>17</v>
      </c>
      <c r="AZ155" s="5"/>
      <c r="BA155" s="6"/>
      <c r="BB155" s="4"/>
      <c r="BC155" s="6"/>
      <c r="BD155" s="6"/>
      <c r="BE155" s="6"/>
      <c r="BF155" s="7"/>
    </row>
    <row r="156" spans="1:58" ht="18" customHeight="1">
      <c r="A156" s="106" t="s">
        <v>15</v>
      </c>
      <c r="B156" s="93" t="s">
        <v>134</v>
      </c>
      <c r="C156" s="28">
        <v>219.03</v>
      </c>
      <c r="D156" s="28">
        <v>219.15</v>
      </c>
      <c r="E156" s="28">
        <v>219.09</v>
      </c>
      <c r="F156" s="28">
        <v>219.09</v>
      </c>
      <c r="G156" s="29">
        <v>6572.4124878689399</v>
      </c>
      <c r="H156" s="29">
        <v>4104.1991050917204</v>
      </c>
      <c r="I156" s="27">
        <f t="shared" si="4"/>
        <v>1</v>
      </c>
      <c r="J156" s="27">
        <f t="shared" si="5"/>
        <v>1</v>
      </c>
      <c r="K156" s="27">
        <f t="shared" si="3"/>
        <v>1</v>
      </c>
      <c r="L156" s="25">
        <v>577.91384549999998</v>
      </c>
      <c r="M156" s="25">
        <v>581.87406641087182</v>
      </c>
      <c r="N156" s="38">
        <v>0.53038813438899268</v>
      </c>
      <c r="O156" s="38">
        <v>-10.052826122507685</v>
      </c>
      <c r="P156" s="71">
        <v>-12.174378660063656</v>
      </c>
      <c r="Q156" s="53">
        <v>42684</v>
      </c>
      <c r="R156" s="23">
        <v>11</v>
      </c>
      <c r="S156" s="24">
        <v>577.91384549999998</v>
      </c>
      <c r="T156" s="24">
        <v>581.87406641087182</v>
      </c>
      <c r="U156" s="1">
        <v>0.53038813438899268</v>
      </c>
      <c r="V156" s="2">
        <v>-10.052826122507685</v>
      </c>
      <c r="W156" s="2">
        <v>-12.174378660063656</v>
      </c>
      <c r="X156" s="22" t="s">
        <v>17</v>
      </c>
      <c r="Y156" s="23"/>
      <c r="Z156" s="24" t="s">
        <v>17</v>
      </c>
      <c r="AA156" s="24" t="s">
        <v>17</v>
      </c>
      <c r="AB156" s="1" t="s">
        <v>17</v>
      </c>
      <c r="AC156" s="2" t="s">
        <v>17</v>
      </c>
      <c r="AD156" s="2" t="s">
        <v>17</v>
      </c>
      <c r="AE156" s="22" t="s">
        <v>17</v>
      </c>
      <c r="AF156" s="23"/>
      <c r="AG156" s="24" t="s">
        <v>17</v>
      </c>
      <c r="AH156" s="24" t="s">
        <v>17</v>
      </c>
      <c r="AI156" s="1" t="s">
        <v>17</v>
      </c>
      <c r="AJ156" s="2" t="s">
        <v>17</v>
      </c>
      <c r="AK156" s="2" t="s">
        <v>17</v>
      </c>
      <c r="AL156" s="3"/>
      <c r="AM156" s="2"/>
      <c r="AN156" s="24" t="s">
        <v>17</v>
      </c>
      <c r="AO156" s="24" t="s">
        <v>17</v>
      </c>
      <c r="AP156" s="1" t="s">
        <v>17</v>
      </c>
      <c r="AQ156" s="2" t="s">
        <v>17</v>
      </c>
      <c r="AR156" s="2" t="s">
        <v>17</v>
      </c>
      <c r="AS156" s="3"/>
      <c r="AT156" s="2"/>
      <c r="AU156" s="4"/>
      <c r="AV156" s="2"/>
      <c r="AW156" s="1" t="s">
        <v>17</v>
      </c>
      <c r="AX156" s="2" t="s">
        <v>17</v>
      </c>
      <c r="AY156" s="2" t="s">
        <v>17</v>
      </c>
      <c r="AZ156" s="5"/>
      <c r="BA156" s="6"/>
      <c r="BB156" s="4"/>
      <c r="BC156" s="6"/>
      <c r="BD156" s="6"/>
      <c r="BE156" s="6"/>
      <c r="BF156" s="7"/>
    </row>
    <row r="157" spans="1:58" ht="18" customHeight="1">
      <c r="A157" s="106" t="s">
        <v>15</v>
      </c>
      <c r="B157" s="93" t="s">
        <v>135</v>
      </c>
      <c r="C157" s="28">
        <v>220.51</v>
      </c>
      <c r="D157" s="28">
        <v>220.63</v>
      </c>
      <c r="E157" s="28">
        <v>220.57</v>
      </c>
      <c r="F157" s="28">
        <v>220.57</v>
      </c>
      <c r="G157" s="29">
        <v>6625.7237782023603</v>
      </c>
      <c r="H157" s="29">
        <v>4159.0911417429297</v>
      </c>
      <c r="I157" s="27">
        <f t="shared" si="4"/>
        <v>1</v>
      </c>
      <c r="J157" s="27">
        <f t="shared" si="5"/>
        <v>1</v>
      </c>
      <c r="K157" s="27">
        <f t="shared" si="3"/>
        <v>1</v>
      </c>
      <c r="L157" s="25">
        <v>572.81811349999998</v>
      </c>
      <c r="M157" s="25">
        <v>576.65490031808361</v>
      </c>
      <c r="N157" s="38">
        <v>0.51842795645162809</v>
      </c>
      <c r="O157" s="38">
        <v>-9.9454247613336442</v>
      </c>
      <c r="P157" s="71">
        <v>-12.019136587140157</v>
      </c>
      <c r="Q157" s="53">
        <v>43216</v>
      </c>
      <c r="R157" s="23">
        <v>6</v>
      </c>
      <c r="S157" s="24">
        <v>572.81811349999998</v>
      </c>
      <c r="T157" s="24">
        <v>576.65490031808361</v>
      </c>
      <c r="U157" s="1">
        <v>0.51842795645162809</v>
      </c>
      <c r="V157" s="2">
        <v>-9.9454247613336442</v>
      </c>
      <c r="W157" s="2">
        <v>-12.019136587140157</v>
      </c>
      <c r="X157" s="22" t="s">
        <v>17</v>
      </c>
      <c r="Y157" s="23"/>
      <c r="Z157" s="24" t="s">
        <v>17</v>
      </c>
      <c r="AA157" s="24" t="s">
        <v>17</v>
      </c>
      <c r="AB157" s="1" t="s">
        <v>17</v>
      </c>
      <c r="AC157" s="2" t="s">
        <v>17</v>
      </c>
      <c r="AD157" s="2" t="s">
        <v>17</v>
      </c>
      <c r="AE157" s="22" t="s">
        <v>17</v>
      </c>
      <c r="AF157" s="23"/>
      <c r="AG157" s="24" t="s">
        <v>17</v>
      </c>
      <c r="AH157" s="24" t="s">
        <v>17</v>
      </c>
      <c r="AI157" s="1" t="s">
        <v>17</v>
      </c>
      <c r="AJ157" s="2" t="s">
        <v>17</v>
      </c>
      <c r="AK157" s="2" t="s">
        <v>17</v>
      </c>
      <c r="AL157" s="3"/>
      <c r="AM157" s="2"/>
      <c r="AN157" s="24" t="s">
        <v>17</v>
      </c>
      <c r="AO157" s="24" t="s">
        <v>17</v>
      </c>
      <c r="AP157" s="1" t="s">
        <v>17</v>
      </c>
      <c r="AQ157" s="2" t="s">
        <v>17</v>
      </c>
      <c r="AR157" s="2" t="s">
        <v>17</v>
      </c>
      <c r="AS157" s="3"/>
      <c r="AT157" s="2"/>
      <c r="AU157" s="4"/>
      <c r="AV157" s="2"/>
      <c r="AW157" s="1" t="s">
        <v>17</v>
      </c>
      <c r="AX157" s="2" t="s">
        <v>17</v>
      </c>
      <c r="AY157" s="2" t="s">
        <v>17</v>
      </c>
      <c r="AZ157" s="5"/>
      <c r="BA157" s="6"/>
      <c r="BB157" s="4"/>
      <c r="BC157" s="6"/>
      <c r="BD157" s="6"/>
      <c r="BE157" s="6"/>
      <c r="BF157" s="7"/>
    </row>
    <row r="158" spans="1:58" ht="18" customHeight="1">
      <c r="A158" s="106" t="s">
        <v>15</v>
      </c>
      <c r="B158" s="93" t="s">
        <v>136</v>
      </c>
      <c r="C158" s="28">
        <v>221.51</v>
      </c>
      <c r="D158" s="28">
        <v>221.63</v>
      </c>
      <c r="E158" s="28">
        <v>221.57</v>
      </c>
      <c r="F158" s="28">
        <v>221.57</v>
      </c>
      <c r="G158" s="29">
        <v>6661.6052134418896</v>
      </c>
      <c r="H158" s="29">
        <v>4194.0938941334898</v>
      </c>
      <c r="I158" s="27">
        <f t="shared" si="4"/>
        <v>1</v>
      </c>
      <c r="J158" s="27">
        <f t="shared" si="5"/>
        <v>1</v>
      </c>
      <c r="K158" s="27">
        <f t="shared" si="3"/>
        <v>1</v>
      </c>
      <c r="L158" s="25">
        <v>579.20358999999996</v>
      </c>
      <c r="M158" s="25">
        <v>583.04862444813512</v>
      </c>
      <c r="N158" s="38">
        <v>0.51381464237709729</v>
      </c>
      <c r="O158" s="38">
        <v>-11.195293360561799</v>
      </c>
      <c r="P158" s="71">
        <v>-13.250551930070188</v>
      </c>
      <c r="Q158" s="53">
        <v>43242</v>
      </c>
      <c r="R158" s="23">
        <v>6</v>
      </c>
      <c r="S158" s="24">
        <v>579.20358999999996</v>
      </c>
      <c r="T158" s="24">
        <v>583.04862444813512</v>
      </c>
      <c r="U158" s="1">
        <v>0.51381464237709729</v>
      </c>
      <c r="V158" s="2">
        <v>-11.195293360561799</v>
      </c>
      <c r="W158" s="2">
        <v>-13.250551930070188</v>
      </c>
      <c r="X158" s="22" t="s">
        <v>17</v>
      </c>
      <c r="Y158" s="23"/>
      <c r="Z158" s="24" t="s">
        <v>17</v>
      </c>
      <c r="AA158" s="24" t="s">
        <v>17</v>
      </c>
      <c r="AB158" s="1" t="s">
        <v>17</v>
      </c>
      <c r="AC158" s="2" t="s">
        <v>17</v>
      </c>
      <c r="AD158" s="2" t="s">
        <v>17</v>
      </c>
      <c r="AE158" s="22" t="s">
        <v>17</v>
      </c>
      <c r="AF158" s="23"/>
      <c r="AG158" s="24" t="s">
        <v>17</v>
      </c>
      <c r="AH158" s="24" t="s">
        <v>17</v>
      </c>
      <c r="AI158" s="1" t="s">
        <v>17</v>
      </c>
      <c r="AJ158" s="2" t="s">
        <v>17</v>
      </c>
      <c r="AK158" s="2" t="s">
        <v>17</v>
      </c>
      <c r="AL158" s="3"/>
      <c r="AM158" s="2"/>
      <c r="AN158" s="24" t="s">
        <v>17</v>
      </c>
      <c r="AO158" s="24" t="s">
        <v>17</v>
      </c>
      <c r="AP158" s="1" t="s">
        <v>17</v>
      </c>
      <c r="AQ158" s="2" t="s">
        <v>17</v>
      </c>
      <c r="AR158" s="2" t="s">
        <v>17</v>
      </c>
      <c r="AS158" s="3"/>
      <c r="AT158" s="2"/>
      <c r="AU158" s="4"/>
      <c r="AV158" s="2"/>
      <c r="AW158" s="1" t="s">
        <v>17</v>
      </c>
      <c r="AX158" s="2" t="s">
        <v>17</v>
      </c>
      <c r="AY158" s="2" t="s">
        <v>17</v>
      </c>
      <c r="AZ158" s="5"/>
      <c r="BA158" s="6"/>
      <c r="BB158" s="4"/>
      <c r="BC158" s="6"/>
      <c r="BD158" s="6"/>
      <c r="BE158" s="6"/>
      <c r="BF158" s="7"/>
    </row>
    <row r="159" spans="1:58" ht="18" customHeight="1">
      <c r="A159" s="106" t="s">
        <v>15</v>
      </c>
      <c r="B159" s="93" t="s">
        <v>137</v>
      </c>
      <c r="C159" s="28">
        <v>223.01</v>
      </c>
      <c r="D159" s="28">
        <v>223.13</v>
      </c>
      <c r="E159" s="28">
        <v>223.07</v>
      </c>
      <c r="F159" s="28">
        <v>223.07</v>
      </c>
      <c r="G159" s="29">
        <v>6715.1490791637098</v>
      </c>
      <c r="H159" s="29">
        <v>4242.2804340584198</v>
      </c>
      <c r="I159" s="27">
        <f t="shared" si="4"/>
        <v>2</v>
      </c>
      <c r="J159" s="27">
        <f t="shared" si="5"/>
        <v>2</v>
      </c>
      <c r="K159" s="27">
        <f t="shared" si="3"/>
        <v>0</v>
      </c>
      <c r="L159" s="25">
        <v>577.20738725000001</v>
      </c>
      <c r="M159" s="25">
        <v>581.07785757352997</v>
      </c>
      <c r="N159" s="38">
        <v>0.51900498296508779</v>
      </c>
      <c r="O159" s="38"/>
      <c r="P159" s="71"/>
      <c r="Q159" s="53">
        <v>42611</v>
      </c>
      <c r="R159" s="23">
        <v>3</v>
      </c>
      <c r="S159" s="24">
        <v>576.47258850000003</v>
      </c>
      <c r="T159" s="24">
        <v>580.35339296691632</v>
      </c>
      <c r="U159" s="1">
        <v>0.52105142335734378</v>
      </c>
      <c r="V159" s="2"/>
      <c r="W159" s="2"/>
      <c r="X159" s="22">
        <v>42611</v>
      </c>
      <c r="Y159" s="23">
        <v>3</v>
      </c>
      <c r="Z159" s="24">
        <v>577.94218599999999</v>
      </c>
      <c r="AA159" s="24">
        <v>581.80232218014362</v>
      </c>
      <c r="AB159" s="1">
        <v>0.5169585425728318</v>
      </c>
      <c r="AC159" s="2"/>
      <c r="AD159" s="2"/>
      <c r="AE159" s="22" t="s">
        <v>17</v>
      </c>
      <c r="AF159" s="23"/>
      <c r="AG159" s="24" t="s">
        <v>17</v>
      </c>
      <c r="AH159" s="24" t="s">
        <v>17</v>
      </c>
      <c r="AI159" s="1" t="s">
        <v>17</v>
      </c>
      <c r="AJ159" s="2" t="s">
        <v>17</v>
      </c>
      <c r="AK159" s="2" t="s">
        <v>17</v>
      </c>
      <c r="AL159" s="3"/>
      <c r="AM159" s="2"/>
      <c r="AN159" s="24" t="s">
        <v>17</v>
      </c>
      <c r="AO159" s="24" t="s">
        <v>17</v>
      </c>
      <c r="AP159" s="1" t="s">
        <v>17</v>
      </c>
      <c r="AQ159" s="2" t="s">
        <v>17</v>
      </c>
      <c r="AR159" s="2" t="s">
        <v>17</v>
      </c>
      <c r="AS159" s="3"/>
      <c r="AT159" s="2"/>
      <c r="AU159" s="4"/>
      <c r="AV159" s="2"/>
      <c r="AW159" s="1" t="s">
        <v>17</v>
      </c>
      <c r="AX159" s="2" t="s">
        <v>17</v>
      </c>
      <c r="AY159" s="2" t="s">
        <v>17</v>
      </c>
      <c r="AZ159" s="5"/>
      <c r="BA159" s="6"/>
      <c r="BB159" s="4"/>
      <c r="BC159" s="6"/>
      <c r="BD159" s="6"/>
      <c r="BE159" s="6"/>
      <c r="BF159" s="7"/>
    </row>
    <row r="160" spans="1:58" ht="18" customHeight="1">
      <c r="A160" s="106" t="s">
        <v>15</v>
      </c>
      <c r="B160" s="93" t="s">
        <v>138</v>
      </c>
      <c r="C160" s="28">
        <v>224.51</v>
      </c>
      <c r="D160" s="28">
        <v>224.63</v>
      </c>
      <c r="E160" s="28">
        <v>224.57</v>
      </c>
      <c r="F160" s="28">
        <v>224.57</v>
      </c>
      <c r="G160" s="29">
        <v>6768.4645805979098</v>
      </c>
      <c r="H160" s="29">
        <v>4294.3297969650002</v>
      </c>
      <c r="I160" s="27">
        <f t="shared" si="4"/>
        <v>1</v>
      </c>
      <c r="J160" s="27">
        <f t="shared" si="5"/>
        <v>1</v>
      </c>
      <c r="K160" s="27">
        <f t="shared" si="3"/>
        <v>1</v>
      </c>
      <c r="L160" s="25">
        <v>580.15810750000003</v>
      </c>
      <c r="M160" s="25">
        <v>584.08188980541286</v>
      </c>
      <c r="N160" s="38">
        <v>0.52347509571326611</v>
      </c>
      <c r="O160" s="38">
        <v>-10.133372260282547</v>
      </c>
      <c r="P160" s="71">
        <v>-12.227272643135612</v>
      </c>
      <c r="Q160" s="53">
        <v>43230</v>
      </c>
      <c r="R160" s="23">
        <v>6</v>
      </c>
      <c r="S160" s="24">
        <v>580.15810750000003</v>
      </c>
      <c r="T160" s="24">
        <v>584.08188980541286</v>
      </c>
      <c r="U160" s="1">
        <v>0.52347509571326611</v>
      </c>
      <c r="V160" s="2">
        <v>-10.133372260282547</v>
      </c>
      <c r="W160" s="2">
        <v>-12.227272643135612</v>
      </c>
      <c r="X160" s="22" t="s">
        <v>17</v>
      </c>
      <c r="Y160" s="23"/>
      <c r="Z160" s="24" t="s">
        <v>17</v>
      </c>
      <c r="AA160" s="24" t="s">
        <v>17</v>
      </c>
      <c r="AB160" s="1" t="s">
        <v>17</v>
      </c>
      <c r="AC160" s="2" t="s">
        <v>17</v>
      </c>
      <c r="AD160" s="2" t="s">
        <v>17</v>
      </c>
      <c r="AE160" s="22" t="s">
        <v>17</v>
      </c>
      <c r="AF160" s="23"/>
      <c r="AG160" s="24" t="s">
        <v>17</v>
      </c>
      <c r="AH160" s="24" t="s">
        <v>17</v>
      </c>
      <c r="AI160" s="1" t="s">
        <v>17</v>
      </c>
      <c r="AJ160" s="2" t="s">
        <v>17</v>
      </c>
      <c r="AK160" s="2" t="s">
        <v>17</v>
      </c>
      <c r="AL160" s="3"/>
      <c r="AM160" s="2"/>
      <c r="AN160" s="24" t="s">
        <v>17</v>
      </c>
      <c r="AO160" s="24" t="s">
        <v>17</v>
      </c>
      <c r="AP160" s="1" t="s">
        <v>17</v>
      </c>
      <c r="AQ160" s="2" t="s">
        <v>17</v>
      </c>
      <c r="AR160" s="2" t="s">
        <v>17</v>
      </c>
      <c r="AS160" s="3"/>
      <c r="AT160" s="2"/>
      <c r="AU160" s="4"/>
      <c r="AV160" s="2"/>
      <c r="AW160" s="1" t="s">
        <v>17</v>
      </c>
      <c r="AX160" s="2" t="s">
        <v>17</v>
      </c>
      <c r="AY160" s="2" t="s">
        <v>17</v>
      </c>
      <c r="AZ160" s="5"/>
      <c r="BA160" s="6"/>
      <c r="BB160" s="4"/>
      <c r="BC160" s="6"/>
      <c r="BD160" s="6"/>
      <c r="BE160" s="6"/>
      <c r="BF160" s="7"/>
    </row>
    <row r="161" spans="1:58" ht="18" customHeight="1">
      <c r="A161" s="106" t="s">
        <v>15</v>
      </c>
      <c r="B161" s="93" t="s">
        <v>139</v>
      </c>
      <c r="C161" s="28">
        <v>226.01</v>
      </c>
      <c r="D161" s="28">
        <v>226.13</v>
      </c>
      <c r="E161" s="28">
        <v>226.07</v>
      </c>
      <c r="F161" s="28">
        <v>226.07</v>
      </c>
      <c r="G161" s="29">
        <v>6824.5401688584798</v>
      </c>
      <c r="H161" s="29">
        <v>4353.1198166687</v>
      </c>
      <c r="I161" s="27">
        <f t="shared" si="4"/>
        <v>1</v>
      </c>
      <c r="J161" s="27">
        <f t="shared" si="5"/>
        <v>1</v>
      </c>
      <c r="K161" s="27">
        <f t="shared" si="3"/>
        <v>1</v>
      </c>
      <c r="L161" s="25">
        <v>582.62197149999997</v>
      </c>
      <c r="M161" s="25">
        <v>586.5956273913481</v>
      </c>
      <c r="N161" s="38">
        <v>0.52788689848148884</v>
      </c>
      <c r="O161" s="38">
        <v>-7.1839254750271087</v>
      </c>
      <c r="P161" s="71">
        <v>-9.2954730689530649</v>
      </c>
      <c r="Q161" s="53">
        <v>42704</v>
      </c>
      <c r="R161" s="23">
        <v>12</v>
      </c>
      <c r="S161" s="24">
        <v>582.62197149999997</v>
      </c>
      <c r="T161" s="24">
        <v>586.5956273913481</v>
      </c>
      <c r="U161" s="1">
        <v>0.52788689848148884</v>
      </c>
      <c r="V161" s="2">
        <v>-7.1839254750271087</v>
      </c>
      <c r="W161" s="2">
        <v>-9.2954730689530649</v>
      </c>
      <c r="X161" s="22" t="s">
        <v>17</v>
      </c>
      <c r="Y161" s="23"/>
      <c r="Z161" s="24" t="s">
        <v>17</v>
      </c>
      <c r="AA161" s="24" t="s">
        <v>17</v>
      </c>
      <c r="AB161" s="1" t="s">
        <v>17</v>
      </c>
      <c r="AC161" s="2" t="s">
        <v>17</v>
      </c>
      <c r="AD161" s="2" t="s">
        <v>17</v>
      </c>
      <c r="AE161" s="22" t="s">
        <v>17</v>
      </c>
      <c r="AF161" s="23"/>
      <c r="AG161" s="24" t="s">
        <v>17</v>
      </c>
      <c r="AH161" s="24" t="s">
        <v>17</v>
      </c>
      <c r="AI161" s="1" t="s">
        <v>17</v>
      </c>
      <c r="AJ161" s="2" t="s">
        <v>17</v>
      </c>
      <c r="AK161" s="2" t="s">
        <v>17</v>
      </c>
      <c r="AL161" s="3"/>
      <c r="AM161" s="2"/>
      <c r="AN161" s="24" t="s">
        <v>17</v>
      </c>
      <c r="AO161" s="24" t="s">
        <v>17</v>
      </c>
      <c r="AP161" s="1" t="s">
        <v>17</v>
      </c>
      <c r="AQ161" s="2" t="s">
        <v>17</v>
      </c>
      <c r="AR161" s="2" t="s">
        <v>17</v>
      </c>
      <c r="AS161" s="3"/>
      <c r="AT161" s="2"/>
      <c r="AU161" s="4"/>
      <c r="AV161" s="2"/>
      <c r="AW161" s="1" t="s">
        <v>17</v>
      </c>
      <c r="AX161" s="2" t="s">
        <v>17</v>
      </c>
      <c r="AY161" s="2" t="s">
        <v>17</v>
      </c>
      <c r="AZ161" s="5"/>
      <c r="BA161" s="6"/>
      <c r="BB161" s="4"/>
      <c r="BC161" s="6"/>
      <c r="BD161" s="6"/>
      <c r="BE161" s="6"/>
      <c r="BF161" s="7"/>
    </row>
    <row r="162" spans="1:58" ht="18" customHeight="1">
      <c r="A162" s="106" t="s">
        <v>15</v>
      </c>
      <c r="B162" s="93" t="s">
        <v>140</v>
      </c>
      <c r="C162" s="28">
        <v>227.51</v>
      </c>
      <c r="D162" s="28">
        <v>227.63</v>
      </c>
      <c r="E162" s="28">
        <v>227.57</v>
      </c>
      <c r="F162" s="28">
        <v>227.57</v>
      </c>
      <c r="G162" s="29">
        <v>6884.7495155909</v>
      </c>
      <c r="H162" s="29">
        <v>4412.2110370588998</v>
      </c>
      <c r="I162" s="27">
        <f t="shared" si="4"/>
        <v>1</v>
      </c>
      <c r="J162" s="27">
        <f t="shared" si="5"/>
        <v>1</v>
      </c>
      <c r="K162" s="27">
        <f t="shared" si="3"/>
        <v>1</v>
      </c>
      <c r="L162" s="25">
        <v>583.66401199999996</v>
      </c>
      <c r="M162" s="25">
        <v>587.6069159422899</v>
      </c>
      <c r="N162" s="38">
        <v>0.52286643930798959</v>
      </c>
      <c r="O162" s="38">
        <v>-8.517254006418451</v>
      </c>
      <c r="P162" s="71">
        <v>-10.608719763650409</v>
      </c>
      <c r="Q162" s="53">
        <v>43269</v>
      </c>
      <c r="R162" s="23">
        <v>7</v>
      </c>
      <c r="S162" s="24">
        <v>583.66401199999996</v>
      </c>
      <c r="T162" s="24">
        <v>587.6069159422899</v>
      </c>
      <c r="U162" s="1">
        <v>0.52286643930798959</v>
      </c>
      <c r="V162" s="2">
        <v>-8.517254006418451</v>
      </c>
      <c r="W162" s="2">
        <v>-10.608719763650409</v>
      </c>
      <c r="X162" s="22" t="s">
        <v>17</v>
      </c>
      <c r="Y162" s="23"/>
      <c r="Z162" s="24" t="s">
        <v>17</v>
      </c>
      <c r="AA162" s="24" t="s">
        <v>17</v>
      </c>
      <c r="AB162" s="1" t="s">
        <v>17</v>
      </c>
      <c r="AC162" s="2" t="s">
        <v>17</v>
      </c>
      <c r="AD162" s="2" t="s">
        <v>17</v>
      </c>
      <c r="AE162" s="22" t="s">
        <v>17</v>
      </c>
      <c r="AF162" s="23"/>
      <c r="AG162" s="24" t="s">
        <v>17</v>
      </c>
      <c r="AH162" s="24" t="s">
        <v>17</v>
      </c>
      <c r="AI162" s="1" t="s">
        <v>17</v>
      </c>
      <c r="AJ162" s="2" t="s">
        <v>17</v>
      </c>
      <c r="AK162" s="2" t="s">
        <v>17</v>
      </c>
      <c r="AL162" s="3"/>
      <c r="AM162" s="2"/>
      <c r="AN162" s="24" t="s">
        <v>17</v>
      </c>
      <c r="AO162" s="24" t="s">
        <v>17</v>
      </c>
      <c r="AP162" s="1" t="s">
        <v>17</v>
      </c>
      <c r="AQ162" s="2" t="s">
        <v>17</v>
      </c>
      <c r="AR162" s="2" t="s">
        <v>17</v>
      </c>
      <c r="AS162" s="3"/>
      <c r="AT162" s="2"/>
      <c r="AU162" s="4"/>
      <c r="AV162" s="2"/>
      <c r="AW162" s="1" t="s">
        <v>17</v>
      </c>
      <c r="AX162" s="2" t="s">
        <v>17</v>
      </c>
      <c r="AY162" s="2" t="s">
        <v>17</v>
      </c>
      <c r="AZ162" s="5"/>
      <c r="BA162" s="6"/>
      <c r="BB162" s="4"/>
      <c r="BC162" s="6"/>
      <c r="BD162" s="6"/>
      <c r="BE162" s="6"/>
      <c r="BF162" s="7"/>
    </row>
    <row r="163" spans="1:58" ht="18" customHeight="1">
      <c r="A163" s="106" t="s">
        <v>15</v>
      </c>
      <c r="B163" s="93" t="s">
        <v>141</v>
      </c>
      <c r="C163" s="28">
        <v>229.01</v>
      </c>
      <c r="D163" s="28">
        <v>229.13</v>
      </c>
      <c r="E163" s="28">
        <v>229.07</v>
      </c>
      <c r="F163" s="28">
        <v>229.07</v>
      </c>
      <c r="G163" s="29">
        <v>6945.3788597542198</v>
      </c>
      <c r="H163" s="29">
        <v>4468.41703458759</v>
      </c>
      <c r="I163" s="27">
        <f t="shared" si="4"/>
        <v>2</v>
      </c>
      <c r="J163" s="27">
        <f t="shared" si="5"/>
        <v>2</v>
      </c>
      <c r="K163" s="27">
        <f t="shared" si="3"/>
        <v>0</v>
      </c>
      <c r="L163" s="25">
        <v>577.76254712499997</v>
      </c>
      <c r="M163" s="25">
        <v>581.71298752841733</v>
      </c>
      <c r="N163" s="38">
        <v>0.5292151293172509</v>
      </c>
      <c r="O163" s="38"/>
      <c r="P163" s="71"/>
      <c r="Q163" s="53">
        <v>42619</v>
      </c>
      <c r="R163" s="23">
        <v>3</v>
      </c>
      <c r="S163" s="24">
        <v>577.08858899999996</v>
      </c>
      <c r="T163" s="24">
        <v>581.0237879365377</v>
      </c>
      <c r="U163" s="1">
        <v>0.52779064919672436</v>
      </c>
      <c r="V163" s="2"/>
      <c r="W163" s="2"/>
      <c r="X163" s="22">
        <v>42619</v>
      </c>
      <c r="Y163" s="23">
        <v>3</v>
      </c>
      <c r="Z163" s="24">
        <v>578.43650524999998</v>
      </c>
      <c r="AA163" s="24">
        <v>582.40218712029696</v>
      </c>
      <c r="AB163" s="1">
        <v>0.53063960943777744</v>
      </c>
      <c r="AC163" s="2"/>
      <c r="AD163" s="2"/>
      <c r="AE163" s="22" t="s">
        <v>17</v>
      </c>
      <c r="AF163" s="23"/>
      <c r="AG163" s="24" t="s">
        <v>17</v>
      </c>
      <c r="AH163" s="24" t="s">
        <v>17</v>
      </c>
      <c r="AI163" s="1" t="s">
        <v>17</v>
      </c>
      <c r="AJ163" s="2" t="s">
        <v>17</v>
      </c>
      <c r="AK163" s="2" t="s">
        <v>17</v>
      </c>
      <c r="AL163" s="3"/>
      <c r="AM163" s="2"/>
      <c r="AN163" s="24" t="s">
        <v>17</v>
      </c>
      <c r="AO163" s="24" t="s">
        <v>17</v>
      </c>
      <c r="AP163" s="1" t="s">
        <v>17</v>
      </c>
      <c r="AQ163" s="2" t="s">
        <v>17</v>
      </c>
      <c r="AR163" s="2" t="s">
        <v>17</v>
      </c>
      <c r="AS163" s="3"/>
      <c r="AT163" s="2"/>
      <c r="AU163" s="4"/>
      <c r="AV163" s="2"/>
      <c r="AW163" s="1" t="s">
        <v>17</v>
      </c>
      <c r="AX163" s="2" t="s">
        <v>17</v>
      </c>
      <c r="AY163" s="2" t="s">
        <v>17</v>
      </c>
      <c r="AZ163" s="5"/>
      <c r="BA163" s="6"/>
      <c r="BB163" s="4"/>
      <c r="BC163" s="6"/>
      <c r="BD163" s="6"/>
      <c r="BE163" s="6"/>
      <c r="BF163" s="7"/>
    </row>
    <row r="164" spans="1:58" ht="18" customHeight="1">
      <c r="A164" s="106" t="s">
        <v>15</v>
      </c>
      <c r="B164" s="93" t="s">
        <v>142</v>
      </c>
      <c r="C164" s="28">
        <v>230.01</v>
      </c>
      <c r="D164" s="28">
        <v>230.13</v>
      </c>
      <c r="E164" s="28">
        <v>230.07</v>
      </c>
      <c r="F164" s="28">
        <v>230.07</v>
      </c>
      <c r="G164" s="29">
        <v>6983.7578796860798</v>
      </c>
      <c r="H164" s="29">
        <v>4504.9646269063096</v>
      </c>
      <c r="I164" s="27">
        <f t="shared" si="4"/>
        <v>1</v>
      </c>
      <c r="J164" s="27">
        <f t="shared" si="5"/>
        <v>1</v>
      </c>
      <c r="K164" s="27">
        <f t="shared" si="3"/>
        <v>1</v>
      </c>
      <c r="L164" s="25">
        <v>575.07838100000004</v>
      </c>
      <c r="M164" s="25">
        <v>578.96895850293015</v>
      </c>
      <c r="N164" s="38">
        <v>0.52362999488320128</v>
      </c>
      <c r="O164" s="38">
        <v>-12.09726924509058</v>
      </c>
      <c r="P164" s="71">
        <v>-14.191789224623385</v>
      </c>
      <c r="Q164" s="53">
        <v>43235</v>
      </c>
      <c r="R164" s="23">
        <v>6</v>
      </c>
      <c r="S164" s="24">
        <v>575.07838100000004</v>
      </c>
      <c r="T164" s="24">
        <v>578.96895850293015</v>
      </c>
      <c r="U164" s="1">
        <v>0.52362999488320128</v>
      </c>
      <c r="V164" s="2">
        <v>-12.09726924509058</v>
      </c>
      <c r="W164" s="2">
        <v>-14.191789224623385</v>
      </c>
      <c r="X164" s="22" t="s">
        <v>17</v>
      </c>
      <c r="Y164" s="23"/>
      <c r="Z164" s="24" t="s">
        <v>17</v>
      </c>
      <c r="AA164" s="24" t="s">
        <v>17</v>
      </c>
      <c r="AB164" s="1" t="s">
        <v>17</v>
      </c>
      <c r="AC164" s="2" t="s">
        <v>17</v>
      </c>
      <c r="AD164" s="2" t="s">
        <v>17</v>
      </c>
      <c r="AE164" s="22" t="s">
        <v>17</v>
      </c>
      <c r="AF164" s="23"/>
      <c r="AG164" s="24" t="s">
        <v>17</v>
      </c>
      <c r="AH164" s="24" t="s">
        <v>17</v>
      </c>
      <c r="AI164" s="1" t="s">
        <v>17</v>
      </c>
      <c r="AJ164" s="2" t="s">
        <v>17</v>
      </c>
      <c r="AK164" s="2" t="s">
        <v>17</v>
      </c>
      <c r="AL164" s="3"/>
      <c r="AM164" s="2"/>
      <c r="AN164" s="24" t="s">
        <v>17</v>
      </c>
      <c r="AO164" s="24" t="s">
        <v>17</v>
      </c>
      <c r="AP164" s="1" t="s">
        <v>17</v>
      </c>
      <c r="AQ164" s="2" t="s">
        <v>17</v>
      </c>
      <c r="AR164" s="2" t="s">
        <v>17</v>
      </c>
      <c r="AS164" s="3"/>
      <c r="AT164" s="2"/>
      <c r="AU164" s="4"/>
      <c r="AV164" s="2"/>
      <c r="AW164" s="1" t="s">
        <v>17</v>
      </c>
      <c r="AX164" s="2" t="s">
        <v>17</v>
      </c>
      <c r="AY164" s="2" t="s">
        <v>17</v>
      </c>
      <c r="AZ164" s="5"/>
      <c r="BA164" s="6"/>
      <c r="BB164" s="4"/>
      <c r="BC164" s="6"/>
      <c r="BD164" s="6"/>
      <c r="BE164" s="6"/>
      <c r="BF164" s="7"/>
    </row>
    <row r="165" spans="1:58" ht="18" customHeight="1">
      <c r="A165" s="106" t="s">
        <v>15</v>
      </c>
      <c r="B165" s="93" t="s">
        <v>143</v>
      </c>
      <c r="C165" s="28">
        <v>231.51</v>
      </c>
      <c r="D165" s="28">
        <v>231.63</v>
      </c>
      <c r="E165" s="28">
        <v>231.57</v>
      </c>
      <c r="F165" s="28">
        <v>231.57</v>
      </c>
      <c r="G165" s="29">
        <v>7038.2931478382598</v>
      </c>
      <c r="H165" s="29">
        <v>4558.9949779401504</v>
      </c>
      <c r="I165" s="27">
        <f t="shared" si="4"/>
        <v>1</v>
      </c>
      <c r="J165" s="27">
        <f t="shared" si="5"/>
        <v>1</v>
      </c>
      <c r="K165" s="27">
        <f t="shared" si="3"/>
        <v>1</v>
      </c>
      <c r="L165" s="25">
        <v>571.98549400000002</v>
      </c>
      <c r="M165" s="25">
        <v>575.89814516281194</v>
      </c>
      <c r="N165" s="38">
        <v>0.52944835224688624</v>
      </c>
      <c r="O165" s="38">
        <v>-8.7551363929446744</v>
      </c>
      <c r="P165" s="71">
        <v>-10.872929801932219</v>
      </c>
      <c r="Q165" s="22">
        <v>42674</v>
      </c>
      <c r="R165" s="23">
        <v>8</v>
      </c>
      <c r="S165" s="24">
        <v>571.98549400000002</v>
      </c>
      <c r="T165" s="24">
        <v>575.89814516281194</v>
      </c>
      <c r="U165" s="1">
        <v>0.52944835224688624</v>
      </c>
      <c r="V165" s="2">
        <v>-8.7551363929446744</v>
      </c>
      <c r="W165" s="2">
        <v>-10.872929801932219</v>
      </c>
      <c r="X165" s="22"/>
      <c r="Y165" s="23"/>
      <c r="Z165" s="24"/>
      <c r="AA165" s="24"/>
      <c r="AB165" s="1"/>
      <c r="AC165" s="2"/>
      <c r="AD165" s="2"/>
      <c r="AE165" s="22" t="s">
        <v>17</v>
      </c>
      <c r="AF165" s="23"/>
      <c r="AG165" s="24" t="s">
        <v>17</v>
      </c>
      <c r="AH165" s="24" t="s">
        <v>17</v>
      </c>
      <c r="AI165" s="1" t="s">
        <v>17</v>
      </c>
      <c r="AJ165" s="2" t="s">
        <v>17</v>
      </c>
      <c r="AK165" s="2" t="s">
        <v>17</v>
      </c>
      <c r="AL165" s="3"/>
      <c r="AM165" s="2"/>
      <c r="AN165" s="24" t="s">
        <v>17</v>
      </c>
      <c r="AO165" s="24" t="s">
        <v>17</v>
      </c>
      <c r="AP165" s="1" t="s">
        <v>17</v>
      </c>
      <c r="AQ165" s="2" t="s">
        <v>17</v>
      </c>
      <c r="AR165" s="2" t="s">
        <v>17</v>
      </c>
      <c r="AS165" s="3"/>
      <c r="AT165" s="2"/>
      <c r="AU165" s="4"/>
      <c r="AV165" s="2"/>
      <c r="AW165" s="1" t="s">
        <v>17</v>
      </c>
      <c r="AX165" s="2" t="s">
        <v>17</v>
      </c>
      <c r="AY165" s="2" t="s">
        <v>17</v>
      </c>
      <c r="AZ165" s="5"/>
      <c r="BA165" s="6"/>
      <c r="BB165" s="4"/>
      <c r="BC165" s="6"/>
      <c r="BD165" s="6"/>
      <c r="BE165" s="6"/>
      <c r="BF165" s="7"/>
    </row>
    <row r="166" spans="1:58" ht="18" customHeight="1">
      <c r="A166" s="106" t="s">
        <v>15</v>
      </c>
      <c r="B166" s="93" t="s">
        <v>144</v>
      </c>
      <c r="C166" s="28">
        <v>233.39</v>
      </c>
      <c r="D166" s="28">
        <v>233.51</v>
      </c>
      <c r="E166" s="28">
        <v>233.45</v>
      </c>
      <c r="F166" s="28">
        <v>233.45</v>
      </c>
      <c r="G166" s="29">
        <v>7103.0434485717497</v>
      </c>
      <c r="H166" s="29">
        <v>4626.0864429032999</v>
      </c>
      <c r="I166" s="27">
        <f t="shared" si="4"/>
        <v>1</v>
      </c>
      <c r="J166" s="27">
        <f t="shared" si="5"/>
        <v>1</v>
      </c>
      <c r="K166" s="27">
        <f t="shared" si="3"/>
        <v>1</v>
      </c>
      <c r="L166" s="25">
        <v>571.1687414999999</v>
      </c>
      <c r="M166" s="25">
        <v>575.06698142720279</v>
      </c>
      <c r="N166" s="38">
        <v>0.52825257173960694</v>
      </c>
      <c r="O166" s="38">
        <v>-10.017581908163709</v>
      </c>
      <c r="P166" s="71">
        <v>-12.130592195122137</v>
      </c>
      <c r="Q166" s="53">
        <v>43398</v>
      </c>
      <c r="R166" s="23">
        <v>9</v>
      </c>
      <c r="S166" s="24">
        <v>571.1687414999999</v>
      </c>
      <c r="T166" s="24">
        <v>575.06698142720279</v>
      </c>
      <c r="U166" s="1">
        <v>0.52825257173960694</v>
      </c>
      <c r="V166" s="2">
        <v>-10.017581908163709</v>
      </c>
      <c r="W166" s="2">
        <v>-12.130592195122137</v>
      </c>
      <c r="X166" s="22" t="s">
        <v>17</v>
      </c>
      <c r="Y166" s="23"/>
      <c r="Z166" s="24" t="s">
        <v>17</v>
      </c>
      <c r="AA166" s="24" t="s">
        <v>17</v>
      </c>
      <c r="AB166" s="1" t="s">
        <v>17</v>
      </c>
      <c r="AC166" s="2" t="s">
        <v>17</v>
      </c>
      <c r="AD166" s="2" t="s">
        <v>17</v>
      </c>
      <c r="AE166" s="22" t="s">
        <v>17</v>
      </c>
      <c r="AF166" s="23"/>
      <c r="AG166" s="24" t="s">
        <v>17</v>
      </c>
      <c r="AH166" s="24" t="s">
        <v>17</v>
      </c>
      <c r="AI166" s="1" t="s">
        <v>17</v>
      </c>
      <c r="AJ166" s="2" t="s">
        <v>17</v>
      </c>
      <c r="AK166" s="2" t="s">
        <v>17</v>
      </c>
      <c r="AL166" s="3"/>
      <c r="AM166" s="2"/>
      <c r="AN166" s="24" t="s">
        <v>17</v>
      </c>
      <c r="AO166" s="24" t="s">
        <v>17</v>
      </c>
      <c r="AP166" s="1" t="s">
        <v>17</v>
      </c>
      <c r="AQ166" s="2" t="s">
        <v>17</v>
      </c>
      <c r="AR166" s="2" t="s">
        <v>17</v>
      </c>
      <c r="AS166" s="3"/>
      <c r="AT166" s="2"/>
      <c r="AU166" s="4"/>
      <c r="AV166" s="2"/>
      <c r="AW166" s="1" t="s">
        <v>17</v>
      </c>
      <c r="AX166" s="2" t="s">
        <v>17</v>
      </c>
      <c r="AY166" s="2" t="s">
        <v>17</v>
      </c>
      <c r="AZ166" s="5"/>
      <c r="BA166" s="6"/>
      <c r="BB166" s="4"/>
      <c r="BC166" s="6"/>
      <c r="BD166" s="6"/>
      <c r="BE166" s="6"/>
      <c r="BF166" s="7"/>
    </row>
    <row r="167" spans="1:58" ht="18" customHeight="1">
      <c r="A167" s="106" t="s">
        <v>15</v>
      </c>
      <c r="B167" s="93" t="s">
        <v>145</v>
      </c>
      <c r="C167" s="28">
        <v>234.01</v>
      </c>
      <c r="D167" s="28">
        <v>234.13</v>
      </c>
      <c r="E167" s="28">
        <v>234.07</v>
      </c>
      <c r="F167" s="28">
        <v>234.07</v>
      </c>
      <c r="G167" s="29">
        <v>7123.8141457926004</v>
      </c>
      <c r="H167" s="29">
        <v>4648.6120409914702</v>
      </c>
      <c r="I167" s="27">
        <f t="shared" si="4"/>
        <v>1</v>
      </c>
      <c r="J167" s="27">
        <f t="shared" si="5"/>
        <v>1</v>
      </c>
      <c r="K167" s="27">
        <f t="shared" ref="K167:K230" si="6">COUNT(V167,AC167,AJ167,AQ167,AX167,BF167)</f>
        <v>1</v>
      </c>
      <c r="L167" s="25">
        <v>570.62850000000003</v>
      </c>
      <c r="M167" s="25">
        <v>574.53107509504855</v>
      </c>
      <c r="N167" s="38">
        <v>0.52934071099075553</v>
      </c>
      <c r="O167" s="38">
        <v>-6.2979940340784912</v>
      </c>
      <c r="P167" s="71">
        <v>-8.4153568780415142</v>
      </c>
      <c r="Q167" s="53">
        <v>42702</v>
      </c>
      <c r="R167" s="23">
        <v>12</v>
      </c>
      <c r="S167" s="24">
        <v>570.62850000000003</v>
      </c>
      <c r="T167" s="24">
        <v>574.53107509504855</v>
      </c>
      <c r="U167" s="1">
        <v>0.52934071099075553</v>
      </c>
      <c r="V167" s="2">
        <v>-6.2979940340784912</v>
      </c>
      <c r="W167" s="2">
        <v>-8.4153568780415142</v>
      </c>
      <c r="X167" s="22" t="s">
        <v>17</v>
      </c>
      <c r="Y167" s="23"/>
      <c r="Z167" s="24" t="s">
        <v>17</v>
      </c>
      <c r="AA167" s="24" t="s">
        <v>17</v>
      </c>
      <c r="AB167" s="1" t="s">
        <v>17</v>
      </c>
      <c r="AC167" s="2" t="s">
        <v>17</v>
      </c>
      <c r="AD167" s="2" t="s">
        <v>17</v>
      </c>
      <c r="AE167" s="22" t="s">
        <v>17</v>
      </c>
      <c r="AF167" s="23"/>
      <c r="AG167" s="24" t="s">
        <v>17</v>
      </c>
      <c r="AH167" s="24" t="s">
        <v>17</v>
      </c>
      <c r="AI167" s="1" t="s">
        <v>17</v>
      </c>
      <c r="AJ167" s="2" t="s">
        <v>17</v>
      </c>
      <c r="AK167" s="2" t="s">
        <v>17</v>
      </c>
      <c r="AL167" s="3"/>
      <c r="AM167" s="2"/>
      <c r="AN167" s="24" t="s">
        <v>17</v>
      </c>
      <c r="AO167" s="24" t="s">
        <v>17</v>
      </c>
      <c r="AP167" s="1" t="s">
        <v>17</v>
      </c>
      <c r="AQ167" s="2" t="s">
        <v>17</v>
      </c>
      <c r="AR167" s="2" t="s">
        <v>17</v>
      </c>
      <c r="AS167" s="3"/>
      <c r="AT167" s="2"/>
      <c r="AU167" s="4"/>
      <c r="AV167" s="2"/>
      <c r="AW167" s="1" t="s">
        <v>17</v>
      </c>
      <c r="AX167" s="2" t="s">
        <v>17</v>
      </c>
      <c r="AY167" s="2" t="s">
        <v>17</v>
      </c>
      <c r="AZ167" s="5"/>
      <c r="BA167" s="6"/>
      <c r="BB167" s="4"/>
      <c r="BC167" s="6"/>
      <c r="BD167" s="6"/>
      <c r="BE167" s="6"/>
      <c r="BF167" s="7"/>
    </row>
    <row r="168" spans="1:58" ht="18" customHeight="1">
      <c r="A168" s="106" t="s">
        <v>15</v>
      </c>
      <c r="B168" s="93" t="s">
        <v>146</v>
      </c>
      <c r="C168" s="28">
        <v>235.51</v>
      </c>
      <c r="D168" s="28">
        <v>235.63</v>
      </c>
      <c r="E168" s="28">
        <v>235.57</v>
      </c>
      <c r="F168" s="28">
        <v>235.57</v>
      </c>
      <c r="G168" s="29">
        <v>7175.0556889416703</v>
      </c>
      <c r="H168" s="29">
        <v>4709.2647741622404</v>
      </c>
      <c r="I168" s="27">
        <f t="shared" ref="I168:I231" si="7">COUNT(T168,AA168,AH168,AO168,AV168,BC168)</f>
        <v>1</v>
      </c>
      <c r="J168" s="27">
        <f t="shared" ref="J168:J231" si="8">COUNT(U168,AB168,AI168,AP168,AW168,BD168)</f>
        <v>1</v>
      </c>
      <c r="K168" s="27">
        <f t="shared" si="6"/>
        <v>1</v>
      </c>
      <c r="L168" s="25">
        <v>574.0571625</v>
      </c>
      <c r="M168" s="25">
        <v>577.98527304732272</v>
      </c>
      <c r="N168" s="38">
        <v>0.52962203758966098</v>
      </c>
      <c r="O168" s="38">
        <v>-8.4241750728371034</v>
      </c>
      <c r="P168" s="71">
        <v>-10.542663223195747</v>
      </c>
      <c r="Q168" s="53">
        <v>43244</v>
      </c>
      <c r="R168" s="23">
        <v>6</v>
      </c>
      <c r="S168" s="24">
        <v>574.0571625</v>
      </c>
      <c r="T168" s="24">
        <v>577.98527304732272</v>
      </c>
      <c r="U168" s="1">
        <v>0.52962203758966098</v>
      </c>
      <c r="V168" s="2">
        <v>-8.4241750728371034</v>
      </c>
      <c r="W168" s="2">
        <v>-10.542663223195747</v>
      </c>
      <c r="X168" s="22" t="s">
        <v>17</v>
      </c>
      <c r="Y168" s="23"/>
      <c r="Z168" s="24" t="s">
        <v>17</v>
      </c>
      <c r="AA168" s="24" t="s">
        <v>17</v>
      </c>
      <c r="AB168" s="1" t="s">
        <v>17</v>
      </c>
      <c r="AC168" s="2" t="s">
        <v>17</v>
      </c>
      <c r="AD168" s="2" t="s">
        <v>17</v>
      </c>
      <c r="AE168" s="22" t="s">
        <v>17</v>
      </c>
      <c r="AF168" s="23"/>
      <c r="AG168" s="24" t="s">
        <v>17</v>
      </c>
      <c r="AH168" s="24" t="s">
        <v>17</v>
      </c>
      <c r="AI168" s="1" t="s">
        <v>17</v>
      </c>
      <c r="AJ168" s="2" t="s">
        <v>17</v>
      </c>
      <c r="AK168" s="2" t="s">
        <v>17</v>
      </c>
      <c r="AL168" s="3"/>
      <c r="AM168" s="2"/>
      <c r="AN168" s="24" t="s">
        <v>17</v>
      </c>
      <c r="AO168" s="24" t="s">
        <v>17</v>
      </c>
      <c r="AP168" s="1" t="s">
        <v>17</v>
      </c>
      <c r="AQ168" s="2" t="s">
        <v>17</v>
      </c>
      <c r="AR168" s="2" t="s">
        <v>17</v>
      </c>
      <c r="AS168" s="3"/>
      <c r="AT168" s="2"/>
      <c r="AU168" s="4"/>
      <c r="AV168" s="2"/>
      <c r="AW168" s="1" t="s">
        <v>17</v>
      </c>
      <c r="AX168" s="2" t="s">
        <v>17</v>
      </c>
      <c r="AY168" s="2" t="s">
        <v>17</v>
      </c>
      <c r="AZ168" s="5"/>
      <c r="BA168" s="6"/>
      <c r="BB168" s="4"/>
      <c r="BC168" s="6"/>
      <c r="BD168" s="6"/>
      <c r="BE168" s="6"/>
      <c r="BF168" s="7"/>
    </row>
    <row r="169" spans="1:58" ht="18" customHeight="1">
      <c r="A169" s="106" t="s">
        <v>15</v>
      </c>
      <c r="B169" s="93" t="s">
        <v>147</v>
      </c>
      <c r="C169" s="28">
        <v>237.01</v>
      </c>
      <c r="D169" s="28">
        <v>237.13</v>
      </c>
      <c r="E169" s="28">
        <v>237.07</v>
      </c>
      <c r="F169" s="28">
        <v>237.07</v>
      </c>
      <c r="G169" s="29">
        <v>7230.9959749499103</v>
      </c>
      <c r="H169" s="29">
        <v>4762.0823226886696</v>
      </c>
      <c r="I169" s="27">
        <f t="shared" si="7"/>
        <v>2</v>
      </c>
      <c r="J169" s="27">
        <f t="shared" si="8"/>
        <v>2</v>
      </c>
      <c r="K169" s="27">
        <f t="shared" si="6"/>
        <v>0</v>
      </c>
      <c r="L169" s="25">
        <v>570.10191066666675</v>
      </c>
      <c r="M169" s="25">
        <v>574.00995224790609</v>
      </c>
      <c r="N169" s="38">
        <v>0.53057562416314319</v>
      </c>
      <c r="O169" s="38"/>
      <c r="P169" s="71"/>
      <c r="Q169" s="53">
        <v>42535</v>
      </c>
      <c r="R169" s="23">
        <v>3</v>
      </c>
      <c r="S169" s="24">
        <v>569.64069666666671</v>
      </c>
      <c r="T169" s="24">
        <v>573.58036851243753</v>
      </c>
      <c r="U169" s="1">
        <v>0.53529911613003911</v>
      </c>
      <c r="V169" s="2"/>
      <c r="W169" s="2"/>
      <c r="X169" s="22">
        <v>42535</v>
      </c>
      <c r="Y169" s="23">
        <v>3</v>
      </c>
      <c r="Z169" s="24">
        <v>570.56312466666668</v>
      </c>
      <c r="AA169" s="24">
        <v>574.43953598337475</v>
      </c>
      <c r="AB169" s="1">
        <v>0.52585213219624727</v>
      </c>
      <c r="AC169" s="2"/>
      <c r="AD169" s="2"/>
      <c r="AE169" s="22" t="s">
        <v>17</v>
      </c>
      <c r="AF169" s="23"/>
      <c r="AG169" s="24" t="s">
        <v>17</v>
      </c>
      <c r="AH169" s="24" t="s">
        <v>17</v>
      </c>
      <c r="AI169" s="1" t="s">
        <v>17</v>
      </c>
      <c r="AJ169" s="2" t="s">
        <v>17</v>
      </c>
      <c r="AK169" s="2" t="s">
        <v>17</v>
      </c>
      <c r="AL169" s="3"/>
      <c r="AM169" s="2"/>
      <c r="AN169" s="24" t="s">
        <v>17</v>
      </c>
      <c r="AO169" s="24" t="s">
        <v>17</v>
      </c>
      <c r="AP169" s="1" t="s">
        <v>17</v>
      </c>
      <c r="AQ169" s="2" t="s">
        <v>17</v>
      </c>
      <c r="AR169" s="2" t="s">
        <v>17</v>
      </c>
      <c r="AS169" s="3"/>
      <c r="AT169" s="2"/>
      <c r="AU169" s="4"/>
      <c r="AV169" s="2"/>
      <c r="AW169" s="1" t="s">
        <v>17</v>
      </c>
      <c r="AX169" s="2" t="s">
        <v>17</v>
      </c>
      <c r="AY169" s="2" t="s">
        <v>17</v>
      </c>
      <c r="AZ169" s="5"/>
      <c r="BA169" s="6"/>
      <c r="BB169" s="4"/>
      <c r="BC169" s="6"/>
      <c r="BD169" s="6"/>
      <c r="BE169" s="6"/>
      <c r="BF169" s="7"/>
    </row>
    <row r="170" spans="1:58" ht="18" customHeight="1">
      <c r="A170" s="106" t="s">
        <v>15</v>
      </c>
      <c r="B170" s="93" t="s">
        <v>148</v>
      </c>
      <c r="C170" s="28">
        <v>238.89</v>
      </c>
      <c r="D170" s="28">
        <v>239.01</v>
      </c>
      <c r="E170" s="28">
        <v>238.95</v>
      </c>
      <c r="F170" s="28">
        <v>238.95</v>
      </c>
      <c r="G170" s="29">
        <v>7301.3106656292503</v>
      </c>
      <c r="H170" s="29">
        <v>4826.4656869505998</v>
      </c>
      <c r="I170" s="27">
        <f t="shared" si="7"/>
        <v>1</v>
      </c>
      <c r="J170" s="27">
        <f t="shared" si="8"/>
        <v>1</v>
      </c>
      <c r="K170" s="27">
        <f t="shared" si="6"/>
        <v>1</v>
      </c>
      <c r="L170" s="25">
        <v>571.28438099999994</v>
      </c>
      <c r="M170" s="25">
        <v>575.19062841975051</v>
      </c>
      <c r="N170" s="38">
        <v>0.52923052268716297</v>
      </c>
      <c r="O170" s="38">
        <v>-7.0575396307391847</v>
      </c>
      <c r="P170" s="71">
        <v>-9.1744617214878375</v>
      </c>
      <c r="Q170" s="53">
        <v>43384</v>
      </c>
      <c r="R170" s="23">
        <v>9</v>
      </c>
      <c r="S170" s="24">
        <v>571.28438099999994</v>
      </c>
      <c r="T170" s="24">
        <v>575.19062841975051</v>
      </c>
      <c r="U170" s="1">
        <v>0.52923052268716297</v>
      </c>
      <c r="V170" s="2">
        <v>-7.0575396307391847</v>
      </c>
      <c r="W170" s="2">
        <v>-9.1744617214878375</v>
      </c>
      <c r="X170" s="22" t="s">
        <v>17</v>
      </c>
      <c r="Y170" s="23"/>
      <c r="Z170" s="24" t="s">
        <v>17</v>
      </c>
      <c r="AA170" s="24" t="s">
        <v>17</v>
      </c>
      <c r="AB170" s="1" t="s">
        <v>17</v>
      </c>
      <c r="AC170" s="2" t="s">
        <v>17</v>
      </c>
      <c r="AD170" s="2" t="s">
        <v>17</v>
      </c>
      <c r="AE170" s="22" t="s">
        <v>17</v>
      </c>
      <c r="AF170" s="23"/>
      <c r="AG170" s="24" t="s">
        <v>17</v>
      </c>
      <c r="AH170" s="24" t="s">
        <v>17</v>
      </c>
      <c r="AI170" s="1" t="s">
        <v>17</v>
      </c>
      <c r="AJ170" s="2" t="s">
        <v>17</v>
      </c>
      <c r="AK170" s="2" t="s">
        <v>17</v>
      </c>
      <c r="AL170" s="3"/>
      <c r="AM170" s="2"/>
      <c r="AN170" s="24" t="s">
        <v>17</v>
      </c>
      <c r="AO170" s="24" t="s">
        <v>17</v>
      </c>
      <c r="AP170" s="1" t="s">
        <v>17</v>
      </c>
      <c r="AQ170" s="2" t="s">
        <v>17</v>
      </c>
      <c r="AR170" s="2" t="s">
        <v>17</v>
      </c>
      <c r="AS170" s="3"/>
      <c r="AT170" s="2"/>
      <c r="AU170" s="4"/>
      <c r="AV170" s="2"/>
      <c r="AW170" s="1" t="s">
        <v>17</v>
      </c>
      <c r="AX170" s="2" t="s">
        <v>17</v>
      </c>
      <c r="AY170" s="2" t="s">
        <v>17</v>
      </c>
      <c r="AZ170" s="5"/>
      <c r="BA170" s="6"/>
      <c r="BB170" s="4"/>
      <c r="BC170" s="6"/>
      <c r="BD170" s="6"/>
      <c r="BE170" s="6"/>
      <c r="BF170" s="7"/>
    </row>
    <row r="171" spans="1:58" ht="18" customHeight="1">
      <c r="A171" s="106" t="s">
        <v>15</v>
      </c>
      <c r="B171" s="93" t="s">
        <v>149</v>
      </c>
      <c r="C171" s="28">
        <v>240.39</v>
      </c>
      <c r="D171" s="28">
        <v>240.51</v>
      </c>
      <c r="E171" s="28">
        <v>240.45</v>
      </c>
      <c r="F171" s="28">
        <v>240.45</v>
      </c>
      <c r="G171" s="29">
        <v>7356.21850490409</v>
      </c>
      <c r="H171" s="29">
        <v>4877.8178491895997</v>
      </c>
      <c r="I171" s="27">
        <f t="shared" si="7"/>
        <v>1</v>
      </c>
      <c r="J171" s="27">
        <f t="shared" si="8"/>
        <v>1</v>
      </c>
      <c r="K171" s="27">
        <f t="shared" si="6"/>
        <v>1</v>
      </c>
      <c r="L171" s="25">
        <v>574.58103099999994</v>
      </c>
      <c r="M171" s="25">
        <v>578.51264076515554</v>
      </c>
      <c r="N171" s="38">
        <v>0.52961052483779802</v>
      </c>
      <c r="O171" s="38">
        <v>-10.600030697928918</v>
      </c>
      <c r="P171" s="71">
        <v>-12.718472797280111</v>
      </c>
      <c r="Q171" s="53">
        <v>43237</v>
      </c>
      <c r="R171" s="23">
        <v>6</v>
      </c>
      <c r="S171" s="24">
        <v>574.58103099999994</v>
      </c>
      <c r="T171" s="24">
        <v>578.51264076515554</v>
      </c>
      <c r="U171" s="1">
        <v>0.52961052483779802</v>
      </c>
      <c r="V171" s="2">
        <v>-10.600030697928918</v>
      </c>
      <c r="W171" s="2">
        <v>-12.718472797280111</v>
      </c>
      <c r="X171" s="22" t="s">
        <v>17</v>
      </c>
      <c r="Y171" s="23"/>
      <c r="Z171" s="24" t="s">
        <v>17</v>
      </c>
      <c r="AA171" s="24" t="s">
        <v>17</v>
      </c>
      <c r="AB171" s="1" t="s">
        <v>17</v>
      </c>
      <c r="AC171" s="2" t="s">
        <v>17</v>
      </c>
      <c r="AD171" s="2" t="s">
        <v>17</v>
      </c>
      <c r="AE171" s="22" t="s">
        <v>17</v>
      </c>
      <c r="AF171" s="23"/>
      <c r="AG171" s="24" t="s">
        <v>17</v>
      </c>
      <c r="AH171" s="24" t="s">
        <v>17</v>
      </c>
      <c r="AI171" s="1" t="s">
        <v>17</v>
      </c>
      <c r="AJ171" s="2" t="s">
        <v>17</v>
      </c>
      <c r="AK171" s="2" t="s">
        <v>17</v>
      </c>
      <c r="AL171" s="3"/>
      <c r="AM171" s="2"/>
      <c r="AN171" s="24" t="s">
        <v>17</v>
      </c>
      <c r="AO171" s="24" t="s">
        <v>17</v>
      </c>
      <c r="AP171" s="1" t="s">
        <v>17</v>
      </c>
      <c r="AQ171" s="2" t="s">
        <v>17</v>
      </c>
      <c r="AR171" s="2" t="s">
        <v>17</v>
      </c>
      <c r="AS171" s="3"/>
      <c r="AT171" s="2"/>
      <c r="AU171" s="4"/>
      <c r="AV171" s="2"/>
      <c r="AW171" s="1" t="s">
        <v>17</v>
      </c>
      <c r="AX171" s="2" t="s">
        <v>17</v>
      </c>
      <c r="AY171" s="2" t="s">
        <v>17</v>
      </c>
      <c r="AZ171" s="5"/>
      <c r="BA171" s="6"/>
      <c r="BB171" s="4"/>
      <c r="BC171" s="6"/>
      <c r="BD171" s="6"/>
      <c r="BE171" s="6"/>
      <c r="BF171" s="7"/>
    </row>
    <row r="172" spans="1:58" ht="18" customHeight="1">
      <c r="A172" s="106" t="s">
        <v>15</v>
      </c>
      <c r="B172" s="93" t="s">
        <v>150</v>
      </c>
      <c r="C172" s="28">
        <v>241.39</v>
      </c>
      <c r="D172" s="28">
        <v>241.51</v>
      </c>
      <c r="E172" s="28">
        <v>241.45</v>
      </c>
      <c r="F172" s="28">
        <v>241.45</v>
      </c>
      <c r="G172" s="29">
        <v>7392.5198611121996</v>
      </c>
      <c r="H172" s="29">
        <v>4915.8405318936402</v>
      </c>
      <c r="I172" s="27">
        <f t="shared" si="7"/>
        <v>1</v>
      </c>
      <c r="J172" s="27">
        <f t="shared" si="8"/>
        <v>1</v>
      </c>
      <c r="K172" s="27">
        <f t="shared" si="6"/>
        <v>1</v>
      </c>
      <c r="L172" s="25">
        <v>573.8353085</v>
      </c>
      <c r="M172" s="25">
        <v>577.74203290196101</v>
      </c>
      <c r="N172" s="38">
        <v>0.5269422170584015</v>
      </c>
      <c r="O172" s="38">
        <v>-5.768215133087895</v>
      </c>
      <c r="P172" s="71">
        <v>-7.875984001321501</v>
      </c>
      <c r="Q172" s="53">
        <v>43388</v>
      </c>
      <c r="R172" s="23">
        <v>9</v>
      </c>
      <c r="S172" s="24">
        <v>573.8353085</v>
      </c>
      <c r="T172" s="24">
        <v>577.74203290196101</v>
      </c>
      <c r="U172" s="1">
        <v>0.5269422170584015</v>
      </c>
      <c r="V172" s="2">
        <v>-5.768215133087895</v>
      </c>
      <c r="W172" s="2">
        <v>-7.875984001321501</v>
      </c>
      <c r="X172" s="22" t="s">
        <v>17</v>
      </c>
      <c r="Y172" s="23"/>
      <c r="Z172" s="24" t="s">
        <v>17</v>
      </c>
      <c r="AA172" s="24" t="s">
        <v>17</v>
      </c>
      <c r="AB172" s="1" t="s">
        <v>17</v>
      </c>
      <c r="AC172" s="2" t="s">
        <v>17</v>
      </c>
      <c r="AD172" s="2" t="s">
        <v>17</v>
      </c>
      <c r="AE172" s="22" t="s">
        <v>17</v>
      </c>
      <c r="AF172" s="23"/>
      <c r="AG172" s="24" t="s">
        <v>17</v>
      </c>
      <c r="AH172" s="24" t="s">
        <v>17</v>
      </c>
      <c r="AI172" s="1" t="s">
        <v>17</v>
      </c>
      <c r="AJ172" s="2" t="s">
        <v>17</v>
      </c>
      <c r="AK172" s="2" t="s">
        <v>17</v>
      </c>
      <c r="AL172" s="3"/>
      <c r="AM172" s="2"/>
      <c r="AN172" s="24" t="s">
        <v>17</v>
      </c>
      <c r="AO172" s="24" t="s">
        <v>17</v>
      </c>
      <c r="AP172" s="1" t="s">
        <v>17</v>
      </c>
      <c r="AQ172" s="2" t="s">
        <v>17</v>
      </c>
      <c r="AR172" s="2" t="s">
        <v>17</v>
      </c>
      <c r="AS172" s="3"/>
      <c r="AT172" s="2"/>
      <c r="AU172" s="4"/>
      <c r="AV172" s="2"/>
      <c r="AW172" s="1" t="s">
        <v>17</v>
      </c>
      <c r="AX172" s="2" t="s">
        <v>17</v>
      </c>
      <c r="AY172" s="2" t="s">
        <v>17</v>
      </c>
      <c r="AZ172" s="5"/>
      <c r="BA172" s="6"/>
      <c r="BB172" s="4"/>
      <c r="BC172" s="6"/>
      <c r="BD172" s="6"/>
      <c r="BE172" s="6"/>
      <c r="BF172" s="7"/>
    </row>
    <row r="173" spans="1:58" ht="18" customHeight="1">
      <c r="A173" s="106" t="s">
        <v>15</v>
      </c>
      <c r="B173" s="93" t="s">
        <v>151</v>
      </c>
      <c r="C173" s="28">
        <v>242.51</v>
      </c>
      <c r="D173" s="28">
        <v>242.63</v>
      </c>
      <c r="E173" s="28">
        <v>242.57</v>
      </c>
      <c r="F173" s="28">
        <v>242.57</v>
      </c>
      <c r="G173" s="29">
        <v>7434.5658561093696</v>
      </c>
      <c r="H173" s="29">
        <v>4962.22096070513</v>
      </c>
      <c r="I173" s="27">
        <f t="shared" si="7"/>
        <v>1</v>
      </c>
      <c r="J173" s="27">
        <f t="shared" si="8"/>
        <v>1</v>
      </c>
      <c r="K173" s="27">
        <f t="shared" si="6"/>
        <v>1</v>
      </c>
      <c r="L173" s="25">
        <v>568.76512750000006</v>
      </c>
      <c r="M173" s="25">
        <v>572.64719696716247</v>
      </c>
      <c r="N173" s="38">
        <v>0.52828445077302</v>
      </c>
      <c r="O173" s="38">
        <v>-7.5142906558103295</v>
      </c>
      <c r="P173" s="71">
        <v>-9.6274284589024095</v>
      </c>
      <c r="Q173" s="53">
        <v>43396</v>
      </c>
      <c r="R173" s="23">
        <v>9</v>
      </c>
      <c r="S173" s="24">
        <v>568.76512750000006</v>
      </c>
      <c r="T173" s="24">
        <v>572.64719696716247</v>
      </c>
      <c r="U173" s="1">
        <v>0.52828445077302</v>
      </c>
      <c r="V173" s="2">
        <v>-7.5142906558103295</v>
      </c>
      <c r="W173" s="2">
        <v>-9.6274284589024095</v>
      </c>
      <c r="X173" s="22" t="s">
        <v>17</v>
      </c>
      <c r="Y173" s="23"/>
      <c r="Z173" s="24" t="s">
        <v>17</v>
      </c>
      <c r="AA173" s="24" t="s">
        <v>17</v>
      </c>
      <c r="AB173" s="1" t="s">
        <v>17</v>
      </c>
      <c r="AC173" s="2" t="s">
        <v>17</v>
      </c>
      <c r="AD173" s="2" t="s">
        <v>17</v>
      </c>
      <c r="AE173" s="22" t="s">
        <v>17</v>
      </c>
      <c r="AF173" s="23"/>
      <c r="AG173" s="24" t="s">
        <v>17</v>
      </c>
      <c r="AH173" s="24" t="s">
        <v>17</v>
      </c>
      <c r="AI173" s="1" t="s">
        <v>17</v>
      </c>
      <c r="AJ173" s="2" t="s">
        <v>17</v>
      </c>
      <c r="AK173" s="2" t="s">
        <v>17</v>
      </c>
      <c r="AL173" s="3"/>
      <c r="AM173" s="2"/>
      <c r="AN173" s="24" t="s">
        <v>17</v>
      </c>
      <c r="AO173" s="24" t="s">
        <v>17</v>
      </c>
      <c r="AP173" s="1" t="s">
        <v>17</v>
      </c>
      <c r="AQ173" s="2" t="s">
        <v>17</v>
      </c>
      <c r="AR173" s="2" t="s">
        <v>17</v>
      </c>
      <c r="AS173" s="3"/>
      <c r="AT173" s="2"/>
      <c r="AU173" s="4"/>
      <c r="AV173" s="2"/>
      <c r="AW173" s="1" t="s">
        <v>17</v>
      </c>
      <c r="AX173" s="2" t="s">
        <v>17</v>
      </c>
      <c r="AY173" s="2" t="s">
        <v>17</v>
      </c>
      <c r="AZ173" s="5"/>
      <c r="BA173" s="6"/>
      <c r="BB173" s="4"/>
      <c r="BC173" s="6"/>
      <c r="BD173" s="6"/>
      <c r="BE173" s="6"/>
      <c r="BF173" s="7"/>
    </row>
    <row r="174" spans="1:58" ht="18" customHeight="1">
      <c r="A174" s="106" t="s">
        <v>15</v>
      </c>
      <c r="B174" s="93" t="s">
        <v>152</v>
      </c>
      <c r="C174" s="28">
        <v>244.01</v>
      </c>
      <c r="D174" s="28">
        <v>244.13</v>
      </c>
      <c r="E174" s="28">
        <v>244.07</v>
      </c>
      <c r="F174" s="28">
        <v>244.07</v>
      </c>
      <c r="G174" s="29">
        <v>7493.4007704362602</v>
      </c>
      <c r="H174" s="29">
        <v>5011.0304520648297</v>
      </c>
      <c r="I174" s="27">
        <f t="shared" si="7"/>
        <v>1</v>
      </c>
      <c r="J174" s="27">
        <f t="shared" si="8"/>
        <v>1</v>
      </c>
      <c r="K174" s="27">
        <f t="shared" si="6"/>
        <v>1</v>
      </c>
      <c r="L174" s="25">
        <v>570.82656900000006</v>
      </c>
      <c r="M174" s="25">
        <v>574.74355232320841</v>
      </c>
      <c r="N174" s="38">
        <v>0.53111067407174417</v>
      </c>
      <c r="O174" s="38">
        <v>-9.7220605012772197</v>
      </c>
      <c r="P174" s="71">
        <v>-11.846503197564196</v>
      </c>
      <c r="Q174" s="53">
        <v>42702</v>
      </c>
      <c r="R174" s="23">
        <v>12</v>
      </c>
      <c r="S174" s="24">
        <v>570.82656900000006</v>
      </c>
      <c r="T174" s="24">
        <v>574.74355232320841</v>
      </c>
      <c r="U174" s="1">
        <v>0.53111067407174417</v>
      </c>
      <c r="V174" s="2">
        <v>-9.7220605012772197</v>
      </c>
      <c r="W174" s="2">
        <v>-11.846503197564196</v>
      </c>
      <c r="X174" s="22" t="s">
        <v>17</v>
      </c>
      <c r="Y174" s="23"/>
      <c r="Z174" s="24" t="s">
        <v>17</v>
      </c>
      <c r="AA174" s="24" t="s">
        <v>17</v>
      </c>
      <c r="AB174" s="1" t="s">
        <v>17</v>
      </c>
      <c r="AC174" s="2" t="s">
        <v>17</v>
      </c>
      <c r="AD174" s="2" t="s">
        <v>17</v>
      </c>
      <c r="AE174" s="22" t="s">
        <v>17</v>
      </c>
      <c r="AF174" s="23"/>
      <c r="AG174" s="24" t="s">
        <v>17</v>
      </c>
      <c r="AH174" s="24" t="s">
        <v>17</v>
      </c>
      <c r="AI174" s="1" t="s">
        <v>17</v>
      </c>
      <c r="AJ174" s="2" t="s">
        <v>17</v>
      </c>
      <c r="AK174" s="2" t="s">
        <v>17</v>
      </c>
      <c r="AL174" s="3"/>
      <c r="AM174" s="2"/>
      <c r="AN174" s="24" t="s">
        <v>17</v>
      </c>
      <c r="AO174" s="24" t="s">
        <v>17</v>
      </c>
      <c r="AP174" s="1" t="s">
        <v>17</v>
      </c>
      <c r="AQ174" s="2" t="s">
        <v>17</v>
      </c>
      <c r="AR174" s="2" t="s">
        <v>17</v>
      </c>
      <c r="AS174" s="3"/>
      <c r="AT174" s="2"/>
      <c r="AU174" s="4"/>
      <c r="AV174" s="2"/>
      <c r="AW174" s="1" t="s">
        <v>17</v>
      </c>
      <c r="AX174" s="2" t="s">
        <v>17</v>
      </c>
      <c r="AY174" s="2" t="s">
        <v>17</v>
      </c>
      <c r="AZ174" s="5"/>
      <c r="BA174" s="6"/>
      <c r="BB174" s="4"/>
      <c r="BC174" s="6"/>
      <c r="BD174" s="6"/>
      <c r="BE174" s="6"/>
      <c r="BF174" s="7"/>
    </row>
    <row r="175" spans="1:58" ht="18" customHeight="1">
      <c r="A175" s="106" t="s">
        <v>15</v>
      </c>
      <c r="B175" s="93" t="s">
        <v>153</v>
      </c>
      <c r="C175" s="28">
        <v>245.51</v>
      </c>
      <c r="D175" s="28">
        <v>245.63</v>
      </c>
      <c r="E175" s="28">
        <v>245.57</v>
      </c>
      <c r="F175" s="28">
        <v>245.57</v>
      </c>
      <c r="G175" s="29">
        <v>7546.8635327987004</v>
      </c>
      <c r="H175" s="29">
        <v>5060.4037479848103</v>
      </c>
      <c r="I175" s="27">
        <f t="shared" si="7"/>
        <v>1</v>
      </c>
      <c r="J175" s="27">
        <f t="shared" si="8"/>
        <v>1</v>
      </c>
      <c r="K175" s="27">
        <f t="shared" si="6"/>
        <v>1</v>
      </c>
      <c r="L175" s="25">
        <v>569.17768750000005</v>
      </c>
      <c r="M175" s="25">
        <v>573.05131441902552</v>
      </c>
      <c r="N175" s="38">
        <v>0.52675347538455597</v>
      </c>
      <c r="O175" s="38">
        <v>-8.9986511192234886</v>
      </c>
      <c r="P175" s="71">
        <v>-11.105665020761712</v>
      </c>
      <c r="Q175" s="53">
        <v>43452</v>
      </c>
      <c r="R175" s="23">
        <v>12</v>
      </c>
      <c r="S175" s="24">
        <v>569.17768750000005</v>
      </c>
      <c r="T175" s="24">
        <v>573.05131441902552</v>
      </c>
      <c r="U175" s="1">
        <v>0.52675347538455597</v>
      </c>
      <c r="V175" s="2">
        <v>-8.9986511192234886</v>
      </c>
      <c r="W175" s="2">
        <v>-11.105665020761712</v>
      </c>
      <c r="X175" s="22" t="s">
        <v>17</v>
      </c>
      <c r="Y175" s="23"/>
      <c r="Z175" s="24" t="s">
        <v>17</v>
      </c>
      <c r="AA175" s="24" t="s">
        <v>17</v>
      </c>
      <c r="AB175" s="1" t="s">
        <v>17</v>
      </c>
      <c r="AC175" s="2" t="s">
        <v>17</v>
      </c>
      <c r="AD175" s="2" t="s">
        <v>17</v>
      </c>
      <c r="AE175" s="22" t="s">
        <v>17</v>
      </c>
      <c r="AF175" s="23"/>
      <c r="AG175" s="24" t="s">
        <v>17</v>
      </c>
      <c r="AH175" s="24" t="s">
        <v>17</v>
      </c>
      <c r="AI175" s="1" t="s">
        <v>17</v>
      </c>
      <c r="AJ175" s="2" t="s">
        <v>17</v>
      </c>
      <c r="AK175" s="2" t="s">
        <v>17</v>
      </c>
      <c r="AL175" s="3"/>
      <c r="AM175" s="2"/>
      <c r="AN175" s="24" t="s">
        <v>17</v>
      </c>
      <c r="AO175" s="24" t="s">
        <v>17</v>
      </c>
      <c r="AP175" s="1" t="s">
        <v>17</v>
      </c>
      <c r="AQ175" s="2" t="s">
        <v>17</v>
      </c>
      <c r="AR175" s="2" t="s">
        <v>17</v>
      </c>
      <c r="AS175" s="3"/>
      <c r="AT175" s="2"/>
      <c r="AU175" s="4"/>
      <c r="AV175" s="2"/>
      <c r="AW175" s="1" t="s">
        <v>17</v>
      </c>
      <c r="AX175" s="2" t="s">
        <v>17</v>
      </c>
      <c r="AY175" s="2" t="s">
        <v>17</v>
      </c>
      <c r="AZ175" s="5"/>
      <c r="BA175" s="6"/>
      <c r="BB175" s="4"/>
      <c r="BC175" s="6"/>
      <c r="BD175" s="6"/>
      <c r="BE175" s="6"/>
      <c r="BF175" s="7"/>
    </row>
    <row r="176" spans="1:58" ht="18" customHeight="1">
      <c r="A176" s="106" t="s">
        <v>15</v>
      </c>
      <c r="B176" s="93" t="s">
        <v>154</v>
      </c>
      <c r="C176" s="28">
        <v>246.51</v>
      </c>
      <c r="D176" s="28">
        <v>246.63</v>
      </c>
      <c r="E176" s="28">
        <v>246.57</v>
      </c>
      <c r="F176" s="28">
        <v>246.57</v>
      </c>
      <c r="G176" s="29">
        <v>7581.5158094865001</v>
      </c>
      <c r="H176" s="29">
        <v>5097.9301090198096</v>
      </c>
      <c r="I176" s="27">
        <f t="shared" si="7"/>
        <v>2</v>
      </c>
      <c r="J176" s="27">
        <f t="shared" si="8"/>
        <v>2</v>
      </c>
      <c r="K176" s="27">
        <f t="shared" si="6"/>
        <v>1</v>
      </c>
      <c r="L176" s="25">
        <v>567.14012000000002</v>
      </c>
      <c r="M176" s="25">
        <v>570.95209001977025</v>
      </c>
      <c r="N176" s="38">
        <v>0.52023794589839412</v>
      </c>
      <c r="O176" s="38">
        <v>-8.1946823814824654</v>
      </c>
      <c r="P176" s="71">
        <v>-10.293954974343045</v>
      </c>
      <c r="Q176" s="53">
        <v>43472</v>
      </c>
      <c r="R176" s="23">
        <v>12</v>
      </c>
      <c r="S176" s="24">
        <v>566.33406650000006</v>
      </c>
      <c r="T176" s="24">
        <v>570.17417985698785</v>
      </c>
      <c r="U176" s="1">
        <v>0.52481814821514483</v>
      </c>
      <c r="V176" s="2">
        <v>-8.1946823814824654</v>
      </c>
      <c r="W176" s="2">
        <v>-10.293954974343045</v>
      </c>
      <c r="X176" s="22">
        <v>44068</v>
      </c>
      <c r="Y176" s="23" t="s">
        <v>88</v>
      </c>
      <c r="Z176" s="24">
        <v>567.94617349999999</v>
      </c>
      <c r="AA176" s="24">
        <v>571.73000018255266</v>
      </c>
      <c r="AB176" s="1">
        <v>0.5156577435816434</v>
      </c>
      <c r="AC176" s="2"/>
      <c r="AD176" s="2"/>
      <c r="AE176" s="22" t="s">
        <v>17</v>
      </c>
      <c r="AF176" s="23"/>
      <c r="AG176" s="24" t="s">
        <v>17</v>
      </c>
      <c r="AH176" s="24" t="s">
        <v>17</v>
      </c>
      <c r="AI176" s="1" t="s">
        <v>17</v>
      </c>
      <c r="AJ176" s="2" t="s">
        <v>17</v>
      </c>
      <c r="AK176" s="2" t="s">
        <v>17</v>
      </c>
      <c r="AL176" s="3"/>
      <c r="AM176" s="2"/>
      <c r="AN176" s="24" t="s">
        <v>17</v>
      </c>
      <c r="AO176" s="24" t="s">
        <v>17</v>
      </c>
      <c r="AP176" s="1" t="s">
        <v>17</v>
      </c>
      <c r="AQ176" s="2" t="s">
        <v>17</v>
      </c>
      <c r="AR176" s="2" t="s">
        <v>17</v>
      </c>
      <c r="AS176" s="3"/>
      <c r="AT176" s="2"/>
      <c r="AU176" s="4"/>
      <c r="AV176" s="2"/>
      <c r="AW176" s="1" t="s">
        <v>17</v>
      </c>
      <c r="AX176" s="2" t="s">
        <v>17</v>
      </c>
      <c r="AY176" s="2" t="s">
        <v>17</v>
      </c>
      <c r="AZ176" s="5"/>
      <c r="BA176" s="6"/>
      <c r="BB176" s="4"/>
      <c r="BC176" s="6"/>
      <c r="BD176" s="6"/>
      <c r="BE176" s="6"/>
      <c r="BF176" s="7"/>
    </row>
    <row r="177" spans="1:58" ht="18" customHeight="1">
      <c r="A177" s="106" t="s">
        <v>15</v>
      </c>
      <c r="B177" s="93" t="s">
        <v>155</v>
      </c>
      <c r="C177" s="28">
        <v>248.02</v>
      </c>
      <c r="D177" s="28">
        <v>248.14000000000001</v>
      </c>
      <c r="E177" s="28">
        <v>248.08</v>
      </c>
      <c r="F177" s="28">
        <v>248.08</v>
      </c>
      <c r="G177" s="29">
        <v>7634.6696272419204</v>
      </c>
      <c r="H177" s="29">
        <v>5156.2311847793599</v>
      </c>
      <c r="I177" s="27">
        <f t="shared" si="7"/>
        <v>2</v>
      </c>
      <c r="J177" s="27">
        <f t="shared" si="8"/>
        <v>2</v>
      </c>
      <c r="K177" s="27">
        <f t="shared" si="6"/>
        <v>0</v>
      </c>
      <c r="L177" s="25">
        <v>565.13559075000001</v>
      </c>
      <c r="M177" s="25">
        <v>569.00393100931876</v>
      </c>
      <c r="N177" s="38">
        <v>0.52980119822110261</v>
      </c>
      <c r="O177" s="38"/>
      <c r="P177" s="71"/>
      <c r="Q177" s="53">
        <v>42607</v>
      </c>
      <c r="R177" s="23">
        <v>3</v>
      </c>
      <c r="S177" s="24">
        <v>563.90851799999996</v>
      </c>
      <c r="T177" s="24">
        <v>567.78257513380765</v>
      </c>
      <c r="U177" s="1">
        <v>0.53173451683830031</v>
      </c>
      <c r="V177" s="2"/>
      <c r="W177" s="2"/>
      <c r="X177" s="22">
        <v>42607</v>
      </c>
      <c r="Y177" s="23">
        <v>3</v>
      </c>
      <c r="Z177" s="24">
        <v>566.36266350000005</v>
      </c>
      <c r="AA177" s="24">
        <v>570.22528688482987</v>
      </c>
      <c r="AB177" s="1">
        <v>0.52786787960390491</v>
      </c>
      <c r="AC177" s="2"/>
      <c r="AD177" s="2"/>
      <c r="AE177" s="22" t="s">
        <v>17</v>
      </c>
      <c r="AF177" s="23"/>
      <c r="AG177" s="24" t="s">
        <v>17</v>
      </c>
      <c r="AH177" s="24" t="s">
        <v>17</v>
      </c>
      <c r="AI177" s="1" t="s">
        <v>17</v>
      </c>
      <c r="AJ177" s="2" t="s">
        <v>17</v>
      </c>
      <c r="AK177" s="2" t="s">
        <v>17</v>
      </c>
      <c r="AL177" s="3"/>
      <c r="AM177" s="2"/>
      <c r="AN177" s="24" t="s">
        <v>17</v>
      </c>
      <c r="AO177" s="24" t="s">
        <v>17</v>
      </c>
      <c r="AP177" s="1" t="s">
        <v>17</v>
      </c>
      <c r="AQ177" s="2" t="s">
        <v>17</v>
      </c>
      <c r="AR177" s="2" t="s">
        <v>17</v>
      </c>
      <c r="AS177" s="3"/>
      <c r="AT177" s="2"/>
      <c r="AU177" s="4"/>
      <c r="AV177" s="2"/>
      <c r="AW177" s="1" t="s">
        <v>17</v>
      </c>
      <c r="AX177" s="2" t="s">
        <v>17</v>
      </c>
      <c r="AY177" s="2" t="s">
        <v>17</v>
      </c>
      <c r="AZ177" s="5"/>
      <c r="BA177" s="6"/>
      <c r="BB177" s="4"/>
      <c r="BC177" s="6"/>
      <c r="BD177" s="6"/>
      <c r="BE177" s="6"/>
      <c r="BF177" s="7"/>
    </row>
    <row r="178" spans="1:58" ht="18" customHeight="1">
      <c r="A178" s="106" t="s">
        <v>15</v>
      </c>
      <c r="B178" s="93" t="s">
        <v>156</v>
      </c>
      <c r="C178" s="28">
        <v>249.4</v>
      </c>
      <c r="D178" s="28">
        <v>249.52</v>
      </c>
      <c r="E178" s="28">
        <v>249.46</v>
      </c>
      <c r="F178" s="28">
        <v>249.46</v>
      </c>
      <c r="G178" s="29">
        <v>7684.5937143831197</v>
      </c>
      <c r="H178" s="29">
        <v>5210.9215668673996</v>
      </c>
      <c r="I178" s="27">
        <f t="shared" si="7"/>
        <v>1</v>
      </c>
      <c r="J178" s="27">
        <f t="shared" si="8"/>
        <v>1</v>
      </c>
      <c r="K178" s="27">
        <f t="shared" si="6"/>
        <v>1</v>
      </c>
      <c r="L178" s="25">
        <v>559.59329750000006</v>
      </c>
      <c r="M178" s="25">
        <v>563.37872212687034</v>
      </c>
      <c r="N178" s="38">
        <v>0.52357582464357399</v>
      </c>
      <c r="O178" s="38">
        <v>-9.3198734323023391</v>
      </c>
      <c r="P178" s="71">
        <v>-11.414176730876635</v>
      </c>
      <c r="Q178" s="53">
        <v>42702</v>
      </c>
      <c r="R178" s="23">
        <v>11</v>
      </c>
      <c r="S178" s="24">
        <v>559.59329750000006</v>
      </c>
      <c r="T178" s="24">
        <v>563.37872212687034</v>
      </c>
      <c r="U178" s="1">
        <v>0.52357582464357399</v>
      </c>
      <c r="V178" s="2">
        <v>-9.3198734323023391</v>
      </c>
      <c r="W178" s="2">
        <v>-11.414176730876635</v>
      </c>
      <c r="X178" s="22" t="s">
        <v>17</v>
      </c>
      <c r="Y178" s="23"/>
      <c r="Z178" s="24" t="s">
        <v>17</v>
      </c>
      <c r="AA178" s="24" t="s">
        <v>17</v>
      </c>
      <c r="AB178" s="1" t="s">
        <v>17</v>
      </c>
      <c r="AC178" s="2" t="s">
        <v>17</v>
      </c>
      <c r="AD178" s="2" t="s">
        <v>17</v>
      </c>
      <c r="AE178" s="22" t="s">
        <v>17</v>
      </c>
      <c r="AF178" s="23"/>
      <c r="AG178" s="24" t="s">
        <v>17</v>
      </c>
      <c r="AH178" s="24" t="s">
        <v>17</v>
      </c>
      <c r="AI178" s="1" t="s">
        <v>17</v>
      </c>
      <c r="AJ178" s="2" t="s">
        <v>17</v>
      </c>
      <c r="AK178" s="2" t="s">
        <v>17</v>
      </c>
      <c r="AL178" s="3"/>
      <c r="AM178" s="2"/>
      <c r="AN178" s="24" t="s">
        <v>17</v>
      </c>
      <c r="AO178" s="24" t="s">
        <v>17</v>
      </c>
      <c r="AP178" s="1" t="s">
        <v>17</v>
      </c>
      <c r="AQ178" s="2" t="s">
        <v>17</v>
      </c>
      <c r="AR178" s="2" t="s">
        <v>17</v>
      </c>
      <c r="AS178" s="3"/>
      <c r="AT178" s="2"/>
      <c r="AU178" s="4"/>
      <c r="AV178" s="2"/>
      <c r="AW178" s="1" t="s">
        <v>17</v>
      </c>
      <c r="AX178" s="2" t="s">
        <v>17</v>
      </c>
      <c r="AY178" s="2" t="s">
        <v>17</v>
      </c>
      <c r="AZ178" s="5"/>
      <c r="BA178" s="6"/>
      <c r="BB178" s="4"/>
      <c r="BC178" s="6"/>
      <c r="BD178" s="6"/>
      <c r="BE178" s="6"/>
      <c r="BF178" s="7"/>
    </row>
    <row r="179" spans="1:58" ht="18" customHeight="1">
      <c r="A179" s="106" t="s">
        <v>15</v>
      </c>
      <c r="B179" s="93" t="s">
        <v>157</v>
      </c>
      <c r="C179" s="28">
        <v>250.9</v>
      </c>
      <c r="D179" s="28">
        <v>251.02</v>
      </c>
      <c r="E179" s="28">
        <v>250.96</v>
      </c>
      <c r="F179" s="28">
        <v>250.96</v>
      </c>
      <c r="G179" s="29">
        <v>7740.2454695023998</v>
      </c>
      <c r="H179" s="29">
        <v>5267.8486669720396</v>
      </c>
      <c r="I179" s="27">
        <f t="shared" si="7"/>
        <v>1</v>
      </c>
      <c r="J179" s="27">
        <f t="shared" si="8"/>
        <v>1</v>
      </c>
      <c r="K179" s="27">
        <f t="shared" si="6"/>
        <v>1</v>
      </c>
      <c r="L179" s="25">
        <v>562.30224500000008</v>
      </c>
      <c r="M179" s="25">
        <v>566.03368611740916</v>
      </c>
      <c r="N179" s="38">
        <v>0.51362276171884602</v>
      </c>
      <c r="O179" s="38">
        <v>-10.79956090725398</v>
      </c>
      <c r="P179" s="71">
        <v>-12.854051954129364</v>
      </c>
      <c r="Q179" s="53">
        <v>43459</v>
      </c>
      <c r="R179" s="23">
        <v>12</v>
      </c>
      <c r="S179" s="24">
        <v>562.30224500000008</v>
      </c>
      <c r="T179" s="24">
        <v>566.03368611740916</v>
      </c>
      <c r="U179" s="1">
        <v>0.51362276171884602</v>
      </c>
      <c r="V179" s="2">
        <v>-10.79956090725398</v>
      </c>
      <c r="W179" s="2">
        <v>-12.854051954129364</v>
      </c>
      <c r="X179" s="22" t="s">
        <v>17</v>
      </c>
      <c r="Y179" s="23"/>
      <c r="Z179" s="24" t="s">
        <v>17</v>
      </c>
      <c r="AA179" s="24" t="s">
        <v>17</v>
      </c>
      <c r="AB179" s="1" t="s">
        <v>17</v>
      </c>
      <c r="AC179" s="2" t="s">
        <v>17</v>
      </c>
      <c r="AD179" s="2" t="s">
        <v>17</v>
      </c>
      <c r="AE179" s="22" t="s">
        <v>17</v>
      </c>
      <c r="AF179" s="23"/>
      <c r="AG179" s="24" t="s">
        <v>17</v>
      </c>
      <c r="AH179" s="24" t="s">
        <v>17</v>
      </c>
      <c r="AI179" s="1" t="s">
        <v>17</v>
      </c>
      <c r="AJ179" s="2" t="s">
        <v>17</v>
      </c>
      <c r="AK179" s="2" t="s">
        <v>17</v>
      </c>
      <c r="AL179" s="3"/>
      <c r="AM179" s="2"/>
      <c r="AN179" s="24" t="s">
        <v>17</v>
      </c>
      <c r="AO179" s="24" t="s">
        <v>17</v>
      </c>
      <c r="AP179" s="1" t="s">
        <v>17</v>
      </c>
      <c r="AQ179" s="2" t="s">
        <v>17</v>
      </c>
      <c r="AR179" s="2" t="s">
        <v>17</v>
      </c>
      <c r="AS179" s="3"/>
      <c r="AT179" s="2"/>
      <c r="AU179" s="4"/>
      <c r="AV179" s="2"/>
      <c r="AW179" s="1" t="s">
        <v>17</v>
      </c>
      <c r="AX179" s="2" t="s">
        <v>17</v>
      </c>
      <c r="AY179" s="2" t="s">
        <v>17</v>
      </c>
      <c r="AZ179" s="5"/>
      <c r="BA179" s="6"/>
      <c r="BB179" s="4"/>
      <c r="BC179" s="6"/>
      <c r="BD179" s="6"/>
      <c r="BE179" s="6"/>
      <c r="BF179" s="7"/>
    </row>
    <row r="180" spans="1:58" ht="18" customHeight="1">
      <c r="A180" s="106" t="s">
        <v>15</v>
      </c>
      <c r="B180" s="93" t="s">
        <v>158</v>
      </c>
      <c r="C180" s="28">
        <v>251.52</v>
      </c>
      <c r="D180" s="41">
        <v>251.64</v>
      </c>
      <c r="E180" s="28">
        <v>251.57999999999998</v>
      </c>
      <c r="F180" s="28">
        <v>251.57999999999998</v>
      </c>
      <c r="G180" s="29">
        <v>7763.5042912709596</v>
      </c>
      <c r="H180" s="29">
        <v>5290.6266956446198</v>
      </c>
      <c r="I180" s="27">
        <f t="shared" si="7"/>
        <v>2</v>
      </c>
      <c r="J180" s="27">
        <f t="shared" si="8"/>
        <v>2</v>
      </c>
      <c r="K180" s="27">
        <f t="shared" si="6"/>
        <v>2</v>
      </c>
      <c r="L180" s="25">
        <v>559.34457999999995</v>
      </c>
      <c r="M180" s="25">
        <v>563.14875111198251</v>
      </c>
      <c r="N180" s="38">
        <v>0.52639881195348792</v>
      </c>
      <c r="O180" s="38">
        <v>-8.3414077956772701</v>
      </c>
      <c r="P180" s="71">
        <v>-10.447003043491222</v>
      </c>
      <c r="Q180" s="53">
        <v>42659</v>
      </c>
      <c r="R180" s="23">
        <v>5</v>
      </c>
      <c r="S180" s="24">
        <v>557.87223800000004</v>
      </c>
      <c r="T180" s="24">
        <v>561.65576339669758</v>
      </c>
      <c r="U180" s="1">
        <v>0.52492757842559357</v>
      </c>
      <c r="V180" s="2">
        <v>-8.1959070931525435</v>
      </c>
      <c r="W180" s="2">
        <v>-10.295617406854918</v>
      </c>
      <c r="X180" s="22">
        <v>42659</v>
      </c>
      <c r="Y180" s="23">
        <v>5</v>
      </c>
      <c r="Z180" s="24">
        <v>560.81692199999998</v>
      </c>
      <c r="AA180" s="24">
        <v>564.64173882726743</v>
      </c>
      <c r="AB180" s="1">
        <v>0.52787004548138228</v>
      </c>
      <c r="AC180" s="2">
        <v>-8.4869084982019949</v>
      </c>
      <c r="AD180" s="2">
        <v>-10.598388680127524</v>
      </c>
      <c r="AE180" s="22" t="s">
        <v>17</v>
      </c>
      <c r="AF180" s="23"/>
      <c r="AG180" s="24" t="s">
        <v>17</v>
      </c>
      <c r="AH180" s="24" t="s">
        <v>17</v>
      </c>
      <c r="AI180" s="1" t="s">
        <v>17</v>
      </c>
      <c r="AJ180" s="2" t="s">
        <v>17</v>
      </c>
      <c r="AK180" s="2" t="s">
        <v>17</v>
      </c>
      <c r="AL180" s="3"/>
      <c r="AM180" s="2"/>
      <c r="AN180" s="24" t="s">
        <v>17</v>
      </c>
      <c r="AO180" s="24" t="s">
        <v>17</v>
      </c>
      <c r="AP180" s="1" t="s">
        <v>17</v>
      </c>
      <c r="AQ180" s="2" t="s">
        <v>17</v>
      </c>
      <c r="AR180" s="2" t="s">
        <v>17</v>
      </c>
      <c r="AS180" s="3"/>
      <c r="AT180" s="2"/>
      <c r="AU180" s="4"/>
      <c r="AV180" s="2"/>
      <c r="AW180" s="1" t="s">
        <v>17</v>
      </c>
      <c r="AX180" s="2" t="s">
        <v>17</v>
      </c>
      <c r="AY180" s="2" t="s">
        <v>17</v>
      </c>
      <c r="AZ180" s="5"/>
      <c r="BA180" s="6"/>
      <c r="BB180" s="4"/>
      <c r="BC180" s="6"/>
      <c r="BD180" s="6"/>
      <c r="BE180" s="6"/>
      <c r="BF180" s="7"/>
    </row>
    <row r="181" spans="1:58" ht="18" customHeight="1">
      <c r="A181" s="106" t="s">
        <v>15</v>
      </c>
      <c r="B181" s="93" t="s">
        <v>159</v>
      </c>
      <c r="C181" s="28">
        <v>253.02</v>
      </c>
      <c r="D181" s="28">
        <v>253.14</v>
      </c>
      <c r="E181" s="28">
        <v>253.07999999999998</v>
      </c>
      <c r="F181" s="28">
        <v>253.07999999999998</v>
      </c>
      <c r="G181" s="29">
        <v>7820.0277527849203</v>
      </c>
      <c r="H181" s="29">
        <v>5345.0288317445202</v>
      </c>
      <c r="I181" s="27">
        <f t="shared" si="7"/>
        <v>1</v>
      </c>
      <c r="J181" s="27">
        <f t="shared" si="8"/>
        <v>1</v>
      </c>
      <c r="K181" s="27">
        <f t="shared" si="6"/>
        <v>1</v>
      </c>
      <c r="L181" s="25">
        <v>560.37072650000005</v>
      </c>
      <c r="M181" s="25">
        <v>564.15891511394148</v>
      </c>
      <c r="N181" s="38">
        <v>0.52323120967212589</v>
      </c>
      <c r="O181" s="38">
        <v>-7.5016742598137398</v>
      </c>
      <c r="P181" s="71">
        <v>-9.5945990985022434</v>
      </c>
      <c r="Q181" s="53">
        <v>43235</v>
      </c>
      <c r="R181" s="23">
        <v>6</v>
      </c>
      <c r="S181" s="24">
        <v>560.37072650000005</v>
      </c>
      <c r="T181" s="24">
        <v>564.15891511394148</v>
      </c>
      <c r="U181" s="1">
        <v>0.52323120967212589</v>
      </c>
      <c r="V181" s="2">
        <v>-7.5016742598137398</v>
      </c>
      <c r="W181" s="2">
        <v>-9.5945990985022434</v>
      </c>
      <c r="X181" s="22" t="s">
        <v>17</v>
      </c>
      <c r="Y181" s="23"/>
      <c r="Z181" s="24" t="s">
        <v>17</v>
      </c>
      <c r="AA181" s="24" t="s">
        <v>17</v>
      </c>
      <c r="AB181" s="1" t="s">
        <v>17</v>
      </c>
      <c r="AC181" s="2" t="s">
        <v>17</v>
      </c>
      <c r="AD181" s="2" t="s">
        <v>17</v>
      </c>
      <c r="AE181" s="22" t="s">
        <v>17</v>
      </c>
      <c r="AF181" s="23"/>
      <c r="AG181" s="24" t="s">
        <v>17</v>
      </c>
      <c r="AH181" s="24" t="s">
        <v>17</v>
      </c>
      <c r="AI181" s="1" t="s">
        <v>17</v>
      </c>
      <c r="AJ181" s="2" t="s">
        <v>17</v>
      </c>
      <c r="AK181" s="2" t="s">
        <v>17</v>
      </c>
      <c r="AL181" s="3"/>
      <c r="AM181" s="2"/>
      <c r="AN181" s="24" t="s">
        <v>17</v>
      </c>
      <c r="AO181" s="24" t="s">
        <v>17</v>
      </c>
      <c r="AP181" s="1" t="s">
        <v>17</v>
      </c>
      <c r="AQ181" s="2" t="s">
        <v>17</v>
      </c>
      <c r="AR181" s="2" t="s">
        <v>17</v>
      </c>
      <c r="AS181" s="3"/>
      <c r="AT181" s="2"/>
      <c r="AU181" s="4"/>
      <c r="AV181" s="2"/>
      <c r="AW181" s="1" t="s">
        <v>17</v>
      </c>
      <c r="AX181" s="2" t="s">
        <v>17</v>
      </c>
      <c r="AY181" s="2" t="s">
        <v>17</v>
      </c>
      <c r="AZ181" s="5"/>
      <c r="BA181" s="6"/>
      <c r="BB181" s="4"/>
      <c r="BC181" s="6"/>
      <c r="BD181" s="6"/>
      <c r="BE181" s="6"/>
      <c r="BF181" s="7"/>
    </row>
    <row r="182" spans="1:58" ht="18" customHeight="1">
      <c r="A182" s="106" t="s">
        <v>15</v>
      </c>
      <c r="B182" s="93" t="s">
        <v>160</v>
      </c>
      <c r="C182" s="28">
        <v>254.02</v>
      </c>
      <c r="D182" s="28">
        <v>254.10499999999999</v>
      </c>
      <c r="E182" s="28">
        <v>254.0625</v>
      </c>
      <c r="F182" s="28">
        <v>254.0625</v>
      </c>
      <c r="G182" s="29">
        <v>7856.02166370334</v>
      </c>
      <c r="H182" s="29">
        <v>5380.4387266821996</v>
      </c>
      <c r="I182" s="27">
        <f t="shared" si="7"/>
        <v>1</v>
      </c>
      <c r="J182" s="27">
        <f t="shared" si="8"/>
        <v>1</v>
      </c>
      <c r="K182" s="27">
        <f t="shared" si="6"/>
        <v>1</v>
      </c>
      <c r="L182" s="25">
        <v>562.10429199999999</v>
      </c>
      <c r="M182" s="25">
        <v>565.96987204464347</v>
      </c>
      <c r="N182" s="38">
        <v>0.53227400353561549</v>
      </c>
      <c r="O182" s="38">
        <v>-7.1693593033189673</v>
      </c>
      <c r="P182" s="71">
        <v>-9.2984553174614284</v>
      </c>
      <c r="Q182" s="53">
        <v>42710</v>
      </c>
      <c r="R182" s="23">
        <v>6</v>
      </c>
      <c r="S182" s="24">
        <v>562.10429199999999</v>
      </c>
      <c r="T182" s="24">
        <v>565.96987204464347</v>
      </c>
      <c r="U182" s="1">
        <v>0.53227400353561549</v>
      </c>
      <c r="V182" s="2">
        <v>-7.1693593033189673</v>
      </c>
      <c r="W182" s="2">
        <v>-9.2984553174614284</v>
      </c>
      <c r="X182" s="22" t="s">
        <v>17</v>
      </c>
      <c r="Y182" s="23"/>
      <c r="Z182" s="24" t="s">
        <v>17</v>
      </c>
      <c r="AA182" s="24" t="s">
        <v>17</v>
      </c>
      <c r="AB182" s="1" t="s">
        <v>17</v>
      </c>
      <c r="AC182" s="2" t="s">
        <v>17</v>
      </c>
      <c r="AD182" s="2" t="s">
        <v>17</v>
      </c>
      <c r="AE182" s="22" t="s">
        <v>17</v>
      </c>
      <c r="AF182" s="23"/>
      <c r="AG182" s="24" t="s">
        <v>17</v>
      </c>
      <c r="AH182" s="24" t="s">
        <v>17</v>
      </c>
      <c r="AI182" s="1" t="s">
        <v>17</v>
      </c>
      <c r="AJ182" s="2" t="s">
        <v>17</v>
      </c>
      <c r="AK182" s="2" t="s">
        <v>17</v>
      </c>
      <c r="AL182" s="3"/>
      <c r="AM182" s="2"/>
      <c r="AN182" s="24" t="s">
        <v>17</v>
      </c>
      <c r="AO182" s="24" t="s">
        <v>17</v>
      </c>
      <c r="AP182" s="1" t="s">
        <v>17</v>
      </c>
      <c r="AQ182" s="2" t="s">
        <v>17</v>
      </c>
      <c r="AR182" s="2" t="s">
        <v>17</v>
      </c>
      <c r="AS182" s="3"/>
      <c r="AT182" s="2"/>
      <c r="AU182" s="4"/>
      <c r="AV182" s="2"/>
      <c r="AW182" s="1" t="s">
        <v>17</v>
      </c>
      <c r="AX182" s="2" t="s">
        <v>17</v>
      </c>
      <c r="AY182" s="2" t="s">
        <v>17</v>
      </c>
      <c r="AZ182" s="11"/>
      <c r="BA182" s="12"/>
      <c r="BB182" s="4"/>
      <c r="BC182" s="12"/>
      <c r="BD182" s="12"/>
      <c r="BE182" s="12"/>
      <c r="BF182" s="13"/>
    </row>
    <row r="183" spans="1:58" ht="18" customHeight="1">
      <c r="A183" s="106" t="s">
        <v>15</v>
      </c>
      <c r="B183" s="93" t="s">
        <v>161</v>
      </c>
      <c r="C183" s="28">
        <v>255.4</v>
      </c>
      <c r="D183" s="28">
        <v>255.52</v>
      </c>
      <c r="E183" s="28">
        <v>255.46</v>
      </c>
      <c r="F183" s="28">
        <v>255.46</v>
      </c>
      <c r="G183" s="29">
        <v>7905.5110850504998</v>
      </c>
      <c r="H183" s="29">
        <v>5435.6342391309199</v>
      </c>
      <c r="I183" s="27">
        <f t="shared" si="7"/>
        <v>1</v>
      </c>
      <c r="J183" s="27">
        <f t="shared" si="8"/>
        <v>1</v>
      </c>
      <c r="K183" s="27">
        <f t="shared" si="6"/>
        <v>1</v>
      </c>
      <c r="L183" s="25">
        <v>560.92068250000011</v>
      </c>
      <c r="M183" s="25">
        <v>564.6950251583645</v>
      </c>
      <c r="N183" s="38">
        <v>0.52080765394690864</v>
      </c>
      <c r="O183" s="38">
        <v>-6.3363851531249571</v>
      </c>
      <c r="P183" s="71">
        <v>-8.4196157689125926</v>
      </c>
      <c r="Q183" s="53">
        <v>43265</v>
      </c>
      <c r="R183" s="23">
        <v>7</v>
      </c>
      <c r="S183" s="24">
        <v>560.92068250000011</v>
      </c>
      <c r="T183" s="24">
        <v>564.6950251583645</v>
      </c>
      <c r="U183" s="1">
        <v>0.52080765394690864</v>
      </c>
      <c r="V183" s="2">
        <v>-6.3363851531249571</v>
      </c>
      <c r="W183" s="2">
        <v>-8.4196157689125926</v>
      </c>
      <c r="X183" s="22" t="s">
        <v>17</v>
      </c>
      <c r="Y183" s="23"/>
      <c r="Z183" s="24" t="s">
        <v>17</v>
      </c>
      <c r="AA183" s="24" t="s">
        <v>17</v>
      </c>
      <c r="AB183" s="1" t="s">
        <v>17</v>
      </c>
      <c r="AC183" s="2" t="s">
        <v>17</v>
      </c>
      <c r="AD183" s="2" t="s">
        <v>17</v>
      </c>
      <c r="AE183" s="22" t="s">
        <v>17</v>
      </c>
      <c r="AF183" s="23"/>
      <c r="AG183" s="24" t="s">
        <v>17</v>
      </c>
      <c r="AH183" s="24" t="s">
        <v>17</v>
      </c>
      <c r="AI183" s="1" t="s">
        <v>17</v>
      </c>
      <c r="AJ183" s="2" t="s">
        <v>17</v>
      </c>
      <c r="AK183" s="2" t="s">
        <v>17</v>
      </c>
      <c r="AL183" s="3"/>
      <c r="AM183" s="2"/>
      <c r="AN183" s="24" t="s">
        <v>17</v>
      </c>
      <c r="AO183" s="24" t="s">
        <v>17</v>
      </c>
      <c r="AP183" s="1" t="s">
        <v>17</v>
      </c>
      <c r="AQ183" s="2" t="s">
        <v>17</v>
      </c>
      <c r="AR183" s="2" t="s">
        <v>17</v>
      </c>
      <c r="AS183" s="3"/>
      <c r="AT183" s="2"/>
      <c r="AU183" s="4"/>
      <c r="AV183" s="2"/>
      <c r="AW183" s="1" t="s">
        <v>17</v>
      </c>
      <c r="AX183" s="2" t="s">
        <v>17</v>
      </c>
      <c r="AY183" s="2" t="s">
        <v>17</v>
      </c>
      <c r="AZ183" s="14"/>
      <c r="BA183" s="15"/>
      <c r="BB183" s="4"/>
      <c r="BC183" s="15"/>
      <c r="BD183" s="15"/>
      <c r="BE183" s="15"/>
      <c r="BF183" s="16"/>
    </row>
    <row r="184" spans="1:58" ht="18" customHeight="1">
      <c r="A184" s="106" t="s">
        <v>15</v>
      </c>
      <c r="B184" s="93" t="s">
        <v>162</v>
      </c>
      <c r="C184" s="28">
        <v>256.49</v>
      </c>
      <c r="D184" s="28">
        <v>256.61</v>
      </c>
      <c r="E184" s="28">
        <v>256.55</v>
      </c>
      <c r="F184" s="28">
        <v>256.55</v>
      </c>
      <c r="G184" s="29">
        <v>7944.4496666189498</v>
      </c>
      <c r="H184" s="29">
        <v>5480.225295878</v>
      </c>
      <c r="I184" s="27">
        <f t="shared" si="7"/>
        <v>1</v>
      </c>
      <c r="J184" s="27">
        <f t="shared" si="8"/>
        <v>2</v>
      </c>
      <c r="K184" s="27">
        <f t="shared" si="6"/>
        <v>2</v>
      </c>
      <c r="L184" s="25">
        <v>570.91145800000004</v>
      </c>
      <c r="M184" s="25">
        <v>574.7653689795784</v>
      </c>
      <c r="N184" s="38">
        <v>0.52247860251108946</v>
      </c>
      <c r="O184" s="38">
        <v>-10.025295525966371</v>
      </c>
      <c r="P184" s="71">
        <v>-12.115209936010729</v>
      </c>
      <c r="Q184" s="53">
        <v>42667</v>
      </c>
      <c r="R184" s="23">
        <v>8</v>
      </c>
      <c r="S184" s="24"/>
      <c r="T184" s="24"/>
      <c r="U184" s="1">
        <v>0.51994524291254507</v>
      </c>
      <c r="V184" s="2">
        <v>-10.442910739327683</v>
      </c>
      <c r="W184" s="2">
        <v>-12.522691710977863</v>
      </c>
      <c r="X184" s="22">
        <v>42667</v>
      </c>
      <c r="Y184" s="23">
        <v>8</v>
      </c>
      <c r="Z184" s="24"/>
      <c r="AA184" s="24"/>
      <c r="AB184" s="1">
        <v>0.52501196210963386</v>
      </c>
      <c r="AC184" s="2">
        <v>-9.6076803126050603</v>
      </c>
      <c r="AD184" s="2">
        <v>-11.707728161043596</v>
      </c>
      <c r="AE184" s="22">
        <v>42674</v>
      </c>
      <c r="AF184" s="23" t="s">
        <v>88</v>
      </c>
      <c r="AG184" s="24">
        <v>570.91145800000004</v>
      </c>
      <c r="AH184" s="24">
        <v>574.7653689795784</v>
      </c>
      <c r="AI184" s="1"/>
      <c r="AJ184" s="2"/>
      <c r="AK184" s="2"/>
      <c r="AL184" s="3"/>
      <c r="AM184" s="2"/>
      <c r="AN184" s="24" t="s">
        <v>17</v>
      </c>
      <c r="AO184" s="24" t="s">
        <v>17</v>
      </c>
      <c r="AP184" s="1" t="s">
        <v>17</v>
      </c>
      <c r="AQ184" s="2" t="s">
        <v>17</v>
      </c>
      <c r="AR184" s="2" t="s">
        <v>17</v>
      </c>
      <c r="AS184" s="3"/>
      <c r="AT184" s="2"/>
      <c r="AU184" s="4"/>
      <c r="AV184" s="2"/>
      <c r="AW184" s="1" t="s">
        <v>17</v>
      </c>
      <c r="AX184" s="2" t="s">
        <v>17</v>
      </c>
      <c r="AY184" s="2" t="s">
        <v>17</v>
      </c>
      <c r="AZ184" s="11"/>
      <c r="BA184" s="12"/>
      <c r="BB184" s="4"/>
      <c r="BC184" s="12"/>
      <c r="BD184" s="12"/>
      <c r="BE184" s="12"/>
      <c r="BF184" s="13"/>
    </row>
    <row r="185" spans="1:58" ht="18" customHeight="1">
      <c r="A185" s="106" t="s">
        <v>15</v>
      </c>
      <c r="B185" s="93" t="s">
        <v>163</v>
      </c>
      <c r="C185" s="28">
        <v>257.49</v>
      </c>
      <c r="D185" s="28">
        <v>257.61</v>
      </c>
      <c r="E185" s="28">
        <v>257.55</v>
      </c>
      <c r="F185" s="28">
        <v>257.55</v>
      </c>
      <c r="G185" s="29">
        <v>7982.4414795330003</v>
      </c>
      <c r="H185" s="29">
        <v>5516.0706841179999</v>
      </c>
      <c r="I185" s="27">
        <f t="shared" si="7"/>
        <v>1</v>
      </c>
      <c r="J185" s="27">
        <f t="shared" si="8"/>
        <v>1</v>
      </c>
      <c r="K185" s="27">
        <f t="shared" si="6"/>
        <v>1</v>
      </c>
      <c r="L185" s="25">
        <v>562.0690075</v>
      </c>
      <c r="M185" s="25">
        <v>565.92792957549455</v>
      </c>
      <c r="N185" s="38">
        <v>0.53139058591100685</v>
      </c>
      <c r="O185" s="38">
        <v>-9.1027674508847856</v>
      </c>
      <c r="P185" s="71">
        <v>-11.228329794528813</v>
      </c>
      <c r="Q185" s="53">
        <v>42730</v>
      </c>
      <c r="R185" s="23">
        <v>13</v>
      </c>
      <c r="S185" s="24">
        <v>562.0690075</v>
      </c>
      <c r="T185" s="24">
        <v>565.92792957549455</v>
      </c>
      <c r="U185" s="1">
        <v>0.53139058591100685</v>
      </c>
      <c r="V185" s="2">
        <v>-9.1027674508847856</v>
      </c>
      <c r="W185" s="2">
        <v>-11.228329794528813</v>
      </c>
      <c r="X185" s="22" t="s">
        <v>17</v>
      </c>
      <c r="Y185" s="23"/>
      <c r="Z185" s="24" t="s">
        <v>17</v>
      </c>
      <c r="AA185" s="24" t="s">
        <v>17</v>
      </c>
      <c r="AB185" s="1" t="s">
        <v>17</v>
      </c>
      <c r="AC185" s="2" t="s">
        <v>17</v>
      </c>
      <c r="AD185" s="2" t="s">
        <v>17</v>
      </c>
      <c r="AE185" s="22" t="s">
        <v>17</v>
      </c>
      <c r="AF185" s="23"/>
      <c r="AG185" s="24" t="s">
        <v>17</v>
      </c>
      <c r="AH185" s="24" t="s">
        <v>17</v>
      </c>
      <c r="AI185" s="1" t="s">
        <v>17</v>
      </c>
      <c r="AJ185" s="2" t="s">
        <v>17</v>
      </c>
      <c r="AK185" s="2" t="s">
        <v>17</v>
      </c>
      <c r="AL185" s="3"/>
      <c r="AM185" s="2"/>
      <c r="AN185" s="24" t="s">
        <v>17</v>
      </c>
      <c r="AO185" s="24" t="s">
        <v>17</v>
      </c>
      <c r="AP185" s="1" t="s">
        <v>17</v>
      </c>
      <c r="AQ185" s="2" t="s">
        <v>17</v>
      </c>
      <c r="AR185" s="2" t="s">
        <v>17</v>
      </c>
      <c r="AS185" s="3"/>
      <c r="AT185" s="2"/>
      <c r="AU185" s="4"/>
      <c r="AV185" s="2"/>
      <c r="AW185" s="1" t="s">
        <v>17</v>
      </c>
      <c r="AX185" s="2" t="s">
        <v>17</v>
      </c>
      <c r="AY185" s="2" t="s">
        <v>17</v>
      </c>
      <c r="AZ185" s="5"/>
      <c r="BA185" s="6"/>
      <c r="BB185" s="4"/>
      <c r="BC185" s="6"/>
      <c r="BD185" s="6"/>
      <c r="BE185" s="6"/>
      <c r="BF185" s="7"/>
    </row>
    <row r="186" spans="1:58" ht="18" customHeight="1">
      <c r="A186" s="106" t="s">
        <v>15</v>
      </c>
      <c r="B186" s="93" t="s">
        <v>164</v>
      </c>
      <c r="C186" s="28">
        <v>258.49</v>
      </c>
      <c r="D186" s="28">
        <v>258.61</v>
      </c>
      <c r="E186" s="28">
        <v>258.55</v>
      </c>
      <c r="F186" s="28">
        <v>258.55</v>
      </c>
      <c r="G186" s="29">
        <v>8021.0746509719502</v>
      </c>
      <c r="H186" s="29">
        <v>5549.9764357512504</v>
      </c>
      <c r="I186" s="27">
        <f t="shared" si="7"/>
        <v>1</v>
      </c>
      <c r="J186" s="27">
        <f t="shared" si="8"/>
        <v>1</v>
      </c>
      <c r="K186" s="27">
        <f t="shared" si="6"/>
        <v>1</v>
      </c>
      <c r="L186" s="25">
        <v>574.14994799999999</v>
      </c>
      <c r="M186" s="25">
        <v>578.04279113148516</v>
      </c>
      <c r="N186" s="38">
        <v>0.52478215664275574</v>
      </c>
      <c r="O186" s="38">
        <v>-7.784490147226375</v>
      </c>
      <c r="P186" s="71">
        <v>-9.8836187737973979</v>
      </c>
      <c r="Q186" s="53">
        <v>42702</v>
      </c>
      <c r="R186" s="23">
        <v>12</v>
      </c>
      <c r="S186" s="24">
        <v>574.14994799999999</v>
      </c>
      <c r="T186" s="24">
        <v>578.04279113148516</v>
      </c>
      <c r="U186" s="1">
        <v>0.52478215664275574</v>
      </c>
      <c r="V186" s="2">
        <v>-7.784490147226375</v>
      </c>
      <c r="W186" s="2">
        <v>-9.8836187737973979</v>
      </c>
      <c r="X186" s="22" t="s">
        <v>17</v>
      </c>
      <c r="Y186" s="23"/>
      <c r="Z186" s="24" t="s">
        <v>17</v>
      </c>
      <c r="AA186" s="24" t="s">
        <v>17</v>
      </c>
      <c r="AB186" s="1" t="s">
        <v>17</v>
      </c>
      <c r="AC186" s="2" t="s">
        <v>17</v>
      </c>
      <c r="AD186" s="2" t="s">
        <v>17</v>
      </c>
      <c r="AE186" s="22" t="s">
        <v>17</v>
      </c>
      <c r="AF186" s="23"/>
      <c r="AG186" s="24" t="s">
        <v>17</v>
      </c>
      <c r="AH186" s="24" t="s">
        <v>17</v>
      </c>
      <c r="AI186" s="1" t="s">
        <v>17</v>
      </c>
      <c r="AJ186" s="2" t="s">
        <v>17</v>
      </c>
      <c r="AK186" s="2" t="s">
        <v>17</v>
      </c>
      <c r="AL186" s="3"/>
      <c r="AM186" s="2"/>
      <c r="AN186" s="24" t="s">
        <v>17</v>
      </c>
      <c r="AO186" s="24" t="s">
        <v>17</v>
      </c>
      <c r="AP186" s="1" t="s">
        <v>17</v>
      </c>
      <c r="AQ186" s="2" t="s">
        <v>17</v>
      </c>
      <c r="AR186" s="2" t="s">
        <v>17</v>
      </c>
      <c r="AS186" s="3"/>
      <c r="AT186" s="2"/>
      <c r="AU186" s="4"/>
      <c r="AV186" s="2"/>
      <c r="AW186" s="1" t="s">
        <v>17</v>
      </c>
      <c r="AX186" s="2" t="s">
        <v>17</v>
      </c>
      <c r="AY186" s="2" t="s">
        <v>17</v>
      </c>
      <c r="AZ186" s="17"/>
      <c r="BA186" s="18"/>
      <c r="BB186" s="4"/>
      <c r="BC186" s="18"/>
      <c r="BD186" s="18"/>
      <c r="BE186" s="18"/>
      <c r="BF186" s="19"/>
    </row>
    <row r="187" spans="1:58" ht="18" customHeight="1">
      <c r="A187" s="106" t="s">
        <v>15</v>
      </c>
      <c r="B187" s="93" t="s">
        <v>165</v>
      </c>
      <c r="C187" s="28">
        <v>259.99</v>
      </c>
      <c r="D187" s="28">
        <v>260.11</v>
      </c>
      <c r="E187" s="28">
        <v>260.05</v>
      </c>
      <c r="F187" s="28">
        <v>260.05</v>
      </c>
      <c r="G187" s="29">
        <v>8077.9632217287999</v>
      </c>
      <c r="H187" s="29">
        <v>5603.80427434595</v>
      </c>
      <c r="I187" s="27">
        <f t="shared" si="7"/>
        <v>1</v>
      </c>
      <c r="J187" s="27">
        <f t="shared" si="8"/>
        <v>1</v>
      </c>
      <c r="K187" s="27">
        <f t="shared" si="6"/>
        <v>1</v>
      </c>
      <c r="L187" s="25">
        <v>576.27443300000004</v>
      </c>
      <c r="M187" s="25">
        <v>580.24705128337689</v>
      </c>
      <c r="N187" s="38">
        <v>0.53356209767474461</v>
      </c>
      <c r="O187" s="38">
        <v>-8.887486694051816</v>
      </c>
      <c r="P187" s="71">
        <v>-11.021735084750794</v>
      </c>
      <c r="Q187" s="53">
        <v>43244</v>
      </c>
      <c r="R187" s="23">
        <v>6</v>
      </c>
      <c r="S187" s="24">
        <v>576.27443300000004</v>
      </c>
      <c r="T187" s="24">
        <v>580.24705128337689</v>
      </c>
      <c r="U187" s="1">
        <v>0.53356209767474461</v>
      </c>
      <c r="V187" s="2">
        <v>-8.887486694051816</v>
      </c>
      <c r="W187" s="2">
        <v>-11.021735084750794</v>
      </c>
      <c r="X187" s="22" t="s">
        <v>17</v>
      </c>
      <c r="Y187" s="23"/>
      <c r="Z187" s="24" t="s">
        <v>17</v>
      </c>
      <c r="AA187" s="24" t="s">
        <v>17</v>
      </c>
      <c r="AB187" s="1" t="s">
        <v>17</v>
      </c>
      <c r="AC187" s="2" t="s">
        <v>17</v>
      </c>
      <c r="AD187" s="2" t="s">
        <v>17</v>
      </c>
      <c r="AE187" s="22" t="s">
        <v>17</v>
      </c>
      <c r="AF187" s="23"/>
      <c r="AG187" s="24" t="s">
        <v>17</v>
      </c>
      <c r="AH187" s="24" t="s">
        <v>17</v>
      </c>
      <c r="AI187" s="1" t="s">
        <v>17</v>
      </c>
      <c r="AJ187" s="2" t="s">
        <v>17</v>
      </c>
      <c r="AK187" s="2" t="s">
        <v>17</v>
      </c>
      <c r="AL187" s="3"/>
      <c r="AM187" s="2"/>
      <c r="AN187" s="24" t="s">
        <v>17</v>
      </c>
      <c r="AO187" s="24" t="s">
        <v>17</v>
      </c>
      <c r="AP187" s="1" t="s">
        <v>17</v>
      </c>
      <c r="AQ187" s="2" t="s">
        <v>17</v>
      </c>
      <c r="AR187" s="2" t="s">
        <v>17</v>
      </c>
      <c r="AS187" s="3"/>
      <c r="AT187" s="2"/>
      <c r="AU187" s="4"/>
      <c r="AV187" s="2"/>
      <c r="AW187" s="1" t="s">
        <v>17</v>
      </c>
      <c r="AX187" s="2" t="s">
        <v>17</v>
      </c>
      <c r="AY187" s="2" t="s">
        <v>17</v>
      </c>
      <c r="AZ187" s="5"/>
      <c r="BA187" s="6"/>
      <c r="BB187" s="4"/>
      <c r="BC187" s="6"/>
      <c r="BD187" s="6"/>
      <c r="BE187" s="6"/>
      <c r="BF187" s="7"/>
    </row>
    <row r="188" spans="1:58" ht="18" customHeight="1">
      <c r="A188" s="106" t="s">
        <v>15</v>
      </c>
      <c r="B188" s="93" t="s">
        <v>166</v>
      </c>
      <c r="C188" s="28">
        <v>261.49</v>
      </c>
      <c r="D188" s="28">
        <v>261.61</v>
      </c>
      <c r="E188" s="28">
        <v>261.55</v>
      </c>
      <c r="F188" s="28">
        <v>261.55</v>
      </c>
      <c r="G188" s="29">
        <v>8134.8481457687003</v>
      </c>
      <c r="H188" s="29">
        <v>5654.8479647759996</v>
      </c>
      <c r="I188" s="27">
        <f t="shared" si="7"/>
        <v>2</v>
      </c>
      <c r="J188" s="27">
        <f t="shared" si="8"/>
        <v>2</v>
      </c>
      <c r="K188" s="27">
        <f t="shared" si="6"/>
        <v>0</v>
      </c>
      <c r="L188" s="25">
        <v>574.41882925000004</v>
      </c>
      <c r="M188" s="25">
        <v>578.32336092683681</v>
      </c>
      <c r="N188" s="38">
        <v>0.52611652317957613</v>
      </c>
      <c r="O188" s="38"/>
      <c r="P188" s="71"/>
      <c r="Q188" s="53">
        <v>42607</v>
      </c>
      <c r="R188" s="23">
        <v>3</v>
      </c>
      <c r="S188" s="24">
        <v>574.97535949999997</v>
      </c>
      <c r="T188" s="24">
        <v>578.84495949584164</v>
      </c>
      <c r="U188" s="1">
        <v>0.5208999632635436</v>
      </c>
      <c r="V188" s="2"/>
      <c r="W188" s="2"/>
      <c r="X188" s="22">
        <v>42607</v>
      </c>
      <c r="Y188" s="23">
        <v>3</v>
      </c>
      <c r="Z188" s="24">
        <v>573.86229900000001</v>
      </c>
      <c r="AA188" s="24">
        <v>577.8017623578321</v>
      </c>
      <c r="AB188" s="1">
        <v>0.53133308309560867</v>
      </c>
      <c r="AC188" s="2"/>
      <c r="AD188" s="2"/>
      <c r="AE188" s="22" t="s">
        <v>17</v>
      </c>
      <c r="AF188" s="23"/>
      <c r="AG188" s="24" t="s">
        <v>17</v>
      </c>
      <c r="AH188" s="24" t="s">
        <v>17</v>
      </c>
      <c r="AI188" s="1" t="s">
        <v>17</v>
      </c>
      <c r="AJ188" s="2" t="s">
        <v>17</v>
      </c>
      <c r="AK188" s="2" t="s">
        <v>17</v>
      </c>
      <c r="AL188" s="3"/>
      <c r="AM188" s="2"/>
      <c r="AN188" s="24" t="s">
        <v>17</v>
      </c>
      <c r="AO188" s="24" t="s">
        <v>17</v>
      </c>
      <c r="AP188" s="1" t="s">
        <v>17</v>
      </c>
      <c r="AQ188" s="2" t="s">
        <v>17</v>
      </c>
      <c r="AR188" s="2" t="s">
        <v>17</v>
      </c>
      <c r="AS188" s="3"/>
      <c r="AT188" s="2"/>
      <c r="AU188" s="4"/>
      <c r="AV188" s="2"/>
      <c r="AW188" s="1" t="s">
        <v>17</v>
      </c>
      <c r="AX188" s="2" t="s">
        <v>17</v>
      </c>
      <c r="AY188" s="2" t="s">
        <v>17</v>
      </c>
      <c r="AZ188" s="5"/>
      <c r="BA188" s="6"/>
      <c r="BB188" s="4"/>
      <c r="BC188" s="6"/>
      <c r="BD188" s="6"/>
      <c r="BE188" s="6"/>
      <c r="BF188" s="7"/>
    </row>
    <row r="189" spans="1:58" ht="18" customHeight="1">
      <c r="A189" s="106" t="s">
        <v>15</v>
      </c>
      <c r="B189" s="93" t="s">
        <v>167</v>
      </c>
      <c r="C189" s="28">
        <v>262.49</v>
      </c>
      <c r="D189" s="28">
        <v>262.61</v>
      </c>
      <c r="E189" s="28">
        <v>262.55</v>
      </c>
      <c r="F189" s="28">
        <v>262.55</v>
      </c>
      <c r="G189" s="29">
        <v>8173.3921594724497</v>
      </c>
      <c r="H189" s="29">
        <v>5686.1480665887502</v>
      </c>
      <c r="I189" s="27">
        <f t="shared" si="7"/>
        <v>1</v>
      </c>
      <c r="J189" s="27">
        <f t="shared" si="8"/>
        <v>1</v>
      </c>
      <c r="K189" s="27">
        <f t="shared" si="6"/>
        <v>1</v>
      </c>
      <c r="L189" s="25">
        <v>581.1486185</v>
      </c>
      <c r="M189" s="25">
        <v>585.00315040621388</v>
      </c>
      <c r="N189" s="38">
        <v>0.51335987617751044</v>
      </c>
      <c r="O189" s="38">
        <v>-9.8727637904266743</v>
      </c>
      <c r="P189" s="71">
        <v>-11.926203295136716</v>
      </c>
      <c r="Q189" s="53">
        <v>42724</v>
      </c>
      <c r="R189" s="23">
        <v>12</v>
      </c>
      <c r="S189" s="24">
        <v>581.1486185</v>
      </c>
      <c r="T189" s="24">
        <v>585.00315040621388</v>
      </c>
      <c r="U189" s="1">
        <v>0.51335987617751044</v>
      </c>
      <c r="V189" s="2">
        <v>-9.8727637904266743</v>
      </c>
      <c r="W189" s="2">
        <v>-11.926203295136716</v>
      </c>
      <c r="X189" s="22" t="s">
        <v>17</v>
      </c>
      <c r="Y189" s="23"/>
      <c r="Z189" s="24" t="s">
        <v>17</v>
      </c>
      <c r="AA189" s="24" t="s">
        <v>17</v>
      </c>
      <c r="AB189" s="1" t="s">
        <v>17</v>
      </c>
      <c r="AC189" s="2" t="s">
        <v>17</v>
      </c>
      <c r="AD189" s="2" t="s">
        <v>17</v>
      </c>
      <c r="AE189" s="22" t="s">
        <v>17</v>
      </c>
      <c r="AF189" s="23"/>
      <c r="AG189" s="24" t="s">
        <v>17</v>
      </c>
      <c r="AH189" s="24" t="s">
        <v>17</v>
      </c>
      <c r="AI189" s="1" t="s">
        <v>17</v>
      </c>
      <c r="AJ189" s="2" t="s">
        <v>17</v>
      </c>
      <c r="AK189" s="2" t="s">
        <v>17</v>
      </c>
      <c r="AL189" s="3"/>
      <c r="AM189" s="2"/>
      <c r="AN189" s="24" t="s">
        <v>17</v>
      </c>
      <c r="AO189" s="24" t="s">
        <v>17</v>
      </c>
      <c r="AP189" s="1" t="s">
        <v>17</v>
      </c>
      <c r="AQ189" s="2" t="s">
        <v>17</v>
      </c>
      <c r="AR189" s="2" t="s">
        <v>17</v>
      </c>
      <c r="AS189" s="3"/>
      <c r="AT189" s="2"/>
      <c r="AU189" s="4"/>
      <c r="AV189" s="2"/>
      <c r="AW189" s="1" t="s">
        <v>17</v>
      </c>
      <c r="AX189" s="2" t="s">
        <v>17</v>
      </c>
      <c r="AY189" s="2" t="s">
        <v>17</v>
      </c>
      <c r="AZ189" s="17"/>
      <c r="BA189" s="18"/>
      <c r="BB189" s="4"/>
      <c r="BC189" s="18"/>
      <c r="BD189" s="18"/>
      <c r="BE189" s="18"/>
      <c r="BF189" s="19"/>
    </row>
    <row r="190" spans="1:58" ht="18" customHeight="1">
      <c r="A190" s="106" t="s">
        <v>15</v>
      </c>
      <c r="B190" s="93" t="s">
        <v>168</v>
      </c>
      <c r="C190" s="28">
        <v>263.99</v>
      </c>
      <c r="D190" s="28">
        <v>264.11</v>
      </c>
      <c r="E190" s="28">
        <v>264.05</v>
      </c>
      <c r="F190" s="28">
        <v>264.05</v>
      </c>
      <c r="G190" s="29">
        <v>8231.2552227627002</v>
      </c>
      <c r="H190" s="29">
        <v>5732.5353509424503</v>
      </c>
      <c r="I190" s="27">
        <f t="shared" si="7"/>
        <v>1</v>
      </c>
      <c r="J190" s="27">
        <f t="shared" si="8"/>
        <v>1</v>
      </c>
      <c r="K190" s="27">
        <f t="shared" si="6"/>
        <v>1</v>
      </c>
      <c r="L190" s="25">
        <v>580.99948100000006</v>
      </c>
      <c r="M190" s="25">
        <v>584.97949924010584</v>
      </c>
      <c r="N190" s="38">
        <v>0.53020864467279161</v>
      </c>
      <c r="O190" s="38">
        <v>-9.9731864526695357</v>
      </c>
      <c r="P190" s="71">
        <v>-12.094021031360702</v>
      </c>
      <c r="Q190" s="53">
        <v>43461</v>
      </c>
      <c r="R190" s="23">
        <v>12</v>
      </c>
      <c r="S190" s="24">
        <v>580.99948100000006</v>
      </c>
      <c r="T190" s="24">
        <v>584.97949924010584</v>
      </c>
      <c r="U190" s="1">
        <v>0.53020864467279161</v>
      </c>
      <c r="V190" s="2">
        <v>-9.9731864526695357</v>
      </c>
      <c r="W190" s="2">
        <v>-12.094021031360702</v>
      </c>
      <c r="X190" s="22" t="s">
        <v>17</v>
      </c>
      <c r="Y190" s="23"/>
      <c r="Z190" s="24" t="s">
        <v>17</v>
      </c>
      <c r="AA190" s="24" t="s">
        <v>17</v>
      </c>
      <c r="AB190" s="1" t="s">
        <v>17</v>
      </c>
      <c r="AC190" s="2" t="s">
        <v>17</v>
      </c>
      <c r="AD190" s="2" t="s">
        <v>17</v>
      </c>
      <c r="AE190" s="22" t="s">
        <v>17</v>
      </c>
      <c r="AF190" s="23"/>
      <c r="AG190" s="24" t="s">
        <v>17</v>
      </c>
      <c r="AH190" s="24" t="s">
        <v>17</v>
      </c>
      <c r="AI190" s="1" t="s">
        <v>17</v>
      </c>
      <c r="AJ190" s="2" t="s">
        <v>17</v>
      </c>
      <c r="AK190" s="2" t="s">
        <v>17</v>
      </c>
      <c r="AL190" s="3"/>
      <c r="AM190" s="2"/>
      <c r="AN190" s="24" t="s">
        <v>17</v>
      </c>
      <c r="AO190" s="24" t="s">
        <v>17</v>
      </c>
      <c r="AP190" s="1" t="s">
        <v>17</v>
      </c>
      <c r="AQ190" s="2" t="s">
        <v>17</v>
      </c>
      <c r="AR190" s="2" t="s">
        <v>17</v>
      </c>
      <c r="AS190" s="3"/>
      <c r="AT190" s="2"/>
      <c r="AU190" s="4"/>
      <c r="AV190" s="2"/>
      <c r="AW190" s="1" t="s">
        <v>17</v>
      </c>
      <c r="AX190" s="2" t="s">
        <v>17</v>
      </c>
      <c r="AY190" s="2" t="s">
        <v>17</v>
      </c>
      <c r="AZ190" s="5"/>
      <c r="BA190" s="6"/>
      <c r="BB190" s="4"/>
      <c r="BC190" s="6"/>
      <c r="BD190" s="6"/>
      <c r="BE190" s="6"/>
      <c r="BF190" s="7"/>
    </row>
    <row r="191" spans="1:58" ht="18" customHeight="1">
      <c r="A191" s="106" t="s">
        <v>15</v>
      </c>
      <c r="B191" s="93" t="s">
        <v>169</v>
      </c>
      <c r="C191" s="28">
        <v>264.94</v>
      </c>
      <c r="D191" s="28">
        <v>265.06</v>
      </c>
      <c r="E191" s="28">
        <v>265</v>
      </c>
      <c r="F191" s="28">
        <v>265</v>
      </c>
      <c r="G191" s="29">
        <v>8266.7644102329996</v>
      </c>
      <c r="H191" s="29">
        <v>5764.374628216</v>
      </c>
      <c r="I191" s="27">
        <f t="shared" si="7"/>
        <v>1</v>
      </c>
      <c r="J191" s="27">
        <f t="shared" si="8"/>
        <v>1</v>
      </c>
      <c r="K191" s="27">
        <f t="shared" si="6"/>
        <v>1</v>
      </c>
      <c r="L191" s="25">
        <v>585.24774049999996</v>
      </c>
      <c r="M191" s="25">
        <v>589.21836695392903</v>
      </c>
      <c r="N191" s="38">
        <v>0.52511783929198863</v>
      </c>
      <c r="O191" s="38">
        <v>-10.453834654247206</v>
      </c>
      <c r="P191" s="71">
        <v>-12.554306011415161</v>
      </c>
      <c r="Q191" s="53">
        <v>42688</v>
      </c>
      <c r="R191" s="23">
        <v>11</v>
      </c>
      <c r="S191" s="24">
        <v>585.24774049999996</v>
      </c>
      <c r="T191" s="24">
        <v>589.21836695392903</v>
      </c>
      <c r="U191" s="1">
        <v>0.52511783929198863</v>
      </c>
      <c r="V191" s="2">
        <v>-10.453834654247206</v>
      </c>
      <c r="W191" s="2">
        <v>-12.554306011415161</v>
      </c>
      <c r="X191" s="22" t="s">
        <v>17</v>
      </c>
      <c r="Y191" s="23"/>
      <c r="Z191" s="24" t="s">
        <v>17</v>
      </c>
      <c r="AA191" s="24" t="s">
        <v>17</v>
      </c>
      <c r="AB191" s="1" t="s">
        <v>17</v>
      </c>
      <c r="AC191" s="2" t="s">
        <v>17</v>
      </c>
      <c r="AD191" s="2" t="s">
        <v>17</v>
      </c>
      <c r="AE191" s="22" t="s">
        <v>17</v>
      </c>
      <c r="AF191" s="23"/>
      <c r="AG191" s="24" t="s">
        <v>17</v>
      </c>
      <c r="AH191" s="24" t="s">
        <v>17</v>
      </c>
      <c r="AI191" s="1" t="s">
        <v>17</v>
      </c>
      <c r="AJ191" s="2" t="s">
        <v>17</v>
      </c>
      <c r="AK191" s="2" t="s">
        <v>17</v>
      </c>
      <c r="AL191" s="3"/>
      <c r="AM191" s="2"/>
      <c r="AN191" s="24" t="s">
        <v>17</v>
      </c>
      <c r="AO191" s="24" t="s">
        <v>17</v>
      </c>
      <c r="AP191" s="1" t="s">
        <v>17</v>
      </c>
      <c r="AQ191" s="2" t="s">
        <v>17</v>
      </c>
      <c r="AR191" s="2" t="s">
        <v>17</v>
      </c>
      <c r="AS191" s="3"/>
      <c r="AT191" s="2"/>
      <c r="AU191" s="4"/>
      <c r="AV191" s="2"/>
      <c r="AW191" s="1" t="s">
        <v>17</v>
      </c>
      <c r="AX191" s="2" t="s">
        <v>17</v>
      </c>
      <c r="AY191" s="2" t="s">
        <v>17</v>
      </c>
      <c r="AZ191" s="5"/>
      <c r="BA191" s="6"/>
      <c r="BB191" s="4"/>
      <c r="BC191" s="6"/>
      <c r="BD191" s="6"/>
      <c r="BE191" s="6"/>
      <c r="BF191" s="7"/>
    </row>
    <row r="192" spans="1:58" ht="18" customHeight="1">
      <c r="A192" s="106" t="s">
        <v>15</v>
      </c>
      <c r="B192" s="93" t="s">
        <v>170</v>
      </c>
      <c r="C192" s="28">
        <v>266.83</v>
      </c>
      <c r="D192" s="28">
        <v>266.95</v>
      </c>
      <c r="E192" s="28">
        <v>266.89</v>
      </c>
      <c r="F192" s="28">
        <v>266.89</v>
      </c>
      <c r="G192" s="29">
        <v>8337.4080603975108</v>
      </c>
      <c r="H192" s="29">
        <v>5833.9617651014296</v>
      </c>
      <c r="I192" s="27">
        <f t="shared" si="7"/>
        <v>1</v>
      </c>
      <c r="J192" s="27">
        <f t="shared" si="8"/>
        <v>1</v>
      </c>
      <c r="K192" s="27">
        <f t="shared" si="6"/>
        <v>1</v>
      </c>
      <c r="L192" s="25">
        <v>586.66590650000001</v>
      </c>
      <c r="M192" s="25">
        <v>590.63856241104315</v>
      </c>
      <c r="N192" s="38">
        <v>0.52411620354808619</v>
      </c>
      <c r="O192" s="38">
        <v>-11.082536750204429</v>
      </c>
      <c r="P192" s="71">
        <v>-13.179001564396774</v>
      </c>
      <c r="Q192" s="53">
        <v>43459</v>
      </c>
      <c r="R192" s="23">
        <v>12</v>
      </c>
      <c r="S192" s="24">
        <v>586.66590650000001</v>
      </c>
      <c r="T192" s="24">
        <v>590.63856241104315</v>
      </c>
      <c r="U192" s="1">
        <v>0.52411620354808619</v>
      </c>
      <c r="V192" s="2">
        <v>-11.082536750204429</v>
      </c>
      <c r="W192" s="2">
        <v>-13.179001564396774</v>
      </c>
      <c r="X192" s="22" t="s">
        <v>17</v>
      </c>
      <c r="Y192" s="23"/>
      <c r="Z192" s="24" t="s">
        <v>17</v>
      </c>
      <c r="AA192" s="24" t="s">
        <v>17</v>
      </c>
      <c r="AB192" s="1" t="s">
        <v>17</v>
      </c>
      <c r="AC192" s="2" t="s">
        <v>17</v>
      </c>
      <c r="AD192" s="2" t="s">
        <v>17</v>
      </c>
      <c r="AE192" s="22" t="s">
        <v>17</v>
      </c>
      <c r="AF192" s="23"/>
      <c r="AG192" s="24" t="s">
        <v>17</v>
      </c>
      <c r="AH192" s="24" t="s">
        <v>17</v>
      </c>
      <c r="AI192" s="1" t="s">
        <v>17</v>
      </c>
      <c r="AJ192" s="2" t="s">
        <v>17</v>
      </c>
      <c r="AK192" s="2" t="s">
        <v>17</v>
      </c>
      <c r="AL192" s="3"/>
      <c r="AM192" s="2"/>
      <c r="AN192" s="24" t="s">
        <v>17</v>
      </c>
      <c r="AO192" s="24" t="s">
        <v>17</v>
      </c>
      <c r="AP192" s="1" t="s">
        <v>17</v>
      </c>
      <c r="AQ192" s="2" t="s">
        <v>17</v>
      </c>
      <c r="AR192" s="2" t="s">
        <v>17</v>
      </c>
      <c r="AS192" s="3"/>
      <c r="AT192" s="2"/>
      <c r="AU192" s="4"/>
      <c r="AV192" s="2"/>
      <c r="AW192" s="1" t="s">
        <v>17</v>
      </c>
      <c r="AX192" s="2" t="s">
        <v>17</v>
      </c>
      <c r="AY192" s="2" t="s">
        <v>17</v>
      </c>
      <c r="AZ192" s="5"/>
      <c r="BA192" s="6"/>
      <c r="BB192" s="4"/>
      <c r="BC192" s="6"/>
      <c r="BD192" s="6"/>
      <c r="BE192" s="6"/>
      <c r="BF192" s="7"/>
    </row>
    <row r="193" spans="1:58" ht="18" customHeight="1">
      <c r="A193" s="106" t="s">
        <v>15</v>
      </c>
      <c r="B193" s="93" t="s">
        <v>171</v>
      </c>
      <c r="C193" s="28">
        <v>267.95</v>
      </c>
      <c r="D193" s="28">
        <v>268.07</v>
      </c>
      <c r="E193" s="28">
        <v>268.01</v>
      </c>
      <c r="F193" s="28">
        <v>268.01</v>
      </c>
      <c r="G193" s="29">
        <v>8380.3567090592605</v>
      </c>
      <c r="H193" s="29">
        <v>5869.6697786136201</v>
      </c>
      <c r="I193" s="27">
        <f t="shared" si="7"/>
        <v>2</v>
      </c>
      <c r="J193" s="27">
        <f t="shared" si="8"/>
        <v>2</v>
      </c>
      <c r="K193" s="27">
        <f t="shared" si="6"/>
        <v>1</v>
      </c>
      <c r="L193" s="25">
        <v>579.55066250000004</v>
      </c>
      <c r="M193" s="25">
        <v>583.47145145848515</v>
      </c>
      <c r="N193" s="38">
        <v>0.52362803588923423</v>
      </c>
      <c r="O193" s="38">
        <v>-5.2382475599968004</v>
      </c>
      <c r="P193" s="71">
        <v>-7.3233461616144524</v>
      </c>
      <c r="Q193" s="53">
        <v>42709</v>
      </c>
      <c r="R193" s="23">
        <v>13</v>
      </c>
      <c r="S193" s="24">
        <v>580.54389100000003</v>
      </c>
      <c r="T193" s="24">
        <v>584.45377775462475</v>
      </c>
      <c r="U193" s="1">
        <v>0.52127465040441301</v>
      </c>
      <c r="V193" s="2">
        <v>-5.2382475599968004</v>
      </c>
      <c r="W193" s="2">
        <v>-7.3233461616144524</v>
      </c>
      <c r="X193" s="39">
        <v>44278</v>
      </c>
      <c r="Y193" s="40" t="s">
        <v>88</v>
      </c>
      <c r="Z193" s="24">
        <v>578.55743400000006</v>
      </c>
      <c r="AA193" s="24">
        <v>582.48912516234554</v>
      </c>
      <c r="AB193" s="54">
        <v>0.52598142137405546</v>
      </c>
      <c r="AC193" s="55"/>
      <c r="AD193" s="55"/>
      <c r="AE193" s="22" t="s">
        <v>17</v>
      </c>
      <c r="AF193" s="23"/>
      <c r="AG193" s="24" t="s">
        <v>17</v>
      </c>
      <c r="AH193" s="24" t="s">
        <v>17</v>
      </c>
      <c r="AI193" s="1" t="s">
        <v>17</v>
      </c>
      <c r="AJ193" s="2" t="s">
        <v>17</v>
      </c>
      <c r="AK193" s="2" t="s">
        <v>17</v>
      </c>
      <c r="AL193" s="3"/>
      <c r="AM193" s="2"/>
      <c r="AN193" s="24" t="s">
        <v>17</v>
      </c>
      <c r="AO193" s="24" t="s">
        <v>17</v>
      </c>
      <c r="AP193" s="1" t="s">
        <v>17</v>
      </c>
      <c r="AQ193" s="2" t="s">
        <v>17</v>
      </c>
      <c r="AR193" s="2" t="s">
        <v>17</v>
      </c>
      <c r="AS193" s="3"/>
      <c r="AT193" s="2"/>
      <c r="AU193" s="4"/>
      <c r="AV193" s="2"/>
      <c r="AW193" s="1" t="s">
        <v>17</v>
      </c>
      <c r="AX193" s="2" t="s">
        <v>17</v>
      </c>
      <c r="AY193" s="2" t="s">
        <v>17</v>
      </c>
      <c r="AZ193" s="5"/>
      <c r="BA193" s="6"/>
      <c r="BB193" s="4"/>
      <c r="BC193" s="6"/>
      <c r="BD193" s="6"/>
      <c r="BE193" s="6"/>
      <c r="BF193" s="7"/>
    </row>
    <row r="194" spans="1:58" ht="18" customHeight="1">
      <c r="A194" s="106" t="s">
        <v>15</v>
      </c>
      <c r="B194" s="93" t="s">
        <v>172</v>
      </c>
      <c r="C194" s="28">
        <v>269.45</v>
      </c>
      <c r="D194" s="28">
        <v>269.57</v>
      </c>
      <c r="E194" s="28">
        <v>269.51</v>
      </c>
      <c r="F194" s="28">
        <v>269.51</v>
      </c>
      <c r="G194" s="29">
        <v>8436.3782208160701</v>
      </c>
      <c r="H194" s="29">
        <v>5922.2103410776999</v>
      </c>
      <c r="I194" s="27">
        <f t="shared" si="7"/>
        <v>2</v>
      </c>
      <c r="J194" s="27">
        <f t="shared" si="8"/>
        <v>2</v>
      </c>
      <c r="K194" s="27">
        <f t="shared" si="6"/>
        <v>0</v>
      </c>
      <c r="L194" s="25">
        <v>575.58189175000007</v>
      </c>
      <c r="M194" s="25">
        <v>579.5082557454441</v>
      </c>
      <c r="N194" s="38">
        <v>0.52798812177201615</v>
      </c>
      <c r="O194" s="38"/>
      <c r="P194" s="71"/>
      <c r="Q194" s="53">
        <v>42626</v>
      </c>
      <c r="R194" s="23">
        <v>3</v>
      </c>
      <c r="S194" s="24">
        <v>577.08106450000002</v>
      </c>
      <c r="T194" s="24">
        <v>581.00644527702809</v>
      </c>
      <c r="U194" s="1">
        <v>0.52648069787020191</v>
      </c>
      <c r="V194" s="2"/>
      <c r="W194" s="2"/>
      <c r="X194" s="22">
        <v>42626</v>
      </c>
      <c r="Y194" s="23">
        <v>3</v>
      </c>
      <c r="Z194" s="24">
        <v>574.082719</v>
      </c>
      <c r="AA194" s="24">
        <v>578.01006621386</v>
      </c>
      <c r="AB194" s="1">
        <v>0.52949554567383039</v>
      </c>
      <c r="AC194" s="2"/>
      <c r="AD194" s="2"/>
      <c r="AE194" s="22" t="s">
        <v>17</v>
      </c>
      <c r="AF194" s="23"/>
      <c r="AG194" s="24" t="s">
        <v>17</v>
      </c>
      <c r="AH194" s="24" t="s">
        <v>17</v>
      </c>
      <c r="AI194" s="1" t="s">
        <v>17</v>
      </c>
      <c r="AJ194" s="2" t="s">
        <v>17</v>
      </c>
      <c r="AK194" s="2" t="s">
        <v>17</v>
      </c>
      <c r="AL194" s="3"/>
      <c r="AM194" s="2"/>
      <c r="AN194" s="24" t="s">
        <v>17</v>
      </c>
      <c r="AO194" s="24" t="s">
        <v>17</v>
      </c>
      <c r="AP194" s="1" t="s">
        <v>17</v>
      </c>
      <c r="AQ194" s="2" t="s">
        <v>17</v>
      </c>
      <c r="AR194" s="2" t="s">
        <v>17</v>
      </c>
      <c r="AS194" s="3"/>
      <c r="AT194" s="2"/>
      <c r="AU194" s="4"/>
      <c r="AV194" s="2"/>
      <c r="AW194" s="1" t="s">
        <v>17</v>
      </c>
      <c r="AX194" s="2" t="s">
        <v>17</v>
      </c>
      <c r="AY194" s="2" t="s">
        <v>17</v>
      </c>
      <c r="AZ194" s="5"/>
      <c r="BA194" s="6"/>
      <c r="BB194" s="4"/>
      <c r="BC194" s="6"/>
      <c r="BD194" s="6"/>
      <c r="BE194" s="6"/>
      <c r="BF194" s="7"/>
    </row>
    <row r="195" spans="1:58" ht="18" customHeight="1">
      <c r="A195" s="106" t="s">
        <v>15</v>
      </c>
      <c r="B195" s="93" t="s">
        <v>173</v>
      </c>
      <c r="C195" s="28">
        <v>270.95</v>
      </c>
      <c r="D195" s="28">
        <v>271.07</v>
      </c>
      <c r="E195" s="28">
        <v>271.01</v>
      </c>
      <c r="F195" s="28">
        <v>271.01</v>
      </c>
      <c r="G195" s="29">
        <v>8494.1009748671695</v>
      </c>
      <c r="H195" s="29">
        <v>5973.3225848843804</v>
      </c>
      <c r="I195" s="27">
        <f t="shared" si="7"/>
        <v>1</v>
      </c>
      <c r="J195" s="27">
        <f t="shared" si="8"/>
        <v>1</v>
      </c>
      <c r="K195" s="27">
        <f t="shared" si="6"/>
        <v>1</v>
      </c>
      <c r="L195" s="25">
        <v>578.88947699999994</v>
      </c>
      <c r="M195" s="25">
        <v>582.84773799614447</v>
      </c>
      <c r="N195" s="38">
        <v>0.52923219774814179</v>
      </c>
      <c r="O195" s="38">
        <v>-10.434394192820662</v>
      </c>
      <c r="P195" s="71">
        <v>-12.551322983813229</v>
      </c>
      <c r="Q195" s="53">
        <v>42709</v>
      </c>
      <c r="R195" s="23">
        <v>13</v>
      </c>
      <c r="S195" s="24">
        <v>578.88947699999994</v>
      </c>
      <c r="T195" s="24">
        <v>582.84773799614447</v>
      </c>
      <c r="U195" s="1">
        <v>0.52923219774814179</v>
      </c>
      <c r="V195" s="2">
        <v>-10.434394192820662</v>
      </c>
      <c r="W195" s="2">
        <v>-12.551322983813229</v>
      </c>
      <c r="X195" s="22" t="s">
        <v>17</v>
      </c>
      <c r="Y195" s="23"/>
      <c r="Z195" s="24" t="s">
        <v>17</v>
      </c>
      <c r="AA195" s="24" t="s">
        <v>17</v>
      </c>
      <c r="AB195" s="1" t="s">
        <v>17</v>
      </c>
      <c r="AC195" s="2" t="s">
        <v>17</v>
      </c>
      <c r="AD195" s="2" t="s">
        <v>17</v>
      </c>
      <c r="AE195" s="22" t="s">
        <v>17</v>
      </c>
      <c r="AF195" s="23"/>
      <c r="AG195" s="24" t="s">
        <v>17</v>
      </c>
      <c r="AH195" s="24" t="s">
        <v>17</v>
      </c>
      <c r="AI195" s="1" t="s">
        <v>17</v>
      </c>
      <c r="AJ195" s="2" t="s">
        <v>17</v>
      </c>
      <c r="AK195" s="2" t="s">
        <v>17</v>
      </c>
      <c r="AL195" s="3"/>
      <c r="AM195" s="2"/>
      <c r="AN195" s="24" t="s">
        <v>17</v>
      </c>
      <c r="AO195" s="24" t="s">
        <v>17</v>
      </c>
      <c r="AP195" s="1" t="s">
        <v>17</v>
      </c>
      <c r="AQ195" s="2" t="s">
        <v>17</v>
      </c>
      <c r="AR195" s="2" t="s">
        <v>17</v>
      </c>
      <c r="AS195" s="3"/>
      <c r="AT195" s="2"/>
      <c r="AU195" s="4"/>
      <c r="AV195" s="2"/>
      <c r="AW195" s="1" t="s">
        <v>17</v>
      </c>
      <c r="AX195" s="2" t="s">
        <v>17</v>
      </c>
      <c r="AY195" s="2" t="s">
        <v>17</v>
      </c>
      <c r="AZ195" s="5"/>
      <c r="BA195" s="6"/>
      <c r="BB195" s="4"/>
      <c r="BC195" s="6"/>
      <c r="BD195" s="6"/>
      <c r="BE195" s="6"/>
      <c r="BF195" s="7"/>
    </row>
    <row r="196" spans="1:58" ht="18" customHeight="1">
      <c r="A196" s="106" t="s">
        <v>15</v>
      </c>
      <c r="B196" s="93" t="s">
        <v>174</v>
      </c>
      <c r="C196" s="28">
        <v>272.33</v>
      </c>
      <c r="D196" s="28">
        <v>272.45</v>
      </c>
      <c r="E196" s="28">
        <v>272.39</v>
      </c>
      <c r="F196" s="28">
        <v>272.39</v>
      </c>
      <c r="G196" s="29">
        <v>8546.7507269709895</v>
      </c>
      <c r="H196" s="29">
        <v>6024.8908711551703</v>
      </c>
      <c r="I196" s="27">
        <f t="shared" si="7"/>
        <v>1</v>
      </c>
      <c r="J196" s="27">
        <f t="shared" si="8"/>
        <v>1</v>
      </c>
      <c r="K196" s="27">
        <f t="shared" si="6"/>
        <v>1</v>
      </c>
      <c r="L196" s="25">
        <v>591.67662900000005</v>
      </c>
      <c r="M196" s="25">
        <v>595.68402077824032</v>
      </c>
      <c r="N196" s="38">
        <v>0.52422155460640774</v>
      </c>
      <c r="O196" s="38">
        <v>-9.0385001295382175</v>
      </c>
      <c r="P196" s="71">
        <v>-11.135386347963848</v>
      </c>
      <c r="Q196" s="53">
        <v>43472</v>
      </c>
      <c r="R196" s="23">
        <v>12</v>
      </c>
      <c r="S196" s="24">
        <v>591.67662900000005</v>
      </c>
      <c r="T196" s="24">
        <v>595.68402077824032</v>
      </c>
      <c r="U196" s="1">
        <v>0.52422155460640774</v>
      </c>
      <c r="V196" s="2">
        <v>-9.0385001295382175</v>
      </c>
      <c r="W196" s="2">
        <v>-11.135386347963848</v>
      </c>
      <c r="X196" s="22" t="s">
        <v>17</v>
      </c>
      <c r="Y196" s="23"/>
      <c r="Z196" s="24" t="s">
        <v>17</v>
      </c>
      <c r="AA196" s="24" t="s">
        <v>17</v>
      </c>
      <c r="AB196" s="1" t="s">
        <v>17</v>
      </c>
      <c r="AC196" s="2" t="s">
        <v>17</v>
      </c>
      <c r="AD196" s="2" t="s">
        <v>17</v>
      </c>
      <c r="AE196" s="22" t="s">
        <v>17</v>
      </c>
      <c r="AF196" s="23"/>
      <c r="AG196" s="24" t="s">
        <v>17</v>
      </c>
      <c r="AH196" s="24" t="s">
        <v>17</v>
      </c>
      <c r="AI196" s="1" t="s">
        <v>17</v>
      </c>
      <c r="AJ196" s="2" t="s">
        <v>17</v>
      </c>
      <c r="AK196" s="2" t="s">
        <v>17</v>
      </c>
      <c r="AL196" s="3"/>
      <c r="AM196" s="2"/>
      <c r="AN196" s="24" t="s">
        <v>17</v>
      </c>
      <c r="AO196" s="24" t="s">
        <v>17</v>
      </c>
      <c r="AP196" s="1" t="s">
        <v>17</v>
      </c>
      <c r="AQ196" s="2" t="s">
        <v>17</v>
      </c>
      <c r="AR196" s="2" t="s">
        <v>17</v>
      </c>
      <c r="AS196" s="3"/>
      <c r="AT196" s="2"/>
      <c r="AU196" s="4"/>
      <c r="AV196" s="2"/>
      <c r="AW196" s="1" t="s">
        <v>17</v>
      </c>
      <c r="AX196" s="2" t="s">
        <v>17</v>
      </c>
      <c r="AY196" s="2" t="s">
        <v>17</v>
      </c>
      <c r="AZ196" s="5"/>
      <c r="BA196" s="6"/>
      <c r="BB196" s="4"/>
      <c r="BC196" s="6"/>
      <c r="BD196" s="6"/>
      <c r="BE196" s="6"/>
      <c r="BF196" s="7"/>
    </row>
    <row r="197" spans="1:58" ht="18" customHeight="1">
      <c r="A197" s="106" t="s">
        <v>15</v>
      </c>
      <c r="B197" s="93" t="s">
        <v>175</v>
      </c>
      <c r="C197" s="28">
        <v>273.495</v>
      </c>
      <c r="D197" s="28">
        <v>273.57</v>
      </c>
      <c r="E197" s="28">
        <v>273.53250000000003</v>
      </c>
      <c r="F197" s="28">
        <v>273.53250000000003</v>
      </c>
      <c r="G197" s="29">
        <v>8590.4128420795896</v>
      </c>
      <c r="H197" s="29">
        <v>6070.4428256826204</v>
      </c>
      <c r="I197" s="27">
        <f t="shared" si="7"/>
        <v>1</v>
      </c>
      <c r="J197" s="27">
        <f t="shared" si="8"/>
        <v>1</v>
      </c>
      <c r="K197" s="27">
        <f t="shared" si="6"/>
        <v>1</v>
      </c>
      <c r="L197" s="25">
        <v>594.76439400000004</v>
      </c>
      <c r="M197" s="25">
        <v>598.84656497151821</v>
      </c>
      <c r="N197" s="38">
        <v>0.53123137283073163</v>
      </c>
      <c r="O197" s="38">
        <v>-6.8836794157445258</v>
      </c>
      <c r="P197" s="71">
        <v>-9.0086049070674523</v>
      </c>
      <c r="Q197" s="53">
        <v>42709</v>
      </c>
      <c r="R197" s="23">
        <v>5</v>
      </c>
      <c r="S197" s="24">
        <v>594.76439400000004</v>
      </c>
      <c r="T197" s="24">
        <v>598.84656497151821</v>
      </c>
      <c r="U197" s="1">
        <v>0.53123137283073163</v>
      </c>
      <c r="V197" s="2">
        <v>-6.8836794157445258</v>
      </c>
      <c r="W197" s="2">
        <v>-9.0086049070674523</v>
      </c>
      <c r="X197" s="22" t="s">
        <v>17</v>
      </c>
      <c r="Y197" s="23"/>
      <c r="Z197" s="24" t="s">
        <v>17</v>
      </c>
      <c r="AA197" s="24" t="s">
        <v>17</v>
      </c>
      <c r="AB197" s="1" t="s">
        <v>17</v>
      </c>
      <c r="AC197" s="2" t="s">
        <v>17</v>
      </c>
      <c r="AD197" s="2" t="s">
        <v>17</v>
      </c>
      <c r="AE197" s="22" t="s">
        <v>17</v>
      </c>
      <c r="AF197" s="23"/>
      <c r="AG197" s="24" t="s">
        <v>17</v>
      </c>
      <c r="AH197" s="24" t="s">
        <v>17</v>
      </c>
      <c r="AI197" s="1" t="s">
        <v>17</v>
      </c>
      <c r="AJ197" s="2" t="s">
        <v>17</v>
      </c>
      <c r="AK197" s="2" t="s">
        <v>17</v>
      </c>
      <c r="AL197" s="3"/>
      <c r="AM197" s="2"/>
      <c r="AN197" s="24" t="s">
        <v>17</v>
      </c>
      <c r="AO197" s="24" t="s">
        <v>17</v>
      </c>
      <c r="AP197" s="1" t="s">
        <v>17</v>
      </c>
      <c r="AQ197" s="2" t="s">
        <v>17</v>
      </c>
      <c r="AR197" s="2" t="s">
        <v>17</v>
      </c>
      <c r="AS197" s="3"/>
      <c r="AT197" s="2"/>
      <c r="AU197" s="4"/>
      <c r="AV197" s="2"/>
      <c r="AW197" s="1" t="s">
        <v>17</v>
      </c>
      <c r="AX197" s="2" t="s">
        <v>17</v>
      </c>
      <c r="AY197" s="2" t="s">
        <v>17</v>
      </c>
      <c r="AZ197" s="8"/>
      <c r="BA197" s="9"/>
      <c r="BB197" s="4"/>
      <c r="BC197" s="9"/>
      <c r="BD197" s="9"/>
      <c r="BE197" s="9"/>
      <c r="BF197" s="10"/>
    </row>
    <row r="198" spans="1:58" ht="18" customHeight="1">
      <c r="A198" s="106" t="s">
        <v>15</v>
      </c>
      <c r="B198" s="93" t="s">
        <v>176</v>
      </c>
      <c r="C198" s="28">
        <v>274.83</v>
      </c>
      <c r="D198" s="28">
        <v>274.95</v>
      </c>
      <c r="E198" s="28">
        <v>274.89</v>
      </c>
      <c r="F198" s="28">
        <v>274.89</v>
      </c>
      <c r="G198" s="29">
        <v>8643.4592251574595</v>
      </c>
      <c r="H198" s="29">
        <v>6125.3157999737496</v>
      </c>
      <c r="I198" s="27">
        <f t="shared" si="7"/>
        <v>1</v>
      </c>
      <c r="J198" s="27">
        <f t="shared" si="8"/>
        <v>1</v>
      </c>
      <c r="K198" s="27">
        <f t="shared" si="6"/>
        <v>1</v>
      </c>
      <c r="L198" s="25">
        <v>598.02227149999999</v>
      </c>
      <c r="M198" s="25">
        <v>602.10197569941192</v>
      </c>
      <c r="N198" s="38">
        <v>0.52801809221891816</v>
      </c>
      <c r="O198" s="38">
        <v>-9.6533646802600117</v>
      </c>
      <c r="P198" s="71">
        <v>-11.765437049135684</v>
      </c>
      <c r="Q198" s="53">
        <v>43265</v>
      </c>
      <c r="R198" s="23">
        <v>7</v>
      </c>
      <c r="S198" s="24">
        <v>598.02227149999999</v>
      </c>
      <c r="T198" s="24">
        <v>602.10197569941192</v>
      </c>
      <c r="U198" s="1">
        <v>0.52801809221891816</v>
      </c>
      <c r="V198" s="2">
        <v>-9.6533646802600117</v>
      </c>
      <c r="W198" s="2">
        <v>-11.765437049135684</v>
      </c>
      <c r="X198" s="22" t="s">
        <v>17</v>
      </c>
      <c r="Y198" s="23"/>
      <c r="Z198" s="24" t="s">
        <v>17</v>
      </c>
      <c r="AA198" s="24" t="s">
        <v>17</v>
      </c>
      <c r="AB198" s="1" t="s">
        <v>17</v>
      </c>
      <c r="AC198" s="2" t="s">
        <v>17</v>
      </c>
      <c r="AD198" s="2" t="s">
        <v>17</v>
      </c>
      <c r="AE198" s="22" t="s">
        <v>17</v>
      </c>
      <c r="AF198" s="23"/>
      <c r="AG198" s="24" t="s">
        <v>17</v>
      </c>
      <c r="AH198" s="24" t="s">
        <v>17</v>
      </c>
      <c r="AI198" s="1" t="s">
        <v>17</v>
      </c>
      <c r="AJ198" s="2" t="s">
        <v>17</v>
      </c>
      <c r="AK198" s="2" t="s">
        <v>17</v>
      </c>
      <c r="AL198" s="3"/>
      <c r="AM198" s="2"/>
      <c r="AN198" s="24" t="s">
        <v>17</v>
      </c>
      <c r="AO198" s="24" t="s">
        <v>17</v>
      </c>
      <c r="AP198" s="1" t="s">
        <v>17</v>
      </c>
      <c r="AQ198" s="2" t="s">
        <v>17</v>
      </c>
      <c r="AR198" s="2" t="s">
        <v>17</v>
      </c>
      <c r="AS198" s="3"/>
      <c r="AT198" s="2"/>
      <c r="AU198" s="4"/>
      <c r="AV198" s="2"/>
      <c r="AW198" s="1" t="s">
        <v>17</v>
      </c>
      <c r="AX198" s="2" t="s">
        <v>17</v>
      </c>
      <c r="AY198" s="2" t="s">
        <v>17</v>
      </c>
      <c r="AZ198" s="5"/>
      <c r="BA198" s="6"/>
      <c r="BB198" s="4"/>
      <c r="BC198" s="6"/>
      <c r="BD198" s="6"/>
      <c r="BE198" s="6"/>
      <c r="BF198" s="7"/>
    </row>
    <row r="199" spans="1:58" ht="18" customHeight="1">
      <c r="A199" s="106" t="s">
        <v>15</v>
      </c>
      <c r="B199" s="93" t="s">
        <v>177</v>
      </c>
      <c r="C199" s="28">
        <v>275.95</v>
      </c>
      <c r="D199" s="28">
        <v>276.07</v>
      </c>
      <c r="E199" s="28">
        <v>276.01</v>
      </c>
      <c r="F199" s="28">
        <v>276.01</v>
      </c>
      <c r="G199" s="29">
        <v>8687.5289375217308</v>
      </c>
      <c r="H199" s="29">
        <v>6171.1981237336404</v>
      </c>
      <c r="I199" s="27">
        <f t="shared" si="7"/>
        <v>1</v>
      </c>
      <c r="J199" s="27">
        <f t="shared" si="8"/>
        <v>1</v>
      </c>
      <c r="K199" s="27">
        <f t="shared" si="6"/>
        <v>1</v>
      </c>
      <c r="L199" s="25">
        <v>592.55255949999992</v>
      </c>
      <c r="M199" s="25">
        <v>596.64138972657918</v>
      </c>
      <c r="N199" s="38">
        <v>0.53408414608968613</v>
      </c>
      <c r="O199" s="38">
        <v>-6.8784202758912505</v>
      </c>
      <c r="P199" s="71">
        <v>-9.0147568602499959</v>
      </c>
      <c r="Q199" s="53">
        <v>42709</v>
      </c>
      <c r="R199" s="23">
        <v>10</v>
      </c>
      <c r="S199" s="24">
        <v>592.55255949999992</v>
      </c>
      <c r="T199" s="24">
        <v>596.64138972657918</v>
      </c>
      <c r="U199" s="1">
        <v>0.53408414608968613</v>
      </c>
      <c r="V199" s="2">
        <v>-6.8784202758912505</v>
      </c>
      <c r="W199" s="2">
        <v>-9.0147568602499959</v>
      </c>
      <c r="X199" s="22" t="s">
        <v>17</v>
      </c>
      <c r="Y199" s="23"/>
      <c r="Z199" s="24" t="s">
        <v>17</v>
      </c>
      <c r="AA199" s="24" t="s">
        <v>17</v>
      </c>
      <c r="AB199" s="1" t="s">
        <v>17</v>
      </c>
      <c r="AC199" s="2" t="s">
        <v>17</v>
      </c>
      <c r="AD199" s="2" t="s">
        <v>17</v>
      </c>
      <c r="AE199" s="22" t="s">
        <v>17</v>
      </c>
      <c r="AF199" s="23"/>
      <c r="AG199" s="24" t="s">
        <v>17</v>
      </c>
      <c r="AH199" s="24" t="s">
        <v>17</v>
      </c>
      <c r="AI199" s="1" t="s">
        <v>17</v>
      </c>
      <c r="AJ199" s="2" t="s">
        <v>17</v>
      </c>
      <c r="AK199" s="2" t="s">
        <v>17</v>
      </c>
      <c r="AL199" s="3"/>
      <c r="AM199" s="2"/>
      <c r="AN199" s="24" t="s">
        <v>17</v>
      </c>
      <c r="AO199" s="24" t="s">
        <v>17</v>
      </c>
      <c r="AP199" s="1" t="s">
        <v>17</v>
      </c>
      <c r="AQ199" s="2" t="s">
        <v>17</v>
      </c>
      <c r="AR199" s="2" t="s">
        <v>17</v>
      </c>
      <c r="AS199" s="3"/>
      <c r="AT199" s="2"/>
      <c r="AU199" s="4"/>
      <c r="AV199" s="2"/>
      <c r="AW199" s="1" t="s">
        <v>17</v>
      </c>
      <c r="AX199" s="2" t="s">
        <v>17</v>
      </c>
      <c r="AY199" s="2" t="s">
        <v>17</v>
      </c>
      <c r="AZ199" s="5"/>
      <c r="BA199" s="6"/>
      <c r="BB199" s="4"/>
      <c r="BC199" s="6"/>
      <c r="BD199" s="6"/>
      <c r="BE199" s="6"/>
      <c r="BF199" s="7"/>
    </row>
    <row r="200" spans="1:58" ht="18" customHeight="1">
      <c r="A200" s="106" t="s">
        <v>15</v>
      </c>
      <c r="B200" s="93" t="s">
        <v>178</v>
      </c>
      <c r="C200" s="28">
        <v>278.95999999999998</v>
      </c>
      <c r="D200" s="28">
        <v>279.08</v>
      </c>
      <c r="E200" s="28">
        <v>279.02</v>
      </c>
      <c r="F200" s="28">
        <v>279.02</v>
      </c>
      <c r="G200" s="29">
        <v>8798.7663472990498</v>
      </c>
      <c r="H200" s="29">
        <v>6292.6297909508703</v>
      </c>
      <c r="I200" s="27">
        <f t="shared" si="7"/>
        <v>2</v>
      </c>
      <c r="J200" s="27">
        <f t="shared" si="8"/>
        <v>2</v>
      </c>
      <c r="K200" s="27">
        <f t="shared" si="6"/>
        <v>0</v>
      </c>
      <c r="L200" s="25">
        <v>603.05124699999999</v>
      </c>
      <c r="M200" s="25">
        <v>607.14962109865803</v>
      </c>
      <c r="N200" s="38">
        <v>0.52601331345447644</v>
      </c>
      <c r="O200" s="38"/>
      <c r="P200" s="71"/>
      <c r="Q200" s="53">
        <v>42613</v>
      </c>
      <c r="R200" s="23">
        <v>3</v>
      </c>
      <c r="S200" s="24">
        <v>604.56206550000002</v>
      </c>
      <c r="T200" s="24">
        <v>608.6636571402729</v>
      </c>
      <c r="U200" s="1">
        <v>0.52510845682873786</v>
      </c>
      <c r="V200" s="2"/>
      <c r="W200" s="2"/>
      <c r="X200" s="22">
        <v>42613</v>
      </c>
      <c r="Y200" s="23">
        <v>3</v>
      </c>
      <c r="Z200" s="24">
        <v>601.54042849999996</v>
      </c>
      <c r="AA200" s="24">
        <v>605.63558505704316</v>
      </c>
      <c r="AB200" s="1">
        <v>0.52691817008021502</v>
      </c>
      <c r="AC200" s="2"/>
      <c r="AD200" s="2"/>
      <c r="AE200" s="22" t="s">
        <v>17</v>
      </c>
      <c r="AF200" s="23"/>
      <c r="AG200" s="24" t="s">
        <v>17</v>
      </c>
      <c r="AH200" s="24" t="s">
        <v>17</v>
      </c>
      <c r="AI200" s="1" t="s">
        <v>17</v>
      </c>
      <c r="AJ200" s="2" t="s">
        <v>17</v>
      </c>
      <c r="AK200" s="2" t="s">
        <v>17</v>
      </c>
      <c r="AL200" s="3"/>
      <c r="AM200" s="2"/>
      <c r="AN200" s="24" t="s">
        <v>17</v>
      </c>
      <c r="AO200" s="24" t="s">
        <v>17</v>
      </c>
      <c r="AP200" s="1" t="s">
        <v>17</v>
      </c>
      <c r="AQ200" s="2" t="s">
        <v>17</v>
      </c>
      <c r="AR200" s="2" t="s">
        <v>17</v>
      </c>
      <c r="AS200" s="3"/>
      <c r="AT200" s="2"/>
      <c r="AU200" s="4"/>
      <c r="AV200" s="2"/>
      <c r="AW200" s="1" t="s">
        <v>17</v>
      </c>
      <c r="AX200" s="2" t="s">
        <v>17</v>
      </c>
      <c r="AY200" s="2" t="s">
        <v>17</v>
      </c>
      <c r="AZ200" s="5"/>
      <c r="BA200" s="6"/>
      <c r="BB200" s="4"/>
      <c r="BC200" s="6"/>
      <c r="BD200" s="6"/>
      <c r="BE200" s="6"/>
      <c r="BF200" s="7"/>
    </row>
    <row r="201" spans="1:58" ht="18" customHeight="1">
      <c r="A201" s="106" t="s">
        <v>15</v>
      </c>
      <c r="B201" s="93" t="s">
        <v>179</v>
      </c>
      <c r="C201" s="28">
        <v>280.45999999999998</v>
      </c>
      <c r="D201" s="28">
        <v>280.58</v>
      </c>
      <c r="E201" s="28">
        <v>280.52</v>
      </c>
      <c r="F201" s="28">
        <v>280.52</v>
      </c>
      <c r="G201" s="29">
        <v>8850.8511966823098</v>
      </c>
      <c r="H201" s="29">
        <v>6350.75210783487</v>
      </c>
      <c r="I201" s="27">
        <f t="shared" si="7"/>
        <v>1</v>
      </c>
      <c r="J201" s="27">
        <f t="shared" si="8"/>
        <v>1</v>
      </c>
      <c r="K201" s="27">
        <f t="shared" si="6"/>
        <v>1</v>
      </c>
      <c r="L201" s="25">
        <v>603.24532099999999</v>
      </c>
      <c r="M201" s="25">
        <v>607.34828256537116</v>
      </c>
      <c r="N201" s="38">
        <v>0.52643041490951781</v>
      </c>
      <c r="O201" s="38">
        <v>-9.9833291763679064</v>
      </c>
      <c r="P201" s="71">
        <v>-12.089050836005978</v>
      </c>
      <c r="Q201" s="53">
        <v>43235</v>
      </c>
      <c r="R201" s="23">
        <v>6</v>
      </c>
      <c r="S201" s="24">
        <v>603.24532099999999</v>
      </c>
      <c r="T201" s="24">
        <v>607.34828256537116</v>
      </c>
      <c r="U201" s="1">
        <v>0.52643041490951781</v>
      </c>
      <c r="V201" s="2">
        <v>-9.9833291763679064</v>
      </c>
      <c r="W201" s="2">
        <v>-12.089050836005978</v>
      </c>
      <c r="X201" s="22" t="s">
        <v>17</v>
      </c>
      <c r="Y201" s="23"/>
      <c r="Z201" s="24" t="s">
        <v>17</v>
      </c>
      <c r="AA201" s="24" t="s">
        <v>17</v>
      </c>
      <c r="AB201" s="1" t="s">
        <v>17</v>
      </c>
      <c r="AC201" s="2" t="s">
        <v>17</v>
      </c>
      <c r="AD201" s="2" t="s">
        <v>17</v>
      </c>
      <c r="AE201" s="22" t="s">
        <v>17</v>
      </c>
      <c r="AF201" s="23"/>
      <c r="AG201" s="24" t="s">
        <v>17</v>
      </c>
      <c r="AH201" s="24" t="s">
        <v>17</v>
      </c>
      <c r="AI201" s="1" t="s">
        <v>17</v>
      </c>
      <c r="AJ201" s="2" t="s">
        <v>17</v>
      </c>
      <c r="AK201" s="2" t="s">
        <v>17</v>
      </c>
      <c r="AL201" s="3"/>
      <c r="AM201" s="2"/>
      <c r="AN201" s="24" t="s">
        <v>17</v>
      </c>
      <c r="AO201" s="24" t="s">
        <v>17</v>
      </c>
      <c r="AP201" s="1" t="s">
        <v>17</v>
      </c>
      <c r="AQ201" s="2" t="s">
        <v>17</v>
      </c>
      <c r="AR201" s="2" t="s">
        <v>17</v>
      </c>
      <c r="AS201" s="3"/>
      <c r="AT201" s="2"/>
      <c r="AU201" s="4"/>
      <c r="AV201" s="2"/>
      <c r="AW201" s="1" t="s">
        <v>17</v>
      </c>
      <c r="AX201" s="2" t="s">
        <v>17</v>
      </c>
      <c r="AY201" s="2" t="s">
        <v>17</v>
      </c>
      <c r="AZ201" s="5"/>
      <c r="BA201" s="6"/>
      <c r="BB201" s="4"/>
      <c r="BC201" s="6"/>
      <c r="BD201" s="6"/>
      <c r="BE201" s="6"/>
      <c r="BF201" s="7"/>
    </row>
    <row r="202" spans="1:58" ht="18" customHeight="1">
      <c r="A202" s="106" t="s">
        <v>15</v>
      </c>
      <c r="B202" s="93" t="s">
        <v>180</v>
      </c>
      <c r="C202" s="28">
        <v>281.45999999999998</v>
      </c>
      <c r="D202" s="28">
        <v>281.58</v>
      </c>
      <c r="E202" s="28">
        <v>281.52</v>
      </c>
      <c r="F202" s="28">
        <v>281.52</v>
      </c>
      <c r="G202" s="29">
        <v>8885.88473695016</v>
      </c>
      <c r="H202" s="29">
        <v>6393.1942543592804</v>
      </c>
      <c r="I202" s="27">
        <f t="shared" si="7"/>
        <v>1</v>
      </c>
      <c r="J202" s="27">
        <f t="shared" si="8"/>
        <v>1</v>
      </c>
      <c r="K202" s="27">
        <f t="shared" si="6"/>
        <v>1</v>
      </c>
      <c r="L202" s="25">
        <v>601.03005499999995</v>
      </c>
      <c r="M202" s="25">
        <v>605.1939130332388</v>
      </c>
      <c r="N202" s="38">
        <v>0.53621284135685343</v>
      </c>
      <c r="O202" s="38">
        <v>-6.0076096089782816</v>
      </c>
      <c r="P202" s="71">
        <v>-8.1524609744056953</v>
      </c>
      <c r="Q202" s="53">
        <v>42704</v>
      </c>
      <c r="R202" s="23">
        <v>12</v>
      </c>
      <c r="S202" s="24">
        <v>601.03005499999995</v>
      </c>
      <c r="T202" s="24">
        <v>605.1939130332388</v>
      </c>
      <c r="U202" s="1">
        <v>0.53621284135685343</v>
      </c>
      <c r="V202" s="2">
        <v>-6.0076096089782816</v>
      </c>
      <c r="W202" s="2">
        <v>-8.1524609744056953</v>
      </c>
      <c r="X202" s="22" t="s">
        <v>17</v>
      </c>
      <c r="Y202" s="23"/>
      <c r="Z202" s="24" t="s">
        <v>17</v>
      </c>
      <c r="AA202" s="24" t="s">
        <v>17</v>
      </c>
      <c r="AB202" s="1" t="s">
        <v>17</v>
      </c>
      <c r="AC202" s="2" t="s">
        <v>17</v>
      </c>
      <c r="AD202" s="2" t="s">
        <v>17</v>
      </c>
      <c r="AE202" s="22" t="s">
        <v>17</v>
      </c>
      <c r="AF202" s="23"/>
      <c r="AG202" s="24" t="s">
        <v>17</v>
      </c>
      <c r="AH202" s="24" t="s">
        <v>17</v>
      </c>
      <c r="AI202" s="1" t="s">
        <v>17</v>
      </c>
      <c r="AJ202" s="2" t="s">
        <v>17</v>
      </c>
      <c r="AK202" s="2" t="s">
        <v>17</v>
      </c>
      <c r="AL202" s="3"/>
      <c r="AM202" s="2"/>
      <c r="AN202" s="24" t="s">
        <v>17</v>
      </c>
      <c r="AO202" s="24" t="s">
        <v>17</v>
      </c>
      <c r="AP202" s="1" t="s">
        <v>17</v>
      </c>
      <c r="AQ202" s="2" t="s">
        <v>17</v>
      </c>
      <c r="AR202" s="2" t="s">
        <v>17</v>
      </c>
      <c r="AS202" s="3"/>
      <c r="AT202" s="2"/>
      <c r="AU202" s="4"/>
      <c r="AV202" s="2"/>
      <c r="AW202" s="1" t="s">
        <v>17</v>
      </c>
      <c r="AX202" s="2" t="s">
        <v>17</v>
      </c>
      <c r="AY202" s="2" t="s">
        <v>17</v>
      </c>
      <c r="AZ202" s="5"/>
      <c r="BA202" s="6"/>
      <c r="BB202" s="4"/>
      <c r="BC202" s="6"/>
      <c r="BD202" s="6"/>
      <c r="BE202" s="6"/>
      <c r="BF202" s="7"/>
    </row>
    <row r="203" spans="1:58" ht="18" customHeight="1">
      <c r="A203" s="106" t="s">
        <v>15</v>
      </c>
      <c r="B203" s="93" t="s">
        <v>181</v>
      </c>
      <c r="C203" s="28">
        <v>282.95999999999998</v>
      </c>
      <c r="D203" s="28">
        <v>283.08</v>
      </c>
      <c r="E203" s="28">
        <v>283.02</v>
      </c>
      <c r="F203" s="28">
        <v>283.02</v>
      </c>
      <c r="G203" s="29">
        <v>8940.8824808169302</v>
      </c>
      <c r="H203" s="29">
        <v>6455.8236323681704</v>
      </c>
      <c r="I203" s="27">
        <f t="shared" si="7"/>
        <v>1</v>
      </c>
      <c r="J203" s="27">
        <f t="shared" si="8"/>
        <v>1</v>
      </c>
      <c r="K203" s="27">
        <f t="shared" si="6"/>
        <v>1</v>
      </c>
      <c r="L203" s="25">
        <v>599.74618800000007</v>
      </c>
      <c r="M203" s="25">
        <v>603.75315156380861</v>
      </c>
      <c r="N203" s="38">
        <v>0.51711291368272683</v>
      </c>
      <c r="O203" s="38">
        <v>-8.6604030635566431</v>
      </c>
      <c r="P203" s="71">
        <v>-10.72885471828755</v>
      </c>
      <c r="Q203" s="53">
        <v>43475</v>
      </c>
      <c r="R203" s="23">
        <v>12</v>
      </c>
      <c r="S203" s="24">
        <v>599.74618800000007</v>
      </c>
      <c r="T203" s="24">
        <v>603.75315156380861</v>
      </c>
      <c r="U203" s="1">
        <v>0.51711291368272683</v>
      </c>
      <c r="V203" s="2">
        <v>-8.6604030635566431</v>
      </c>
      <c r="W203" s="2">
        <v>-10.72885471828755</v>
      </c>
      <c r="X203" s="22" t="s">
        <v>17</v>
      </c>
      <c r="Y203" s="23"/>
      <c r="Z203" s="24" t="s">
        <v>17</v>
      </c>
      <c r="AA203" s="24" t="s">
        <v>17</v>
      </c>
      <c r="AB203" s="1" t="s">
        <v>17</v>
      </c>
      <c r="AC203" s="2" t="s">
        <v>17</v>
      </c>
      <c r="AD203" s="2" t="s">
        <v>17</v>
      </c>
      <c r="AE203" s="22" t="s">
        <v>17</v>
      </c>
      <c r="AF203" s="23"/>
      <c r="AG203" s="24" t="s">
        <v>17</v>
      </c>
      <c r="AH203" s="24" t="s">
        <v>17</v>
      </c>
      <c r="AI203" s="1" t="s">
        <v>17</v>
      </c>
      <c r="AJ203" s="2" t="s">
        <v>17</v>
      </c>
      <c r="AK203" s="2" t="s">
        <v>17</v>
      </c>
      <c r="AL203" s="3"/>
      <c r="AM203" s="2"/>
      <c r="AN203" s="24" t="s">
        <v>17</v>
      </c>
      <c r="AO203" s="24" t="s">
        <v>17</v>
      </c>
      <c r="AP203" s="1" t="s">
        <v>17</v>
      </c>
      <c r="AQ203" s="2" t="s">
        <v>17</v>
      </c>
      <c r="AR203" s="2" t="s">
        <v>17</v>
      </c>
      <c r="AS203" s="3"/>
      <c r="AT203" s="2"/>
      <c r="AU203" s="4"/>
      <c r="AV203" s="2"/>
      <c r="AW203" s="1" t="s">
        <v>17</v>
      </c>
      <c r="AX203" s="2" t="s">
        <v>17</v>
      </c>
      <c r="AY203" s="2" t="s">
        <v>17</v>
      </c>
      <c r="AZ203" s="5"/>
      <c r="BA203" s="6"/>
      <c r="BB203" s="4"/>
      <c r="BC203" s="6"/>
      <c r="BD203" s="6"/>
      <c r="BE203" s="6"/>
      <c r="BF203" s="7"/>
    </row>
    <row r="204" spans="1:58" ht="18" customHeight="1">
      <c r="A204" s="106" t="s">
        <v>15</v>
      </c>
      <c r="B204" s="93" t="s">
        <v>182</v>
      </c>
      <c r="C204" s="28">
        <v>284.45999999999998</v>
      </c>
      <c r="D204" s="28">
        <v>284.58</v>
      </c>
      <c r="E204" s="28">
        <v>284.52</v>
      </c>
      <c r="F204" s="28">
        <v>284.52</v>
      </c>
      <c r="G204" s="29">
        <v>8996.4020153778401</v>
      </c>
      <c r="H204" s="29">
        <v>6507.3804876527902</v>
      </c>
      <c r="I204" s="27">
        <f t="shared" si="7"/>
        <v>2</v>
      </c>
      <c r="J204" s="27">
        <f t="shared" si="8"/>
        <v>2</v>
      </c>
      <c r="K204" s="27">
        <f t="shared" si="6"/>
        <v>2</v>
      </c>
      <c r="L204" s="25">
        <v>589.27636749999999</v>
      </c>
      <c r="M204" s="25">
        <v>593.29853710394275</v>
      </c>
      <c r="N204" s="38">
        <v>0.52829744730986672</v>
      </c>
      <c r="O204" s="38">
        <v>-7.5939812840352117</v>
      </c>
      <c r="P204" s="71">
        <v>-9.7071710732746794</v>
      </c>
      <c r="Q204" s="53">
        <v>42669</v>
      </c>
      <c r="R204" s="23">
        <v>8</v>
      </c>
      <c r="S204" s="24">
        <v>588.80382250000002</v>
      </c>
      <c r="T204" s="24">
        <v>592.81896231192411</v>
      </c>
      <c r="U204" s="1">
        <v>0.52779775438405174</v>
      </c>
      <c r="V204" s="2">
        <v>-8.0644144427908238</v>
      </c>
      <c r="W204" s="2">
        <v>-10.175605460327031</v>
      </c>
      <c r="X204" s="22">
        <v>42669</v>
      </c>
      <c r="Y204" s="23">
        <v>8</v>
      </c>
      <c r="Z204" s="24">
        <v>589.74891249999996</v>
      </c>
      <c r="AA204" s="24">
        <v>593.77811189596139</v>
      </c>
      <c r="AB204" s="1">
        <v>0.5287971402356817</v>
      </c>
      <c r="AC204" s="2">
        <v>-7.1235481252795996</v>
      </c>
      <c r="AD204" s="2">
        <v>-9.2387366862223264</v>
      </c>
      <c r="AE204" s="22" t="s">
        <v>17</v>
      </c>
      <c r="AF204" s="23"/>
      <c r="AG204" s="24" t="s">
        <v>17</v>
      </c>
      <c r="AH204" s="24" t="s">
        <v>17</v>
      </c>
      <c r="AI204" s="1" t="s">
        <v>17</v>
      </c>
      <c r="AJ204" s="2" t="s">
        <v>17</v>
      </c>
      <c r="AK204" s="2" t="s">
        <v>17</v>
      </c>
      <c r="AL204" s="3"/>
      <c r="AM204" s="2"/>
      <c r="AN204" s="24" t="s">
        <v>17</v>
      </c>
      <c r="AO204" s="24" t="s">
        <v>17</v>
      </c>
      <c r="AP204" s="1" t="s">
        <v>17</v>
      </c>
      <c r="AQ204" s="2" t="s">
        <v>17</v>
      </c>
      <c r="AR204" s="2" t="s">
        <v>17</v>
      </c>
      <c r="AS204" s="3"/>
      <c r="AT204" s="2"/>
      <c r="AU204" s="4"/>
      <c r="AV204" s="2"/>
      <c r="AW204" s="1" t="s">
        <v>17</v>
      </c>
      <c r="AX204" s="2" t="s">
        <v>17</v>
      </c>
      <c r="AY204" s="2" t="s">
        <v>17</v>
      </c>
      <c r="AZ204" s="5"/>
      <c r="BA204" s="6"/>
      <c r="BB204" s="4"/>
      <c r="BC204" s="6"/>
      <c r="BD204" s="6"/>
      <c r="BE204" s="6"/>
      <c r="BF204" s="7"/>
    </row>
    <row r="205" spans="1:58" ht="18" customHeight="1">
      <c r="A205" s="106" t="s">
        <v>15</v>
      </c>
      <c r="B205" s="93" t="s">
        <v>183</v>
      </c>
      <c r="C205" s="28">
        <v>285.45999999999998</v>
      </c>
      <c r="D205" s="28">
        <v>285.58</v>
      </c>
      <c r="E205" s="28">
        <v>285.52</v>
      </c>
      <c r="F205" s="28">
        <v>285.52</v>
      </c>
      <c r="G205" s="29">
        <v>9031.1384421061503</v>
      </c>
      <c r="H205" s="29">
        <v>6541.7168014004301</v>
      </c>
      <c r="I205" s="27">
        <f t="shared" si="7"/>
        <v>1</v>
      </c>
      <c r="J205" s="27">
        <f t="shared" si="8"/>
        <v>1</v>
      </c>
      <c r="K205" s="27">
        <f t="shared" si="6"/>
        <v>1</v>
      </c>
      <c r="L205" s="25">
        <v>592.26711350000005</v>
      </c>
      <c r="M205" s="25">
        <v>596.27839679090789</v>
      </c>
      <c r="N205" s="38">
        <v>0.52420746631498538</v>
      </c>
      <c r="O205" s="38">
        <v>-7.4365605291866199</v>
      </c>
      <c r="P205" s="71">
        <v>-9.5333903944465614</v>
      </c>
      <c r="Q205" s="53">
        <v>42724</v>
      </c>
      <c r="R205" s="23">
        <v>13</v>
      </c>
      <c r="S205" s="24">
        <v>592.26711350000005</v>
      </c>
      <c r="T205" s="24">
        <v>596.27839679090789</v>
      </c>
      <c r="U205" s="1">
        <v>0.52420746631498538</v>
      </c>
      <c r="V205" s="2">
        <v>-7.4365605291866199</v>
      </c>
      <c r="W205" s="2">
        <v>-9.5333903944465614</v>
      </c>
      <c r="X205" s="22" t="s">
        <v>17</v>
      </c>
      <c r="Y205" s="23"/>
      <c r="Z205" s="24" t="s">
        <v>17</v>
      </c>
      <c r="AA205" s="24" t="s">
        <v>17</v>
      </c>
      <c r="AB205" s="1" t="s">
        <v>17</v>
      </c>
      <c r="AC205" s="2" t="s">
        <v>17</v>
      </c>
      <c r="AD205" s="2" t="s">
        <v>17</v>
      </c>
      <c r="AE205" s="22" t="s">
        <v>17</v>
      </c>
      <c r="AF205" s="23"/>
      <c r="AG205" s="24" t="s">
        <v>17</v>
      </c>
      <c r="AH205" s="24" t="s">
        <v>17</v>
      </c>
      <c r="AI205" s="1" t="s">
        <v>17</v>
      </c>
      <c r="AJ205" s="2" t="s">
        <v>17</v>
      </c>
      <c r="AK205" s="2" t="s">
        <v>17</v>
      </c>
      <c r="AL205" s="3"/>
      <c r="AM205" s="2"/>
      <c r="AN205" s="24" t="s">
        <v>17</v>
      </c>
      <c r="AO205" s="24" t="s">
        <v>17</v>
      </c>
      <c r="AP205" s="1" t="s">
        <v>17</v>
      </c>
      <c r="AQ205" s="2" t="s">
        <v>17</v>
      </c>
      <c r="AR205" s="2" t="s">
        <v>17</v>
      </c>
      <c r="AS205" s="3"/>
      <c r="AT205" s="2"/>
      <c r="AU205" s="4"/>
      <c r="AV205" s="2"/>
      <c r="AW205" s="1" t="s">
        <v>17</v>
      </c>
      <c r="AX205" s="2" t="s">
        <v>17</v>
      </c>
      <c r="AY205" s="2" t="s">
        <v>17</v>
      </c>
      <c r="AZ205" s="5"/>
      <c r="BA205" s="6"/>
      <c r="BB205" s="4"/>
      <c r="BC205" s="6"/>
      <c r="BD205" s="6"/>
      <c r="BE205" s="6"/>
      <c r="BF205" s="7"/>
    </row>
    <row r="206" spans="1:58" ht="18" customHeight="1">
      <c r="A206" s="106" t="s">
        <v>15</v>
      </c>
      <c r="B206" s="93" t="s">
        <v>184</v>
      </c>
      <c r="C206" s="28">
        <v>286.95999999999998</v>
      </c>
      <c r="D206" s="28">
        <v>287.08</v>
      </c>
      <c r="E206" s="28">
        <v>287.02</v>
      </c>
      <c r="F206" s="28">
        <v>287.02</v>
      </c>
      <c r="G206" s="29">
        <v>9081.9045120746796</v>
      </c>
      <c r="H206" s="29">
        <v>6595.9610575208799</v>
      </c>
      <c r="I206" s="27">
        <f t="shared" si="7"/>
        <v>1</v>
      </c>
      <c r="J206" s="27">
        <f t="shared" si="8"/>
        <v>1</v>
      </c>
      <c r="K206" s="27">
        <f t="shared" si="6"/>
        <v>1</v>
      </c>
      <c r="L206" s="25">
        <v>602.96339699999999</v>
      </c>
      <c r="M206" s="25">
        <v>607.1030844716812</v>
      </c>
      <c r="N206" s="38">
        <v>0.53139087484965764</v>
      </c>
      <c r="O206" s="38">
        <v>-9.3006998974980437</v>
      </c>
      <c r="P206" s="71">
        <v>-11.426263396896674</v>
      </c>
      <c r="Q206" s="53">
        <v>43244</v>
      </c>
      <c r="R206" s="23">
        <v>6</v>
      </c>
      <c r="S206" s="24">
        <v>602.96339699999999</v>
      </c>
      <c r="T206" s="24">
        <v>607.1030844716812</v>
      </c>
      <c r="U206" s="1">
        <v>0.53139087484965764</v>
      </c>
      <c r="V206" s="2">
        <v>-9.3006998974980437</v>
      </c>
      <c r="W206" s="2">
        <v>-11.426263396896674</v>
      </c>
      <c r="X206" s="22" t="s">
        <v>17</v>
      </c>
      <c r="Y206" s="23"/>
      <c r="Z206" s="24" t="s">
        <v>17</v>
      </c>
      <c r="AA206" s="24" t="s">
        <v>17</v>
      </c>
      <c r="AB206" s="1" t="s">
        <v>17</v>
      </c>
      <c r="AC206" s="2" t="s">
        <v>17</v>
      </c>
      <c r="AD206" s="2" t="s">
        <v>17</v>
      </c>
      <c r="AE206" s="22" t="s">
        <v>17</v>
      </c>
      <c r="AF206" s="23"/>
      <c r="AG206" s="24" t="s">
        <v>17</v>
      </c>
      <c r="AH206" s="24" t="s">
        <v>17</v>
      </c>
      <c r="AI206" s="1" t="s">
        <v>17</v>
      </c>
      <c r="AJ206" s="2" t="s">
        <v>17</v>
      </c>
      <c r="AK206" s="2" t="s">
        <v>17</v>
      </c>
      <c r="AL206" s="3"/>
      <c r="AM206" s="2"/>
      <c r="AN206" s="24" t="s">
        <v>17</v>
      </c>
      <c r="AO206" s="24" t="s">
        <v>17</v>
      </c>
      <c r="AP206" s="1" t="s">
        <v>17</v>
      </c>
      <c r="AQ206" s="2" t="s">
        <v>17</v>
      </c>
      <c r="AR206" s="2" t="s">
        <v>17</v>
      </c>
      <c r="AS206" s="3"/>
      <c r="AT206" s="2"/>
      <c r="AU206" s="4"/>
      <c r="AV206" s="2"/>
      <c r="AW206" s="1" t="s">
        <v>17</v>
      </c>
      <c r="AX206" s="2" t="s">
        <v>17</v>
      </c>
      <c r="AY206" s="2" t="s">
        <v>17</v>
      </c>
      <c r="AZ206" s="5"/>
      <c r="BA206" s="6"/>
      <c r="BB206" s="4"/>
      <c r="BC206" s="6"/>
      <c r="BD206" s="6"/>
      <c r="BE206" s="6"/>
      <c r="BF206" s="7"/>
    </row>
    <row r="207" spans="1:58" ht="18" customHeight="1">
      <c r="A207" s="106" t="s">
        <v>15</v>
      </c>
      <c r="B207" s="93" t="s">
        <v>185</v>
      </c>
      <c r="C207" s="28">
        <v>287.95999999999998</v>
      </c>
      <c r="D207" s="28">
        <v>288.072</v>
      </c>
      <c r="E207" s="28">
        <v>288.01599999999996</v>
      </c>
      <c r="F207" s="28">
        <v>288.01599999999996</v>
      </c>
      <c r="G207" s="29">
        <v>9117.0580058954492</v>
      </c>
      <c r="H207" s="29">
        <v>6632.3066633849703</v>
      </c>
      <c r="I207" s="27">
        <f t="shared" si="7"/>
        <v>1</v>
      </c>
      <c r="J207" s="27">
        <f t="shared" si="8"/>
        <v>1</v>
      </c>
      <c r="K207" s="27">
        <f t="shared" si="6"/>
        <v>1</v>
      </c>
      <c r="L207" s="25">
        <v>602.06141449999996</v>
      </c>
      <c r="M207" s="25">
        <v>606.22954564628128</v>
      </c>
      <c r="N207" s="38">
        <v>0.53584362336844826</v>
      </c>
      <c r="O207" s="38">
        <v>-8.4728087454871712</v>
      </c>
      <c r="P207" s="71">
        <v>-10.616183238960964</v>
      </c>
      <c r="Q207" s="53">
        <v>42709</v>
      </c>
      <c r="R207" s="23">
        <v>10</v>
      </c>
      <c r="S207" s="24">
        <v>602.06141449999996</v>
      </c>
      <c r="T207" s="24">
        <v>606.22954564628128</v>
      </c>
      <c r="U207" s="1">
        <v>0.53584362336844826</v>
      </c>
      <c r="V207" s="2">
        <v>-8.4728087454871712</v>
      </c>
      <c r="W207" s="2">
        <v>-10.616183238960964</v>
      </c>
      <c r="X207" s="22" t="s">
        <v>17</v>
      </c>
      <c r="Y207" s="23"/>
      <c r="Z207" s="24" t="s">
        <v>17</v>
      </c>
      <c r="AA207" s="24" t="s">
        <v>17</v>
      </c>
      <c r="AB207" s="1" t="s">
        <v>17</v>
      </c>
      <c r="AC207" s="2" t="s">
        <v>17</v>
      </c>
      <c r="AD207" s="2" t="s">
        <v>17</v>
      </c>
      <c r="AE207" s="22" t="s">
        <v>17</v>
      </c>
      <c r="AF207" s="23"/>
      <c r="AG207" s="24" t="s">
        <v>17</v>
      </c>
      <c r="AH207" s="24" t="s">
        <v>17</v>
      </c>
      <c r="AI207" s="1" t="s">
        <v>17</v>
      </c>
      <c r="AJ207" s="2" t="s">
        <v>17</v>
      </c>
      <c r="AK207" s="2" t="s">
        <v>17</v>
      </c>
      <c r="AL207" s="3"/>
      <c r="AM207" s="2"/>
      <c r="AN207" s="24" t="s">
        <v>17</v>
      </c>
      <c r="AO207" s="24" t="s">
        <v>17</v>
      </c>
      <c r="AP207" s="1" t="s">
        <v>17</v>
      </c>
      <c r="AQ207" s="2" t="s">
        <v>17</v>
      </c>
      <c r="AR207" s="2" t="s">
        <v>17</v>
      </c>
      <c r="AS207" s="3"/>
      <c r="AT207" s="2"/>
      <c r="AU207" s="4"/>
      <c r="AV207" s="2"/>
      <c r="AW207" s="1" t="s">
        <v>17</v>
      </c>
      <c r="AX207" s="2" t="s">
        <v>17</v>
      </c>
      <c r="AY207" s="2" t="s">
        <v>17</v>
      </c>
      <c r="AZ207" s="5"/>
      <c r="BA207" s="6"/>
      <c r="BB207" s="4"/>
      <c r="BC207" s="6"/>
      <c r="BD207" s="6"/>
      <c r="BE207" s="6"/>
      <c r="BF207" s="7"/>
    </row>
    <row r="208" spans="1:58" ht="18" customHeight="1">
      <c r="A208" s="106" t="s">
        <v>15</v>
      </c>
      <c r="B208" s="93" t="s">
        <v>186</v>
      </c>
      <c r="C208" s="28">
        <v>289.45999999999998</v>
      </c>
      <c r="D208" s="28">
        <v>289.58</v>
      </c>
      <c r="E208" s="28">
        <v>289.52</v>
      </c>
      <c r="F208" s="28">
        <v>289.52</v>
      </c>
      <c r="G208" s="29">
        <v>9172.3754930186296</v>
      </c>
      <c r="H208" s="29">
        <v>6684.7711296818798</v>
      </c>
      <c r="I208" s="27">
        <f t="shared" si="7"/>
        <v>1</v>
      </c>
      <c r="J208" s="27">
        <f t="shared" si="8"/>
        <v>1</v>
      </c>
      <c r="K208" s="27">
        <f t="shared" si="6"/>
        <v>1</v>
      </c>
      <c r="L208" s="25">
        <v>598.03838300000007</v>
      </c>
      <c r="M208" s="25">
        <v>602.10610628994402</v>
      </c>
      <c r="N208" s="38">
        <v>0.52645327269496001</v>
      </c>
      <c r="O208" s="38">
        <v>-9.6880284885193504</v>
      </c>
      <c r="P208" s="71">
        <v>-11.79384157929919</v>
      </c>
      <c r="Q208" s="53">
        <v>43391</v>
      </c>
      <c r="R208" s="23">
        <v>9</v>
      </c>
      <c r="S208" s="24">
        <v>598.03838300000007</v>
      </c>
      <c r="T208" s="24">
        <v>602.10610628994402</v>
      </c>
      <c r="U208" s="1">
        <v>0.52645327269496001</v>
      </c>
      <c r="V208" s="2">
        <v>-9.6880284885193504</v>
      </c>
      <c r="W208" s="2">
        <v>-11.79384157929919</v>
      </c>
      <c r="X208" s="22" t="s">
        <v>17</v>
      </c>
      <c r="Y208" s="23"/>
      <c r="Z208" s="24" t="s">
        <v>17</v>
      </c>
      <c r="AA208" s="24" t="s">
        <v>17</v>
      </c>
      <c r="AB208" s="1" t="s">
        <v>17</v>
      </c>
      <c r="AC208" s="2" t="s">
        <v>17</v>
      </c>
      <c r="AD208" s="2" t="s">
        <v>17</v>
      </c>
      <c r="AE208" s="22" t="s">
        <v>17</v>
      </c>
      <c r="AF208" s="23"/>
      <c r="AG208" s="24" t="s">
        <v>17</v>
      </c>
      <c r="AH208" s="24" t="s">
        <v>17</v>
      </c>
      <c r="AI208" s="1" t="s">
        <v>17</v>
      </c>
      <c r="AJ208" s="2" t="s">
        <v>17</v>
      </c>
      <c r="AK208" s="2" t="s">
        <v>17</v>
      </c>
      <c r="AL208" s="3"/>
      <c r="AM208" s="2"/>
      <c r="AN208" s="24" t="s">
        <v>17</v>
      </c>
      <c r="AO208" s="24" t="s">
        <v>17</v>
      </c>
      <c r="AP208" s="1" t="s">
        <v>17</v>
      </c>
      <c r="AQ208" s="2" t="s">
        <v>17</v>
      </c>
      <c r="AR208" s="2" t="s">
        <v>17</v>
      </c>
      <c r="AS208" s="3"/>
      <c r="AT208" s="2"/>
      <c r="AU208" s="4"/>
      <c r="AV208" s="2"/>
      <c r="AW208" s="1" t="s">
        <v>17</v>
      </c>
      <c r="AX208" s="2" t="s">
        <v>17</v>
      </c>
      <c r="AY208" s="2" t="s">
        <v>17</v>
      </c>
      <c r="AZ208" s="5"/>
      <c r="BA208" s="6"/>
      <c r="BB208" s="4"/>
      <c r="BC208" s="6"/>
      <c r="BD208" s="6"/>
      <c r="BE208" s="6"/>
      <c r="BF208" s="7"/>
    </row>
    <row r="209" spans="1:58" ht="18" customHeight="1">
      <c r="A209" s="106" t="s">
        <v>15</v>
      </c>
      <c r="B209" s="93" t="s">
        <v>187</v>
      </c>
      <c r="C209" s="28">
        <v>290.45999999999998</v>
      </c>
      <c r="D209" s="28">
        <v>290.58</v>
      </c>
      <c r="E209" s="28">
        <v>290.52</v>
      </c>
      <c r="F209" s="28">
        <v>290.52</v>
      </c>
      <c r="G209" s="29">
        <v>9209.9208457272398</v>
      </c>
      <c r="H209" s="29">
        <v>6720.2873355431102</v>
      </c>
      <c r="I209" s="27">
        <f t="shared" si="7"/>
        <v>2</v>
      </c>
      <c r="J209" s="27">
        <f t="shared" si="8"/>
        <v>1</v>
      </c>
      <c r="K209" s="27">
        <f t="shared" si="6"/>
        <v>0</v>
      </c>
      <c r="L209" s="25">
        <v>598.67618433333337</v>
      </c>
      <c r="M209" s="25">
        <v>602.84944448305089</v>
      </c>
      <c r="N209" s="38">
        <v>0.53953666435857528</v>
      </c>
      <c r="O209" s="38"/>
      <c r="P209" s="71"/>
      <c r="Q209" s="53">
        <v>42535</v>
      </c>
      <c r="R209" s="23">
        <v>3</v>
      </c>
      <c r="S209" s="24">
        <v>597.00980833333335</v>
      </c>
      <c r="T209" s="24">
        <v>601.17145248639486</v>
      </c>
      <c r="U209" s="1">
        <v>0.53953666435857528</v>
      </c>
      <c r="V209" s="2"/>
      <c r="W209" s="2"/>
      <c r="X209" s="22">
        <v>42535</v>
      </c>
      <c r="Y209" s="23">
        <v>3</v>
      </c>
      <c r="Z209" s="24">
        <v>600.34256033333338</v>
      </c>
      <c r="AA209" s="24">
        <v>604.52743647970692</v>
      </c>
      <c r="AB209" s="1"/>
      <c r="AC209" s="2"/>
      <c r="AD209" s="2"/>
      <c r="AE209" s="22" t="s">
        <v>17</v>
      </c>
      <c r="AF209" s="23"/>
      <c r="AG209" s="24" t="s">
        <v>17</v>
      </c>
      <c r="AH209" s="24" t="s">
        <v>17</v>
      </c>
      <c r="AI209" s="1" t="s">
        <v>17</v>
      </c>
      <c r="AJ209" s="2" t="s">
        <v>17</v>
      </c>
      <c r="AK209" s="2" t="s">
        <v>17</v>
      </c>
      <c r="AL209" s="3"/>
      <c r="AM209" s="2"/>
      <c r="AN209" s="24" t="s">
        <v>17</v>
      </c>
      <c r="AO209" s="24" t="s">
        <v>17</v>
      </c>
      <c r="AP209" s="1" t="s">
        <v>17</v>
      </c>
      <c r="AQ209" s="2" t="s">
        <v>17</v>
      </c>
      <c r="AR209" s="2" t="s">
        <v>17</v>
      </c>
      <c r="AS209" s="3"/>
      <c r="AT209" s="2"/>
      <c r="AU209" s="4"/>
      <c r="AV209" s="2"/>
      <c r="AW209" s="1" t="s">
        <v>17</v>
      </c>
      <c r="AX209" s="2" t="s">
        <v>17</v>
      </c>
      <c r="AY209" s="2" t="s">
        <v>17</v>
      </c>
      <c r="AZ209" s="5"/>
      <c r="BA209" s="6"/>
      <c r="BB209" s="4"/>
      <c r="BC209" s="6"/>
      <c r="BD209" s="6"/>
      <c r="BE209" s="6"/>
      <c r="BF209" s="7"/>
    </row>
    <row r="210" spans="1:58" ht="18" customHeight="1">
      <c r="A210" s="106" t="s">
        <v>15</v>
      </c>
      <c r="B210" s="93" t="s">
        <v>188</v>
      </c>
      <c r="C210" s="28">
        <v>291.83999999999997</v>
      </c>
      <c r="D210" s="28">
        <v>291.95999999999998</v>
      </c>
      <c r="E210" s="28">
        <v>291.89999999999998</v>
      </c>
      <c r="F210" s="28">
        <v>291.89999999999998</v>
      </c>
      <c r="G210" s="29">
        <v>9261.8145581013905</v>
      </c>
      <c r="H210" s="29">
        <v>6771.2693630142903</v>
      </c>
      <c r="I210" s="27">
        <f t="shared" si="7"/>
        <v>1</v>
      </c>
      <c r="J210" s="27">
        <f t="shared" si="8"/>
        <v>1</v>
      </c>
      <c r="K210" s="27">
        <f t="shared" si="6"/>
        <v>1</v>
      </c>
      <c r="L210" s="25">
        <v>605.91909699999997</v>
      </c>
      <c r="M210" s="25">
        <v>610.09495261732582</v>
      </c>
      <c r="N210" s="38">
        <v>0.5334188024641584</v>
      </c>
      <c r="O210" s="38">
        <v>-7.6772519614010104</v>
      </c>
      <c r="P210" s="71">
        <v>-9.810927171257644</v>
      </c>
      <c r="Q210" s="53">
        <v>43475</v>
      </c>
      <c r="R210" s="23">
        <v>12</v>
      </c>
      <c r="S210" s="24">
        <v>605.91909699999997</v>
      </c>
      <c r="T210" s="24">
        <v>610.09495261732582</v>
      </c>
      <c r="U210" s="1">
        <v>0.5334188024641584</v>
      </c>
      <c r="V210" s="2">
        <v>-7.6772519614010104</v>
      </c>
      <c r="W210" s="2">
        <v>-9.810927171257644</v>
      </c>
      <c r="X210" s="22" t="s">
        <v>17</v>
      </c>
      <c r="Y210" s="23"/>
      <c r="Z210" s="24" t="s">
        <v>17</v>
      </c>
      <c r="AA210" s="24" t="s">
        <v>17</v>
      </c>
      <c r="AB210" s="1" t="s">
        <v>17</v>
      </c>
      <c r="AC210" s="2" t="s">
        <v>17</v>
      </c>
      <c r="AD210" s="2" t="s">
        <v>17</v>
      </c>
      <c r="AE210" s="22" t="s">
        <v>17</v>
      </c>
      <c r="AF210" s="23"/>
      <c r="AG210" s="24" t="s">
        <v>17</v>
      </c>
      <c r="AH210" s="24" t="s">
        <v>17</v>
      </c>
      <c r="AI210" s="1" t="s">
        <v>17</v>
      </c>
      <c r="AJ210" s="2" t="s">
        <v>17</v>
      </c>
      <c r="AK210" s="2" t="s">
        <v>17</v>
      </c>
      <c r="AL210" s="3"/>
      <c r="AM210" s="2"/>
      <c r="AN210" s="24" t="s">
        <v>17</v>
      </c>
      <c r="AO210" s="24" t="s">
        <v>17</v>
      </c>
      <c r="AP210" s="1" t="s">
        <v>17</v>
      </c>
      <c r="AQ210" s="2" t="s">
        <v>17</v>
      </c>
      <c r="AR210" s="2" t="s">
        <v>17</v>
      </c>
      <c r="AS210" s="3"/>
      <c r="AT210" s="2"/>
      <c r="AU210" s="4"/>
      <c r="AV210" s="2"/>
      <c r="AW210" s="1" t="s">
        <v>17</v>
      </c>
      <c r="AX210" s="2" t="s">
        <v>17</v>
      </c>
      <c r="AY210" s="2" t="s">
        <v>17</v>
      </c>
      <c r="AZ210" s="5"/>
      <c r="BA210" s="6"/>
      <c r="BB210" s="4"/>
      <c r="BC210" s="6"/>
      <c r="BD210" s="6"/>
      <c r="BE210" s="6"/>
      <c r="BF210" s="7"/>
    </row>
    <row r="211" spans="1:58" ht="18" customHeight="1">
      <c r="A211" s="106" t="s">
        <v>15</v>
      </c>
      <c r="B211" s="93" t="s">
        <v>189</v>
      </c>
      <c r="C211" s="28">
        <v>292.95999999999998</v>
      </c>
      <c r="D211" s="28">
        <v>293.08</v>
      </c>
      <c r="E211" s="28">
        <v>293.02</v>
      </c>
      <c r="F211" s="28">
        <v>293.02</v>
      </c>
      <c r="G211" s="29">
        <v>9303.8558230218605</v>
      </c>
      <c r="H211" s="29">
        <v>6817.9330512881697</v>
      </c>
      <c r="I211" s="27">
        <f t="shared" si="7"/>
        <v>1</v>
      </c>
      <c r="J211" s="27">
        <f t="shared" si="8"/>
        <v>1</v>
      </c>
      <c r="K211" s="27">
        <f t="shared" si="6"/>
        <v>1</v>
      </c>
      <c r="L211" s="25">
        <v>604.42251549999992</v>
      </c>
      <c r="M211" s="25">
        <v>608.63054757151986</v>
      </c>
      <c r="N211" s="38">
        <v>0.5388599338884692</v>
      </c>
      <c r="O211" s="38">
        <v>-8.4903586553681798</v>
      </c>
      <c r="P211" s="71">
        <v>-10.645798390922057</v>
      </c>
      <c r="Q211" s="53">
        <v>42712</v>
      </c>
      <c r="R211" s="23">
        <v>11</v>
      </c>
      <c r="S211" s="24">
        <v>604.42251549999992</v>
      </c>
      <c r="T211" s="24">
        <v>608.63054757151986</v>
      </c>
      <c r="U211" s="1">
        <v>0.5388599338884692</v>
      </c>
      <c r="V211" s="2">
        <v>-8.4903586553681798</v>
      </c>
      <c r="W211" s="2">
        <v>-10.645798390922057</v>
      </c>
      <c r="X211" s="22" t="s">
        <v>17</v>
      </c>
      <c r="Y211" s="23"/>
      <c r="Z211" s="24" t="s">
        <v>17</v>
      </c>
      <c r="AA211" s="24" t="s">
        <v>17</v>
      </c>
      <c r="AB211" s="1" t="s">
        <v>17</v>
      </c>
      <c r="AC211" s="2" t="s">
        <v>17</v>
      </c>
      <c r="AD211" s="2" t="s">
        <v>17</v>
      </c>
      <c r="AE211" s="22" t="s">
        <v>17</v>
      </c>
      <c r="AF211" s="23"/>
      <c r="AG211" s="24" t="s">
        <v>17</v>
      </c>
      <c r="AH211" s="24" t="s">
        <v>17</v>
      </c>
      <c r="AI211" s="1" t="s">
        <v>17</v>
      </c>
      <c r="AJ211" s="2" t="s">
        <v>17</v>
      </c>
      <c r="AK211" s="2" t="s">
        <v>17</v>
      </c>
      <c r="AL211" s="3"/>
      <c r="AM211" s="2"/>
      <c r="AN211" s="24" t="s">
        <v>17</v>
      </c>
      <c r="AO211" s="24" t="s">
        <v>17</v>
      </c>
      <c r="AP211" s="1" t="s">
        <v>17</v>
      </c>
      <c r="AQ211" s="2" t="s">
        <v>17</v>
      </c>
      <c r="AR211" s="2" t="s">
        <v>17</v>
      </c>
      <c r="AS211" s="3"/>
      <c r="AT211" s="2"/>
      <c r="AU211" s="4"/>
      <c r="AV211" s="2"/>
      <c r="AW211" s="1" t="s">
        <v>17</v>
      </c>
      <c r="AX211" s="2" t="s">
        <v>17</v>
      </c>
      <c r="AY211" s="2" t="s">
        <v>17</v>
      </c>
      <c r="AZ211" s="5"/>
      <c r="BA211" s="6"/>
      <c r="BB211" s="4"/>
      <c r="BC211" s="6"/>
      <c r="BD211" s="6"/>
      <c r="BE211" s="6"/>
      <c r="BF211" s="7"/>
    </row>
    <row r="212" spans="1:58" ht="18" customHeight="1">
      <c r="A212" s="106" t="s">
        <v>15</v>
      </c>
      <c r="B212" s="93" t="s">
        <v>190</v>
      </c>
      <c r="C212" s="28">
        <v>294.33999999999997</v>
      </c>
      <c r="D212" s="28">
        <v>294.45999999999998</v>
      </c>
      <c r="E212" s="28">
        <v>294.39999999999998</v>
      </c>
      <c r="F212" s="28">
        <v>294.39999999999998</v>
      </c>
      <c r="G212" s="29">
        <v>9354.8764120237902</v>
      </c>
      <c r="H212" s="29">
        <v>6874.28292659619</v>
      </c>
      <c r="I212" s="27">
        <f t="shared" si="7"/>
        <v>1</v>
      </c>
      <c r="J212" s="27">
        <f t="shared" si="8"/>
        <v>1</v>
      </c>
      <c r="K212" s="27">
        <f t="shared" si="6"/>
        <v>1</v>
      </c>
      <c r="L212" s="25">
        <v>613.18660499999999</v>
      </c>
      <c r="M212" s="25">
        <v>617.33115241154871</v>
      </c>
      <c r="N212" s="38">
        <v>0.52314483185855742</v>
      </c>
      <c r="O212" s="38">
        <v>-7.1645057204210438</v>
      </c>
      <c r="P212" s="71">
        <v>-9.2570850478552735</v>
      </c>
      <c r="Q212" s="53">
        <v>43461</v>
      </c>
      <c r="R212" s="23">
        <v>12</v>
      </c>
      <c r="S212" s="24">
        <v>613.18660499999999</v>
      </c>
      <c r="T212" s="24">
        <v>617.33115241154871</v>
      </c>
      <c r="U212" s="1">
        <v>0.52314483185855742</v>
      </c>
      <c r="V212" s="2">
        <v>-7.1645057204210438</v>
      </c>
      <c r="W212" s="2">
        <v>-9.2570850478552735</v>
      </c>
      <c r="X212" s="22" t="s">
        <v>17</v>
      </c>
      <c r="Y212" s="23"/>
      <c r="Z212" s="24" t="s">
        <v>17</v>
      </c>
      <c r="AA212" s="24" t="s">
        <v>17</v>
      </c>
      <c r="AB212" s="1" t="s">
        <v>17</v>
      </c>
      <c r="AC212" s="2" t="s">
        <v>17</v>
      </c>
      <c r="AD212" s="2" t="s">
        <v>17</v>
      </c>
      <c r="AE212" s="22" t="s">
        <v>17</v>
      </c>
      <c r="AF212" s="23"/>
      <c r="AG212" s="24" t="s">
        <v>17</v>
      </c>
      <c r="AH212" s="24" t="s">
        <v>17</v>
      </c>
      <c r="AI212" s="1" t="s">
        <v>17</v>
      </c>
      <c r="AJ212" s="2" t="s">
        <v>17</v>
      </c>
      <c r="AK212" s="2" t="s">
        <v>17</v>
      </c>
      <c r="AL212" s="3"/>
      <c r="AM212" s="2"/>
      <c r="AN212" s="24" t="s">
        <v>17</v>
      </c>
      <c r="AO212" s="24" t="s">
        <v>17</v>
      </c>
      <c r="AP212" s="1" t="s">
        <v>17</v>
      </c>
      <c r="AQ212" s="2" t="s">
        <v>17</v>
      </c>
      <c r="AR212" s="2" t="s">
        <v>17</v>
      </c>
      <c r="AS212" s="3"/>
      <c r="AT212" s="2"/>
      <c r="AU212" s="4"/>
      <c r="AV212" s="2"/>
      <c r="AW212" s="1" t="s">
        <v>17</v>
      </c>
      <c r="AX212" s="2" t="s">
        <v>17</v>
      </c>
      <c r="AY212" s="2" t="s">
        <v>17</v>
      </c>
      <c r="AZ212" s="5"/>
      <c r="BA212" s="6"/>
      <c r="BB212" s="4"/>
      <c r="BC212" s="6"/>
      <c r="BD212" s="6"/>
      <c r="BE212" s="6"/>
      <c r="BF212" s="7"/>
    </row>
    <row r="213" spans="1:58" ht="18" customHeight="1">
      <c r="A213" s="106" t="s">
        <v>15</v>
      </c>
      <c r="B213" s="93" t="s">
        <v>191</v>
      </c>
      <c r="C213" s="28">
        <v>295.45999999999998</v>
      </c>
      <c r="D213" s="28">
        <v>295.58</v>
      </c>
      <c r="E213" s="28">
        <v>295.52</v>
      </c>
      <c r="F213" s="28">
        <v>295.52</v>
      </c>
      <c r="G213" s="29">
        <v>9394.11266825436</v>
      </c>
      <c r="H213" s="29">
        <v>6921.1962880537903</v>
      </c>
      <c r="I213" s="27">
        <f t="shared" si="7"/>
        <v>1</v>
      </c>
      <c r="J213" s="27">
        <f t="shared" si="8"/>
        <v>1</v>
      </c>
      <c r="K213" s="27">
        <f t="shared" si="6"/>
        <v>0</v>
      </c>
      <c r="L213" s="25">
        <v>616.79968499999995</v>
      </c>
      <c r="M213" s="25">
        <v>621.06064915998559</v>
      </c>
      <c r="N213" s="38">
        <v>0.53468896893971163</v>
      </c>
      <c r="O213" s="38"/>
      <c r="P213" s="71"/>
      <c r="Q213" s="22">
        <v>44099</v>
      </c>
      <c r="R213" s="23" t="s">
        <v>88</v>
      </c>
      <c r="S213" s="24">
        <v>616.79968499999995</v>
      </c>
      <c r="T213" s="24">
        <v>621.06064915998559</v>
      </c>
      <c r="U213" s="1">
        <v>0.53468896893971163</v>
      </c>
      <c r="V213" s="2"/>
      <c r="W213" s="2"/>
      <c r="X213" s="22"/>
      <c r="Y213" s="23"/>
      <c r="Z213" s="24"/>
      <c r="AA213" s="24"/>
      <c r="AB213" s="1"/>
      <c r="AC213" s="2"/>
      <c r="AD213" s="2"/>
      <c r="AE213" s="22" t="s">
        <v>17</v>
      </c>
      <c r="AF213" s="23"/>
      <c r="AG213" s="24" t="s">
        <v>17</v>
      </c>
      <c r="AH213" s="24" t="s">
        <v>17</v>
      </c>
      <c r="AI213" s="1" t="s">
        <v>17</v>
      </c>
      <c r="AJ213" s="2" t="s">
        <v>17</v>
      </c>
      <c r="AK213" s="2" t="s">
        <v>17</v>
      </c>
      <c r="AL213" s="3"/>
      <c r="AM213" s="2"/>
      <c r="AN213" s="24" t="s">
        <v>17</v>
      </c>
      <c r="AO213" s="24" t="s">
        <v>17</v>
      </c>
      <c r="AP213" s="1" t="s">
        <v>17</v>
      </c>
      <c r="AQ213" s="2" t="s">
        <v>17</v>
      </c>
      <c r="AR213" s="2" t="s">
        <v>17</v>
      </c>
      <c r="AS213" s="3"/>
      <c r="AT213" s="2"/>
      <c r="AU213" s="4"/>
      <c r="AV213" s="2"/>
      <c r="AW213" s="1" t="s">
        <v>17</v>
      </c>
      <c r="AX213" s="2" t="s">
        <v>17</v>
      </c>
      <c r="AY213" s="2" t="s">
        <v>17</v>
      </c>
      <c r="AZ213" s="5"/>
      <c r="BA213" s="6"/>
      <c r="BB213" s="4"/>
      <c r="BC213" s="6"/>
      <c r="BD213" s="6"/>
      <c r="BE213" s="6"/>
      <c r="BF213" s="7"/>
    </row>
    <row r="214" spans="1:58" ht="18" customHeight="1">
      <c r="A214" s="106" t="s">
        <v>15</v>
      </c>
      <c r="B214" s="93" t="s">
        <v>192</v>
      </c>
      <c r="C214" s="28">
        <v>296.95999999999998</v>
      </c>
      <c r="D214" s="28">
        <v>297.08</v>
      </c>
      <c r="E214" s="28">
        <v>297.02</v>
      </c>
      <c r="F214" s="28">
        <v>297.02</v>
      </c>
      <c r="G214" s="29">
        <v>9445.4015206348904</v>
      </c>
      <c r="H214" s="29">
        <v>6983.68743359361</v>
      </c>
      <c r="I214" s="27">
        <f t="shared" si="7"/>
        <v>1</v>
      </c>
      <c r="J214" s="27">
        <f t="shared" si="8"/>
        <v>1</v>
      </c>
      <c r="K214" s="27">
        <f t="shared" si="6"/>
        <v>1</v>
      </c>
      <c r="L214" s="25">
        <v>620.31706050000003</v>
      </c>
      <c r="M214" s="25">
        <v>624.54976843875761</v>
      </c>
      <c r="N214" s="38">
        <v>0.52813149024788508</v>
      </c>
      <c r="O214" s="38">
        <v>-8.255812866843959</v>
      </c>
      <c r="P214" s="71">
        <v>-10.368338827835499</v>
      </c>
      <c r="Q214" s="53">
        <v>43235</v>
      </c>
      <c r="R214" s="23">
        <v>6</v>
      </c>
      <c r="S214" s="24">
        <v>620.31706050000003</v>
      </c>
      <c r="T214" s="24">
        <v>624.54976843875761</v>
      </c>
      <c r="U214" s="1">
        <v>0.52813149024788508</v>
      </c>
      <c r="V214" s="2">
        <v>-8.255812866843959</v>
      </c>
      <c r="W214" s="2">
        <v>-10.368338827835499</v>
      </c>
      <c r="X214" s="22" t="s">
        <v>17</v>
      </c>
      <c r="Y214" s="23"/>
      <c r="Z214" s="24" t="s">
        <v>17</v>
      </c>
      <c r="AA214" s="24" t="s">
        <v>17</v>
      </c>
      <c r="AB214" s="1" t="s">
        <v>17</v>
      </c>
      <c r="AC214" s="2" t="s">
        <v>17</v>
      </c>
      <c r="AD214" s="2" t="s">
        <v>17</v>
      </c>
      <c r="AE214" s="22" t="s">
        <v>17</v>
      </c>
      <c r="AF214" s="23"/>
      <c r="AG214" s="24" t="s">
        <v>17</v>
      </c>
      <c r="AH214" s="24" t="s">
        <v>17</v>
      </c>
      <c r="AI214" s="1" t="s">
        <v>17</v>
      </c>
      <c r="AJ214" s="2" t="s">
        <v>17</v>
      </c>
      <c r="AK214" s="2" t="s">
        <v>17</v>
      </c>
      <c r="AL214" s="3"/>
      <c r="AM214" s="2"/>
      <c r="AN214" s="24" t="s">
        <v>17</v>
      </c>
      <c r="AO214" s="24" t="s">
        <v>17</v>
      </c>
      <c r="AP214" s="1" t="s">
        <v>17</v>
      </c>
      <c r="AQ214" s="2" t="s">
        <v>17</v>
      </c>
      <c r="AR214" s="2" t="s">
        <v>17</v>
      </c>
      <c r="AS214" s="3"/>
      <c r="AT214" s="2"/>
      <c r="AU214" s="4"/>
      <c r="AV214" s="2"/>
      <c r="AW214" s="1" t="s">
        <v>17</v>
      </c>
      <c r="AX214" s="2" t="s">
        <v>17</v>
      </c>
      <c r="AY214" s="2" t="s">
        <v>17</v>
      </c>
      <c r="AZ214" s="5"/>
      <c r="BA214" s="6"/>
      <c r="BB214" s="4"/>
      <c r="BC214" s="6"/>
      <c r="BD214" s="6"/>
      <c r="BE214" s="6"/>
      <c r="BF214" s="7"/>
    </row>
    <row r="215" spans="1:58" ht="18" customHeight="1">
      <c r="A215" s="106" t="s">
        <v>15</v>
      </c>
      <c r="B215" s="93" t="s">
        <v>193</v>
      </c>
      <c r="C215" s="28">
        <v>297.89999999999998</v>
      </c>
      <c r="D215" s="28">
        <v>298.02</v>
      </c>
      <c r="E215" s="28">
        <v>297.95999999999998</v>
      </c>
      <c r="F215" s="28">
        <v>297.95999999999998</v>
      </c>
      <c r="G215" s="29">
        <v>9478.0175573462002</v>
      </c>
      <c r="H215" s="29">
        <v>7019.2595144237503</v>
      </c>
      <c r="I215" s="27">
        <f t="shared" si="7"/>
        <v>2</v>
      </c>
      <c r="J215" s="27">
        <f t="shared" si="8"/>
        <v>2</v>
      </c>
      <c r="K215" s="27">
        <f t="shared" si="6"/>
        <v>2</v>
      </c>
      <c r="L215" s="25">
        <v>617.42737075000002</v>
      </c>
      <c r="M215" s="25">
        <v>621.74826610308901</v>
      </c>
      <c r="N215" s="38">
        <v>0.54165784849991017</v>
      </c>
      <c r="O215" s="38">
        <v>-7.2069290904723253</v>
      </c>
      <c r="P215" s="71">
        <v>-9.373560484471966</v>
      </c>
      <c r="Q215" s="53">
        <v>42659</v>
      </c>
      <c r="R215" s="23">
        <v>5</v>
      </c>
      <c r="S215" s="24">
        <v>617.79139450000002</v>
      </c>
      <c r="T215" s="24">
        <v>622.12017573132198</v>
      </c>
      <c r="U215" s="1">
        <v>0.54232705396550784</v>
      </c>
      <c r="V215" s="2">
        <v>-7.4859605759889369</v>
      </c>
      <c r="W215" s="2">
        <v>-9.6552687918509683</v>
      </c>
      <c r="X215" s="22">
        <v>42659</v>
      </c>
      <c r="Y215" s="23">
        <v>5</v>
      </c>
      <c r="Z215" s="24">
        <v>617.06334700000002</v>
      </c>
      <c r="AA215" s="24">
        <v>621.37635647485592</v>
      </c>
      <c r="AB215" s="1">
        <v>0.54098864303431249</v>
      </c>
      <c r="AC215" s="2">
        <v>-6.9278976049557128</v>
      </c>
      <c r="AD215" s="2">
        <v>-9.0918521770929637</v>
      </c>
      <c r="AE215" s="22" t="s">
        <v>17</v>
      </c>
      <c r="AF215" s="23"/>
      <c r="AG215" s="24" t="s">
        <v>17</v>
      </c>
      <c r="AH215" s="24" t="s">
        <v>17</v>
      </c>
      <c r="AI215" s="1" t="s">
        <v>17</v>
      </c>
      <c r="AJ215" s="2" t="s">
        <v>17</v>
      </c>
      <c r="AK215" s="2" t="s">
        <v>17</v>
      </c>
      <c r="AL215" s="3"/>
      <c r="AM215" s="2"/>
      <c r="AN215" s="24" t="s">
        <v>17</v>
      </c>
      <c r="AO215" s="24" t="s">
        <v>17</v>
      </c>
      <c r="AP215" s="1" t="s">
        <v>17</v>
      </c>
      <c r="AQ215" s="2" t="s">
        <v>17</v>
      </c>
      <c r="AR215" s="2" t="s">
        <v>17</v>
      </c>
      <c r="AS215" s="3"/>
      <c r="AT215" s="2"/>
      <c r="AU215" s="4"/>
      <c r="AV215" s="2"/>
      <c r="AW215" s="1" t="s">
        <v>17</v>
      </c>
      <c r="AX215" s="2" t="s">
        <v>17</v>
      </c>
      <c r="AY215" s="2" t="s">
        <v>17</v>
      </c>
      <c r="AZ215" s="5"/>
      <c r="BA215" s="6"/>
      <c r="BB215" s="4"/>
      <c r="BC215" s="6"/>
      <c r="BD215" s="6"/>
      <c r="BE215" s="6"/>
      <c r="BF215" s="7"/>
    </row>
    <row r="216" spans="1:58" ht="18" customHeight="1">
      <c r="A216" s="106" t="s">
        <v>15</v>
      </c>
      <c r="B216" s="93" t="s">
        <v>194</v>
      </c>
      <c r="C216" s="28">
        <v>299.77999999999997</v>
      </c>
      <c r="D216" s="28">
        <v>299.89999999999998</v>
      </c>
      <c r="E216" s="28">
        <v>299.83999999999997</v>
      </c>
      <c r="F216" s="28">
        <v>299.83999999999997</v>
      </c>
      <c r="G216" s="29">
        <v>9544.6089781210703</v>
      </c>
      <c r="H216" s="29">
        <v>7088.6094017923497</v>
      </c>
      <c r="I216" s="27">
        <f t="shared" si="7"/>
        <v>1</v>
      </c>
      <c r="J216" s="27">
        <f t="shared" si="8"/>
        <v>1</v>
      </c>
      <c r="K216" s="27">
        <f t="shared" si="6"/>
        <v>1</v>
      </c>
      <c r="L216" s="25">
        <v>621.18242550000002</v>
      </c>
      <c r="M216" s="25">
        <v>625.42733654197195</v>
      </c>
      <c r="N216" s="38">
        <v>0.52891626152540283</v>
      </c>
      <c r="O216" s="38">
        <v>-8.9660093040495603</v>
      </c>
      <c r="P216" s="71">
        <v>-11.081674350151172</v>
      </c>
      <c r="Q216" s="53">
        <v>43244</v>
      </c>
      <c r="R216" s="23">
        <v>6</v>
      </c>
      <c r="S216" s="24">
        <v>621.18242550000002</v>
      </c>
      <c r="T216" s="24">
        <v>625.42733654197195</v>
      </c>
      <c r="U216" s="1">
        <v>0.52891626152540283</v>
      </c>
      <c r="V216" s="2">
        <v>-8.9660093040495603</v>
      </c>
      <c r="W216" s="2">
        <v>-11.081674350151172</v>
      </c>
      <c r="X216" s="22" t="s">
        <v>17</v>
      </c>
      <c r="Y216" s="23"/>
      <c r="Z216" s="24" t="s">
        <v>17</v>
      </c>
      <c r="AA216" s="24" t="s">
        <v>17</v>
      </c>
      <c r="AB216" s="1" t="s">
        <v>17</v>
      </c>
      <c r="AC216" s="2" t="s">
        <v>17</v>
      </c>
      <c r="AD216" s="2" t="s">
        <v>17</v>
      </c>
      <c r="AE216" s="22" t="s">
        <v>17</v>
      </c>
      <c r="AF216" s="23"/>
      <c r="AG216" s="24" t="s">
        <v>17</v>
      </c>
      <c r="AH216" s="24" t="s">
        <v>17</v>
      </c>
      <c r="AI216" s="1" t="s">
        <v>17</v>
      </c>
      <c r="AJ216" s="2" t="s">
        <v>17</v>
      </c>
      <c r="AK216" s="2" t="s">
        <v>17</v>
      </c>
      <c r="AL216" s="3"/>
      <c r="AM216" s="2"/>
      <c r="AN216" s="24" t="s">
        <v>17</v>
      </c>
      <c r="AO216" s="24" t="s">
        <v>17</v>
      </c>
      <c r="AP216" s="1" t="s">
        <v>17</v>
      </c>
      <c r="AQ216" s="2" t="s">
        <v>17</v>
      </c>
      <c r="AR216" s="2" t="s">
        <v>17</v>
      </c>
      <c r="AS216" s="3"/>
      <c r="AT216" s="2"/>
      <c r="AU216" s="4"/>
      <c r="AV216" s="2"/>
      <c r="AW216" s="1" t="s">
        <v>17</v>
      </c>
      <c r="AX216" s="2" t="s">
        <v>17</v>
      </c>
      <c r="AY216" s="2" t="s">
        <v>17</v>
      </c>
      <c r="AZ216" s="5"/>
      <c r="BA216" s="6"/>
      <c r="BB216" s="4"/>
      <c r="BC216" s="6"/>
      <c r="BD216" s="6"/>
      <c r="BE216" s="6"/>
      <c r="BF216" s="7"/>
    </row>
    <row r="217" spans="1:58" ht="18" customHeight="1">
      <c r="A217" s="106" t="s">
        <v>15</v>
      </c>
      <c r="B217" s="93" t="s">
        <v>195</v>
      </c>
      <c r="C217" s="28">
        <v>300.77999999999997</v>
      </c>
      <c r="D217" s="28">
        <v>300.89999999999998</v>
      </c>
      <c r="E217" s="28">
        <v>300.83999999999997</v>
      </c>
      <c r="F217" s="28">
        <v>300.83999999999997</v>
      </c>
      <c r="G217" s="29">
        <v>9580.5330694990298</v>
      </c>
      <c r="H217" s="29">
        <v>7122.8888690280301</v>
      </c>
      <c r="I217" s="27">
        <f t="shared" si="7"/>
        <v>1</v>
      </c>
      <c r="J217" s="27">
        <f t="shared" si="8"/>
        <v>1</v>
      </c>
      <c r="K217" s="27">
        <f t="shared" si="6"/>
        <v>1</v>
      </c>
      <c r="L217" s="25">
        <v>619.57134399999995</v>
      </c>
      <c r="M217" s="25">
        <v>623.81753610336875</v>
      </c>
      <c r="N217" s="38">
        <v>0.53045164654941246</v>
      </c>
      <c r="O217" s="38">
        <v>-8.9841440586561063</v>
      </c>
      <c r="P217" s="71">
        <v>-11.105950644853756</v>
      </c>
      <c r="Q217" s="53">
        <v>42695</v>
      </c>
      <c r="R217" s="23">
        <v>11</v>
      </c>
      <c r="S217" s="24">
        <v>619.57134399999995</v>
      </c>
      <c r="T217" s="24">
        <v>623.81753610336875</v>
      </c>
      <c r="U217" s="1">
        <v>0.53045164654941246</v>
      </c>
      <c r="V217" s="2">
        <v>-8.9841440586561063</v>
      </c>
      <c r="W217" s="2">
        <v>-11.105950644853756</v>
      </c>
      <c r="X217" s="22" t="s">
        <v>17</v>
      </c>
      <c r="Y217" s="23"/>
      <c r="Z217" s="24" t="s">
        <v>17</v>
      </c>
      <c r="AA217" s="24" t="s">
        <v>17</v>
      </c>
      <c r="AB217" s="1" t="s">
        <v>17</v>
      </c>
      <c r="AC217" s="2" t="s">
        <v>17</v>
      </c>
      <c r="AD217" s="2" t="s">
        <v>17</v>
      </c>
      <c r="AE217" s="22" t="s">
        <v>17</v>
      </c>
      <c r="AF217" s="23"/>
      <c r="AG217" s="24" t="s">
        <v>17</v>
      </c>
      <c r="AH217" s="24" t="s">
        <v>17</v>
      </c>
      <c r="AI217" s="1" t="s">
        <v>17</v>
      </c>
      <c r="AJ217" s="2" t="s">
        <v>17</v>
      </c>
      <c r="AK217" s="2" t="s">
        <v>17</v>
      </c>
      <c r="AL217" s="3"/>
      <c r="AM217" s="2"/>
      <c r="AN217" s="24" t="s">
        <v>17</v>
      </c>
      <c r="AO217" s="24" t="s">
        <v>17</v>
      </c>
      <c r="AP217" s="1" t="s">
        <v>17</v>
      </c>
      <c r="AQ217" s="2" t="s">
        <v>17</v>
      </c>
      <c r="AR217" s="2" t="s">
        <v>17</v>
      </c>
      <c r="AS217" s="3"/>
      <c r="AT217" s="2"/>
      <c r="AU217" s="4"/>
      <c r="AV217" s="2"/>
      <c r="AW217" s="1" t="s">
        <v>17</v>
      </c>
      <c r="AX217" s="2" t="s">
        <v>17</v>
      </c>
      <c r="AY217" s="2" t="s">
        <v>17</v>
      </c>
      <c r="AZ217" s="5"/>
      <c r="BA217" s="6"/>
      <c r="BB217" s="4"/>
      <c r="BC217" s="6"/>
      <c r="BD217" s="6"/>
      <c r="BE217" s="6"/>
      <c r="BF217" s="7"/>
    </row>
    <row r="218" spans="1:58" ht="18" customHeight="1">
      <c r="A218" s="106" t="s">
        <v>15</v>
      </c>
      <c r="B218" s="93" t="s">
        <v>196</v>
      </c>
      <c r="C218" s="28">
        <v>302.77999999999997</v>
      </c>
      <c r="D218" s="28">
        <v>302.89999999999998</v>
      </c>
      <c r="E218" s="28">
        <v>302.83999999999997</v>
      </c>
      <c r="F218" s="28">
        <v>302.83999999999997</v>
      </c>
      <c r="G218" s="29">
        <v>9650.2591489837596</v>
      </c>
      <c r="H218" s="29">
        <v>7206.52900234967</v>
      </c>
      <c r="I218" s="27">
        <f t="shared" si="7"/>
        <v>1</v>
      </c>
      <c r="J218" s="27">
        <f t="shared" si="8"/>
        <v>1</v>
      </c>
      <c r="K218" s="27">
        <f t="shared" si="6"/>
        <v>1</v>
      </c>
      <c r="L218" s="25">
        <v>619.33621100000005</v>
      </c>
      <c r="M218" s="25">
        <v>623.57146949961987</v>
      </c>
      <c r="N218" s="38">
        <v>0.52928664527818192</v>
      </c>
      <c r="O218" s="38">
        <v>-9.2620219234768051</v>
      </c>
      <c r="P218" s="71">
        <v>-11.379168504589533</v>
      </c>
      <c r="Q218" s="53">
        <v>43500</v>
      </c>
      <c r="R218" s="23">
        <v>8</v>
      </c>
      <c r="S218" s="24">
        <v>619.33621100000005</v>
      </c>
      <c r="T218" s="24">
        <v>623.57146949961987</v>
      </c>
      <c r="U218" s="1">
        <v>0.52928664527818192</v>
      </c>
      <c r="V218" s="2">
        <v>-9.2620219234768051</v>
      </c>
      <c r="W218" s="2">
        <v>-11.379168504589533</v>
      </c>
      <c r="X218" s="22" t="s">
        <v>17</v>
      </c>
      <c r="Y218" s="23"/>
      <c r="Z218" s="24" t="s">
        <v>17</v>
      </c>
      <c r="AA218" s="24" t="s">
        <v>17</v>
      </c>
      <c r="AB218" s="1" t="s">
        <v>17</v>
      </c>
      <c r="AC218" s="2" t="s">
        <v>17</v>
      </c>
      <c r="AD218" s="2" t="s">
        <v>17</v>
      </c>
      <c r="AE218" s="22" t="s">
        <v>17</v>
      </c>
      <c r="AF218" s="23"/>
      <c r="AG218" s="24" t="s">
        <v>17</v>
      </c>
      <c r="AH218" s="24" t="s">
        <v>17</v>
      </c>
      <c r="AI218" s="1" t="s">
        <v>17</v>
      </c>
      <c r="AJ218" s="2" t="s">
        <v>17</v>
      </c>
      <c r="AK218" s="2" t="s">
        <v>17</v>
      </c>
      <c r="AL218" s="3"/>
      <c r="AM218" s="2"/>
      <c r="AN218" s="24" t="s">
        <v>17</v>
      </c>
      <c r="AO218" s="24" t="s">
        <v>17</v>
      </c>
      <c r="AP218" s="1" t="s">
        <v>17</v>
      </c>
      <c r="AQ218" s="2" t="s">
        <v>17</v>
      </c>
      <c r="AR218" s="2" t="s">
        <v>17</v>
      </c>
      <c r="AS218" s="3"/>
      <c r="AT218" s="2"/>
      <c r="AU218" s="4"/>
      <c r="AV218" s="2"/>
      <c r="AW218" s="1" t="s">
        <v>17</v>
      </c>
      <c r="AX218" s="2" t="s">
        <v>17</v>
      </c>
      <c r="AY218" s="2" t="s">
        <v>17</v>
      </c>
      <c r="AZ218" s="5"/>
      <c r="BA218" s="6"/>
      <c r="BB218" s="4"/>
      <c r="BC218" s="6"/>
      <c r="BD218" s="6"/>
      <c r="BE218" s="6"/>
      <c r="BF218" s="7"/>
    </row>
    <row r="219" spans="1:58" ht="18" customHeight="1">
      <c r="A219" s="106" t="s">
        <v>15</v>
      </c>
      <c r="B219" s="93" t="s">
        <v>197</v>
      </c>
      <c r="C219" s="28">
        <v>303.39999999999998</v>
      </c>
      <c r="D219" s="28">
        <v>303.52</v>
      </c>
      <c r="E219" s="28">
        <v>303.45999999999998</v>
      </c>
      <c r="F219" s="28">
        <v>303.45999999999998</v>
      </c>
      <c r="G219" s="29">
        <v>9673.3606903443597</v>
      </c>
      <c r="H219" s="29">
        <v>7234.4149867779497</v>
      </c>
      <c r="I219" s="27">
        <f t="shared" si="7"/>
        <v>2</v>
      </c>
      <c r="J219" s="27">
        <f t="shared" si="8"/>
        <v>2</v>
      </c>
      <c r="K219" s="27">
        <f t="shared" si="6"/>
        <v>1</v>
      </c>
      <c r="L219" s="25">
        <v>618.30105900000001</v>
      </c>
      <c r="M219" s="25">
        <v>622.45303802943727</v>
      </c>
      <c r="N219" s="38">
        <v>0.51974968432677571</v>
      </c>
      <c r="O219" s="38">
        <v>-6.3591106350460169</v>
      </c>
      <c r="P219" s="71">
        <v>-8.440376891708512</v>
      </c>
      <c r="Q219" s="53">
        <v>42695</v>
      </c>
      <c r="R219" s="23">
        <v>11</v>
      </c>
      <c r="S219" s="24">
        <v>616.22964899999999</v>
      </c>
      <c r="T219" s="24">
        <v>620.37224665866427</v>
      </c>
      <c r="U219" s="1">
        <v>0.52031656416562377</v>
      </c>
      <c r="V219" s="2">
        <v>-6.3591106350460169</v>
      </c>
      <c r="W219" s="2">
        <v>-8.440376891708512</v>
      </c>
      <c r="X219" s="22">
        <v>44102</v>
      </c>
      <c r="Y219" s="23" t="s">
        <v>88</v>
      </c>
      <c r="Z219" s="24">
        <v>620.37246900000002</v>
      </c>
      <c r="AA219" s="24">
        <v>624.53382940021015</v>
      </c>
      <c r="AB219" s="1">
        <v>0.51918280448792764</v>
      </c>
      <c r="AC219" s="2"/>
      <c r="AD219" s="2"/>
      <c r="AE219" s="22" t="s">
        <v>17</v>
      </c>
      <c r="AF219" s="23"/>
      <c r="AG219" s="24" t="s">
        <v>17</v>
      </c>
      <c r="AH219" s="24" t="s">
        <v>17</v>
      </c>
      <c r="AI219" s="1" t="s">
        <v>17</v>
      </c>
      <c r="AJ219" s="2" t="s">
        <v>17</v>
      </c>
      <c r="AK219" s="2" t="s">
        <v>17</v>
      </c>
      <c r="AL219" s="3"/>
      <c r="AM219" s="2"/>
      <c r="AN219" s="24" t="s">
        <v>17</v>
      </c>
      <c r="AO219" s="24" t="s">
        <v>17</v>
      </c>
      <c r="AP219" s="1" t="s">
        <v>17</v>
      </c>
      <c r="AQ219" s="2" t="s">
        <v>17</v>
      </c>
      <c r="AR219" s="2" t="s">
        <v>17</v>
      </c>
      <c r="AS219" s="3"/>
      <c r="AT219" s="2"/>
      <c r="AU219" s="4"/>
      <c r="AV219" s="2"/>
      <c r="AW219" s="1" t="s">
        <v>17</v>
      </c>
      <c r="AX219" s="2" t="s">
        <v>17</v>
      </c>
      <c r="AY219" s="2" t="s">
        <v>17</v>
      </c>
      <c r="AZ219" s="5"/>
      <c r="BA219" s="6"/>
      <c r="BB219" s="4"/>
      <c r="BC219" s="6"/>
      <c r="BD219" s="6"/>
      <c r="BE219" s="6"/>
      <c r="BF219" s="7"/>
    </row>
    <row r="220" spans="1:58" ht="18" customHeight="1">
      <c r="A220" s="106" t="s">
        <v>15</v>
      </c>
      <c r="B220" s="93" t="s">
        <v>198</v>
      </c>
      <c r="C220" s="28">
        <v>304.89999999999998</v>
      </c>
      <c r="D220" s="28">
        <v>305.02</v>
      </c>
      <c r="E220" s="28">
        <v>304.95999999999998</v>
      </c>
      <c r="F220" s="28">
        <v>304.95999999999998</v>
      </c>
      <c r="G220" s="29">
        <v>9730.6259791862303</v>
      </c>
      <c r="H220" s="29">
        <v>7295.8696417963101</v>
      </c>
      <c r="I220" s="27">
        <f t="shared" si="7"/>
        <v>1</v>
      </c>
      <c r="J220" s="27">
        <f t="shared" si="8"/>
        <v>1</v>
      </c>
      <c r="K220" s="27">
        <f t="shared" si="6"/>
        <v>1</v>
      </c>
      <c r="L220" s="25">
        <v>613.96421650000002</v>
      </c>
      <c r="M220" s="25">
        <v>618.10804782493631</v>
      </c>
      <c r="N220" s="38">
        <v>0.52239197349090993</v>
      </c>
      <c r="O220" s="38">
        <v>-10.813011656441107</v>
      </c>
      <c r="P220" s="71">
        <v>-12.902579550404747</v>
      </c>
      <c r="Q220" s="53">
        <v>43503</v>
      </c>
      <c r="R220" s="23">
        <v>8</v>
      </c>
      <c r="S220" s="24">
        <v>613.96421650000002</v>
      </c>
      <c r="T220" s="24">
        <v>618.10804782493631</v>
      </c>
      <c r="U220" s="1">
        <v>0.52239197349090993</v>
      </c>
      <c r="V220" s="2">
        <v>-10.813011656441107</v>
      </c>
      <c r="W220" s="2">
        <v>-12.902579550404747</v>
      </c>
      <c r="X220" s="22" t="s">
        <v>17</v>
      </c>
      <c r="Y220" s="23"/>
      <c r="Z220" s="24" t="s">
        <v>17</v>
      </c>
      <c r="AA220" s="24" t="s">
        <v>17</v>
      </c>
      <c r="AB220" s="1" t="s">
        <v>17</v>
      </c>
      <c r="AC220" s="2" t="s">
        <v>17</v>
      </c>
      <c r="AD220" s="2" t="s">
        <v>17</v>
      </c>
      <c r="AE220" s="22" t="s">
        <v>17</v>
      </c>
      <c r="AF220" s="23"/>
      <c r="AG220" s="24" t="s">
        <v>17</v>
      </c>
      <c r="AH220" s="24" t="s">
        <v>17</v>
      </c>
      <c r="AI220" s="1" t="s">
        <v>17</v>
      </c>
      <c r="AJ220" s="2" t="s">
        <v>17</v>
      </c>
      <c r="AK220" s="2" t="s">
        <v>17</v>
      </c>
      <c r="AL220" s="3"/>
      <c r="AM220" s="2"/>
      <c r="AN220" s="24" t="s">
        <v>17</v>
      </c>
      <c r="AO220" s="24" t="s">
        <v>17</v>
      </c>
      <c r="AP220" s="1" t="s">
        <v>17</v>
      </c>
      <c r="AQ220" s="2" t="s">
        <v>17</v>
      </c>
      <c r="AR220" s="2" t="s">
        <v>17</v>
      </c>
      <c r="AS220" s="3"/>
      <c r="AT220" s="2"/>
      <c r="AU220" s="4"/>
      <c r="AV220" s="2"/>
      <c r="AW220" s="1" t="s">
        <v>17</v>
      </c>
      <c r="AX220" s="2" t="s">
        <v>17</v>
      </c>
      <c r="AY220" s="2" t="s">
        <v>17</v>
      </c>
      <c r="AZ220" s="5"/>
      <c r="BA220" s="6"/>
      <c r="BB220" s="4"/>
      <c r="BC220" s="6"/>
      <c r="BD220" s="6"/>
      <c r="BE220" s="6"/>
      <c r="BF220" s="7"/>
    </row>
    <row r="221" spans="1:58" ht="18" customHeight="1">
      <c r="A221" s="106" t="s">
        <v>15</v>
      </c>
      <c r="B221" s="93" t="s">
        <v>199</v>
      </c>
      <c r="C221" s="28">
        <v>306.39999999999998</v>
      </c>
      <c r="D221" s="28">
        <v>306.52</v>
      </c>
      <c r="E221" s="28">
        <v>306.45999999999998</v>
      </c>
      <c r="F221" s="28">
        <v>306.45999999999998</v>
      </c>
      <c r="G221" s="29">
        <v>9787.4161033691598</v>
      </c>
      <c r="H221" s="29">
        <v>7348.8595124616804</v>
      </c>
      <c r="I221" s="27">
        <f t="shared" si="7"/>
        <v>1</v>
      </c>
      <c r="J221" s="27">
        <f t="shared" si="8"/>
        <v>1</v>
      </c>
      <c r="K221" s="27">
        <f t="shared" si="6"/>
        <v>1</v>
      </c>
      <c r="L221" s="25">
        <v>618.57792300000006</v>
      </c>
      <c r="M221" s="25">
        <v>622.74554660351237</v>
      </c>
      <c r="N221" s="38">
        <v>0.5214726784550372</v>
      </c>
      <c r="O221" s="38">
        <v>-10.164322592893683</v>
      </c>
      <c r="P221" s="71">
        <v>-12.250213306713832</v>
      </c>
      <c r="Q221" s="53">
        <v>42695</v>
      </c>
      <c r="R221" s="23">
        <v>11</v>
      </c>
      <c r="S221" s="24">
        <v>618.57792300000006</v>
      </c>
      <c r="T221" s="24">
        <v>622.74554660351237</v>
      </c>
      <c r="U221" s="1">
        <v>0.5214726784550372</v>
      </c>
      <c r="V221" s="2">
        <v>-10.164322592893683</v>
      </c>
      <c r="W221" s="2">
        <v>-12.250213306713832</v>
      </c>
      <c r="X221" s="22" t="s">
        <v>17</v>
      </c>
      <c r="Y221" s="23"/>
      <c r="Z221" s="24" t="s">
        <v>17</v>
      </c>
      <c r="AA221" s="24" t="s">
        <v>17</v>
      </c>
      <c r="AB221" s="1" t="s">
        <v>17</v>
      </c>
      <c r="AC221" s="2" t="s">
        <v>17</v>
      </c>
      <c r="AD221" s="2" t="s">
        <v>17</v>
      </c>
      <c r="AE221" s="22" t="s">
        <v>17</v>
      </c>
      <c r="AF221" s="23"/>
      <c r="AG221" s="24" t="s">
        <v>17</v>
      </c>
      <c r="AH221" s="24" t="s">
        <v>17</v>
      </c>
      <c r="AI221" s="1" t="s">
        <v>17</v>
      </c>
      <c r="AJ221" s="2" t="s">
        <v>17</v>
      </c>
      <c r="AK221" s="2" t="s">
        <v>17</v>
      </c>
      <c r="AL221" s="3"/>
      <c r="AM221" s="2"/>
      <c r="AN221" s="24" t="s">
        <v>17</v>
      </c>
      <c r="AO221" s="24" t="s">
        <v>17</v>
      </c>
      <c r="AP221" s="1" t="s">
        <v>17</v>
      </c>
      <c r="AQ221" s="2" t="s">
        <v>17</v>
      </c>
      <c r="AR221" s="2" t="s">
        <v>17</v>
      </c>
      <c r="AS221" s="3"/>
      <c r="AT221" s="2"/>
      <c r="AU221" s="4"/>
      <c r="AV221" s="2"/>
      <c r="AW221" s="1" t="s">
        <v>17</v>
      </c>
      <c r="AX221" s="2" t="s">
        <v>17</v>
      </c>
      <c r="AY221" s="2" t="s">
        <v>17</v>
      </c>
      <c r="AZ221" s="5"/>
      <c r="BA221" s="6"/>
      <c r="BB221" s="4"/>
      <c r="BC221" s="6"/>
      <c r="BD221" s="6"/>
      <c r="BE221" s="6"/>
      <c r="BF221" s="7"/>
    </row>
    <row r="222" spans="1:58" ht="18" customHeight="1">
      <c r="A222" s="106" t="s">
        <v>15</v>
      </c>
      <c r="B222" s="93" t="s">
        <v>200</v>
      </c>
      <c r="C222" s="28">
        <v>307.39999999999998</v>
      </c>
      <c r="D222" s="28">
        <v>307.52</v>
      </c>
      <c r="E222" s="28">
        <v>307.45999999999998</v>
      </c>
      <c r="F222" s="28">
        <v>307.45999999999998</v>
      </c>
      <c r="G222" s="29">
        <v>9823.9562060919907</v>
      </c>
      <c r="H222" s="29">
        <v>7382.2527017163702</v>
      </c>
      <c r="I222" s="27">
        <f t="shared" si="7"/>
        <v>1</v>
      </c>
      <c r="J222" s="27">
        <f t="shared" si="8"/>
        <v>1</v>
      </c>
      <c r="K222" s="27">
        <f t="shared" si="6"/>
        <v>1</v>
      </c>
      <c r="L222" s="25">
        <v>618.29837100000009</v>
      </c>
      <c r="M222" s="25">
        <v>622.4578225189822</v>
      </c>
      <c r="N222" s="38">
        <v>0.52068546054351295</v>
      </c>
      <c r="O222" s="38">
        <v>-5.9054769504475191</v>
      </c>
      <c r="P222" s="71">
        <v>-7.9882187926215709</v>
      </c>
      <c r="Q222" s="53">
        <v>43486</v>
      </c>
      <c r="R222" s="23">
        <v>11</v>
      </c>
      <c r="S222" s="24">
        <v>618.29837100000009</v>
      </c>
      <c r="T222" s="24">
        <v>622.4578225189822</v>
      </c>
      <c r="U222" s="1">
        <v>0.52068546054351295</v>
      </c>
      <c r="V222" s="2">
        <v>-5.9054769504475191</v>
      </c>
      <c r="W222" s="2">
        <v>-7.9882187926215709</v>
      </c>
      <c r="X222" s="22" t="s">
        <v>17</v>
      </c>
      <c r="Y222" s="23"/>
      <c r="Z222" s="24" t="s">
        <v>17</v>
      </c>
      <c r="AA222" s="24" t="s">
        <v>17</v>
      </c>
      <c r="AB222" s="1" t="s">
        <v>17</v>
      </c>
      <c r="AC222" s="2" t="s">
        <v>17</v>
      </c>
      <c r="AD222" s="2" t="s">
        <v>17</v>
      </c>
      <c r="AE222" s="22" t="s">
        <v>17</v>
      </c>
      <c r="AF222" s="23"/>
      <c r="AG222" s="24" t="s">
        <v>17</v>
      </c>
      <c r="AH222" s="24" t="s">
        <v>17</v>
      </c>
      <c r="AI222" s="1" t="s">
        <v>17</v>
      </c>
      <c r="AJ222" s="2" t="s">
        <v>17</v>
      </c>
      <c r="AK222" s="2" t="s">
        <v>17</v>
      </c>
      <c r="AL222" s="3"/>
      <c r="AM222" s="2"/>
      <c r="AN222" s="24" t="s">
        <v>17</v>
      </c>
      <c r="AO222" s="24" t="s">
        <v>17</v>
      </c>
      <c r="AP222" s="1" t="s">
        <v>17</v>
      </c>
      <c r="AQ222" s="2" t="s">
        <v>17</v>
      </c>
      <c r="AR222" s="2" t="s">
        <v>17</v>
      </c>
      <c r="AS222" s="3"/>
      <c r="AT222" s="2"/>
      <c r="AU222" s="4"/>
      <c r="AV222" s="2"/>
      <c r="AW222" s="1" t="s">
        <v>17</v>
      </c>
      <c r="AX222" s="2" t="s">
        <v>17</v>
      </c>
      <c r="AY222" s="2" t="s">
        <v>17</v>
      </c>
      <c r="AZ222" s="5"/>
      <c r="BA222" s="6"/>
      <c r="BB222" s="4"/>
      <c r="BC222" s="6"/>
      <c r="BD222" s="6"/>
      <c r="BE222" s="6"/>
      <c r="BF222" s="7"/>
    </row>
    <row r="223" spans="1:58" ht="18" customHeight="1">
      <c r="A223" s="106" t="s">
        <v>15</v>
      </c>
      <c r="B223" s="93" t="s">
        <v>201</v>
      </c>
      <c r="C223" s="28">
        <v>308.89999999999998</v>
      </c>
      <c r="D223" s="28">
        <v>309.02</v>
      </c>
      <c r="E223" s="28">
        <v>308.95999999999998</v>
      </c>
      <c r="F223" s="28">
        <v>308.95999999999998</v>
      </c>
      <c r="G223" s="29">
        <v>9877.5544090705498</v>
      </c>
      <c r="H223" s="29">
        <v>7434.37682229247</v>
      </c>
      <c r="I223" s="27">
        <f t="shared" si="7"/>
        <v>2</v>
      </c>
      <c r="J223" s="27">
        <f t="shared" si="8"/>
        <v>2</v>
      </c>
      <c r="K223" s="27">
        <f t="shared" si="6"/>
        <v>0</v>
      </c>
      <c r="L223" s="25">
        <v>621.56864525000003</v>
      </c>
      <c r="M223" s="25">
        <v>625.82632491789536</v>
      </c>
      <c r="N223" s="38">
        <v>0.53018139057015023</v>
      </c>
      <c r="O223" s="38"/>
      <c r="P223" s="71"/>
      <c r="Q223" s="53">
        <v>42613</v>
      </c>
      <c r="R223" s="23">
        <v>3</v>
      </c>
      <c r="S223" s="24">
        <v>622.02086350000002</v>
      </c>
      <c r="T223" s="24">
        <v>626.2397539066892</v>
      </c>
      <c r="U223" s="1">
        <v>0.52496551855885087</v>
      </c>
      <c r="V223" s="2"/>
      <c r="W223" s="2"/>
      <c r="X223" s="22">
        <v>42613</v>
      </c>
      <c r="Y223" s="23">
        <v>3</v>
      </c>
      <c r="Z223" s="24">
        <v>621.11642700000004</v>
      </c>
      <c r="AA223" s="24">
        <v>625.41289592910141</v>
      </c>
      <c r="AB223" s="1">
        <v>0.5353972625814496</v>
      </c>
      <c r="AC223" s="2"/>
      <c r="AD223" s="2"/>
      <c r="AE223" s="22" t="s">
        <v>17</v>
      </c>
      <c r="AF223" s="23"/>
      <c r="AG223" s="24" t="s">
        <v>17</v>
      </c>
      <c r="AH223" s="24" t="s">
        <v>17</v>
      </c>
      <c r="AI223" s="1" t="s">
        <v>17</v>
      </c>
      <c r="AJ223" s="2" t="s">
        <v>17</v>
      </c>
      <c r="AK223" s="2" t="s">
        <v>17</v>
      </c>
      <c r="AL223" s="3"/>
      <c r="AM223" s="2"/>
      <c r="AN223" s="24" t="s">
        <v>17</v>
      </c>
      <c r="AO223" s="24" t="s">
        <v>17</v>
      </c>
      <c r="AP223" s="1" t="s">
        <v>17</v>
      </c>
      <c r="AQ223" s="2" t="s">
        <v>17</v>
      </c>
      <c r="AR223" s="2" t="s">
        <v>17</v>
      </c>
      <c r="AS223" s="3"/>
      <c r="AT223" s="2"/>
      <c r="AU223" s="4"/>
      <c r="AV223" s="2"/>
      <c r="AW223" s="1" t="s">
        <v>17</v>
      </c>
      <c r="AX223" s="2" t="s">
        <v>17</v>
      </c>
      <c r="AY223" s="2" t="s">
        <v>17</v>
      </c>
      <c r="AZ223" s="5"/>
      <c r="BA223" s="6"/>
      <c r="BB223" s="4"/>
      <c r="BC223" s="6"/>
      <c r="BD223" s="6"/>
      <c r="BE223" s="6"/>
      <c r="BF223" s="7"/>
    </row>
    <row r="224" spans="1:58" ht="18" customHeight="1">
      <c r="A224" s="106" t="s">
        <v>15</v>
      </c>
      <c r="B224" s="93" t="s">
        <v>202</v>
      </c>
      <c r="C224" s="28">
        <v>310.77999999999997</v>
      </c>
      <c r="D224" s="28">
        <v>310.89999999999998</v>
      </c>
      <c r="E224" s="28">
        <v>310.83999999999997</v>
      </c>
      <c r="F224" s="28">
        <v>310.83999999999997</v>
      </c>
      <c r="G224" s="29">
        <v>9945.3791394241507</v>
      </c>
      <c r="H224" s="29">
        <v>7503.4186512003898</v>
      </c>
      <c r="I224" s="27">
        <f t="shared" si="7"/>
        <v>1</v>
      </c>
      <c r="J224" s="27">
        <f t="shared" si="8"/>
        <v>1</v>
      </c>
      <c r="K224" s="27">
        <f t="shared" si="6"/>
        <v>1</v>
      </c>
      <c r="L224" s="25">
        <v>617.77081099999998</v>
      </c>
      <c r="M224" s="25">
        <v>621.94228603252986</v>
      </c>
      <c r="N224" s="38">
        <v>0.52263651634576469</v>
      </c>
      <c r="O224" s="38">
        <v>-7.3072103173011937</v>
      </c>
      <c r="P224" s="71">
        <v>-9.3977563826842534</v>
      </c>
      <c r="Q224" s="53">
        <v>42730</v>
      </c>
      <c r="R224" s="23">
        <v>13</v>
      </c>
      <c r="S224" s="24">
        <v>617.77081099999998</v>
      </c>
      <c r="T224" s="24">
        <v>621.94228603252986</v>
      </c>
      <c r="U224" s="1">
        <v>0.52263651634576469</v>
      </c>
      <c r="V224" s="2">
        <v>-7.3072103173011937</v>
      </c>
      <c r="W224" s="2">
        <v>-9.3977563826842534</v>
      </c>
      <c r="X224" s="22" t="s">
        <v>17</v>
      </c>
      <c r="Y224" s="23"/>
      <c r="Z224" s="24" t="s">
        <v>17</v>
      </c>
      <c r="AA224" s="24" t="s">
        <v>17</v>
      </c>
      <c r="AB224" s="1" t="s">
        <v>17</v>
      </c>
      <c r="AC224" s="2" t="s">
        <v>17</v>
      </c>
      <c r="AD224" s="2" t="s">
        <v>17</v>
      </c>
      <c r="AE224" s="22" t="s">
        <v>17</v>
      </c>
      <c r="AF224" s="23"/>
      <c r="AG224" s="24" t="s">
        <v>17</v>
      </c>
      <c r="AH224" s="24" t="s">
        <v>17</v>
      </c>
      <c r="AI224" s="1" t="s">
        <v>17</v>
      </c>
      <c r="AJ224" s="2" t="s">
        <v>17</v>
      </c>
      <c r="AK224" s="2" t="s">
        <v>17</v>
      </c>
      <c r="AL224" s="3"/>
      <c r="AM224" s="2"/>
      <c r="AN224" s="24" t="s">
        <v>17</v>
      </c>
      <c r="AO224" s="24" t="s">
        <v>17</v>
      </c>
      <c r="AP224" s="1" t="s">
        <v>17</v>
      </c>
      <c r="AQ224" s="2" t="s">
        <v>17</v>
      </c>
      <c r="AR224" s="2" t="s">
        <v>17</v>
      </c>
      <c r="AS224" s="3"/>
      <c r="AT224" s="2"/>
      <c r="AU224" s="4"/>
      <c r="AV224" s="2"/>
      <c r="AW224" s="1" t="s">
        <v>17</v>
      </c>
      <c r="AX224" s="2" t="s">
        <v>17</v>
      </c>
      <c r="AY224" s="2" t="s">
        <v>17</v>
      </c>
      <c r="AZ224" s="5"/>
      <c r="BA224" s="6"/>
      <c r="BB224" s="4"/>
      <c r="BC224" s="6"/>
      <c r="BD224" s="6"/>
      <c r="BE224" s="6"/>
      <c r="BF224" s="7"/>
    </row>
    <row r="225" spans="1:58" ht="18" customHeight="1">
      <c r="A225" s="106" t="s">
        <v>15</v>
      </c>
      <c r="B225" s="93" t="s">
        <v>203</v>
      </c>
      <c r="C225" s="28">
        <v>311.77999999999997</v>
      </c>
      <c r="D225" s="28">
        <v>311.89999999999998</v>
      </c>
      <c r="E225" s="28">
        <v>311.83999999999997</v>
      </c>
      <c r="F225" s="28">
        <v>311.83999999999997</v>
      </c>
      <c r="G225" s="29">
        <v>9981.0802774783897</v>
      </c>
      <c r="H225" s="29">
        <v>7537.7743071431496</v>
      </c>
      <c r="I225" s="27">
        <f t="shared" si="7"/>
        <v>1</v>
      </c>
      <c r="J225" s="27">
        <f t="shared" si="8"/>
        <v>1</v>
      </c>
      <c r="K225" s="27">
        <f t="shared" si="6"/>
        <v>1</v>
      </c>
      <c r="L225" s="25">
        <v>619.48865049999995</v>
      </c>
      <c r="M225" s="25">
        <v>623.75583256375285</v>
      </c>
      <c r="N225" s="38">
        <v>0.53314495632794667</v>
      </c>
      <c r="O225" s="38">
        <v>-8.2812436104996436</v>
      </c>
      <c r="P225" s="71">
        <v>-10.41382343581143</v>
      </c>
      <c r="Q225" s="53">
        <v>43221</v>
      </c>
      <c r="R225" s="23">
        <v>6</v>
      </c>
      <c r="S225" s="24">
        <v>619.48865049999995</v>
      </c>
      <c r="T225" s="24">
        <v>623.75583256375285</v>
      </c>
      <c r="U225" s="1">
        <v>0.53314495632794667</v>
      </c>
      <c r="V225" s="2">
        <v>-8.2812436104996436</v>
      </c>
      <c r="W225" s="2">
        <v>-10.41382343581143</v>
      </c>
      <c r="X225" s="22" t="s">
        <v>17</v>
      </c>
      <c r="Y225" s="23"/>
      <c r="Z225" s="24" t="s">
        <v>17</v>
      </c>
      <c r="AA225" s="24" t="s">
        <v>17</v>
      </c>
      <c r="AB225" s="1" t="s">
        <v>17</v>
      </c>
      <c r="AC225" s="2" t="s">
        <v>17</v>
      </c>
      <c r="AD225" s="2" t="s">
        <v>17</v>
      </c>
      <c r="AE225" s="22" t="s">
        <v>17</v>
      </c>
      <c r="AF225" s="23"/>
      <c r="AG225" s="24" t="s">
        <v>17</v>
      </c>
      <c r="AH225" s="24" t="s">
        <v>17</v>
      </c>
      <c r="AI225" s="1" t="s">
        <v>17</v>
      </c>
      <c r="AJ225" s="2" t="s">
        <v>17</v>
      </c>
      <c r="AK225" s="2" t="s">
        <v>17</v>
      </c>
      <c r="AL225" s="3"/>
      <c r="AM225" s="2"/>
      <c r="AN225" s="24" t="s">
        <v>17</v>
      </c>
      <c r="AO225" s="24" t="s">
        <v>17</v>
      </c>
      <c r="AP225" s="1" t="s">
        <v>17</v>
      </c>
      <c r="AQ225" s="2" t="s">
        <v>17</v>
      </c>
      <c r="AR225" s="2" t="s">
        <v>17</v>
      </c>
      <c r="AS225" s="3"/>
      <c r="AT225" s="2"/>
      <c r="AU225" s="4"/>
      <c r="AV225" s="2"/>
      <c r="AW225" s="1" t="s">
        <v>17</v>
      </c>
      <c r="AX225" s="2" t="s">
        <v>17</v>
      </c>
      <c r="AY225" s="2" t="s">
        <v>17</v>
      </c>
      <c r="AZ225" s="5"/>
      <c r="BA225" s="6"/>
      <c r="BB225" s="4"/>
      <c r="BC225" s="6"/>
      <c r="BD225" s="6"/>
      <c r="BE225" s="6"/>
      <c r="BF225" s="7"/>
    </row>
    <row r="226" spans="1:58" ht="18" customHeight="1">
      <c r="A226" s="106" t="s">
        <v>15</v>
      </c>
      <c r="B226" s="93" t="s">
        <v>204</v>
      </c>
      <c r="C226" s="28">
        <v>312.89999999999998</v>
      </c>
      <c r="D226" s="28">
        <v>313.02</v>
      </c>
      <c r="E226" s="28">
        <v>312.95999999999998</v>
      </c>
      <c r="F226" s="28">
        <v>312.95999999999998</v>
      </c>
      <c r="G226" s="29">
        <v>10020.458416875201</v>
      </c>
      <c r="H226" s="29">
        <v>7577.4153701285904</v>
      </c>
      <c r="I226" s="27">
        <f t="shared" si="7"/>
        <v>2</v>
      </c>
      <c r="J226" s="27">
        <f t="shared" si="8"/>
        <v>2</v>
      </c>
      <c r="K226" s="27">
        <f t="shared" si="6"/>
        <v>2</v>
      </c>
      <c r="L226" s="25">
        <v>622.81221575000006</v>
      </c>
      <c r="M226" s="25">
        <v>627.10020492376543</v>
      </c>
      <c r="N226" s="38">
        <v>0.53288364569570312</v>
      </c>
      <c r="O226" s="38">
        <v>-8.4972100628536431</v>
      </c>
      <c r="P226" s="71">
        <v>-10.628744645636456</v>
      </c>
      <c r="Q226" s="53">
        <v>42669</v>
      </c>
      <c r="R226" s="23">
        <v>8</v>
      </c>
      <c r="S226" s="24">
        <v>624.51545650000003</v>
      </c>
      <c r="T226" s="24">
        <v>628.82113833833705</v>
      </c>
      <c r="U226" s="1">
        <v>0.53362507646825819</v>
      </c>
      <c r="V226" s="2">
        <v>-8.6305128577701673</v>
      </c>
      <c r="W226" s="2">
        <v>-10.7650131636432</v>
      </c>
      <c r="X226" s="22">
        <v>42669</v>
      </c>
      <c r="Y226" s="23">
        <v>8</v>
      </c>
      <c r="Z226" s="24">
        <v>621.1089750000001</v>
      </c>
      <c r="AA226" s="24">
        <v>625.37927150919381</v>
      </c>
      <c r="AB226" s="1">
        <v>0.53214221492314806</v>
      </c>
      <c r="AC226" s="2">
        <v>-8.3639072679371207</v>
      </c>
      <c r="AD226" s="2">
        <v>-10.492476127629713</v>
      </c>
      <c r="AE226" s="22" t="s">
        <v>17</v>
      </c>
      <c r="AF226" s="23"/>
      <c r="AG226" s="24" t="s">
        <v>17</v>
      </c>
      <c r="AH226" s="24" t="s">
        <v>17</v>
      </c>
      <c r="AI226" s="1" t="s">
        <v>17</v>
      </c>
      <c r="AJ226" s="2" t="s">
        <v>17</v>
      </c>
      <c r="AK226" s="2" t="s">
        <v>17</v>
      </c>
      <c r="AL226" s="3"/>
      <c r="AM226" s="2"/>
      <c r="AN226" s="24" t="s">
        <v>17</v>
      </c>
      <c r="AO226" s="24" t="s">
        <v>17</v>
      </c>
      <c r="AP226" s="1" t="s">
        <v>17</v>
      </c>
      <c r="AQ226" s="2" t="s">
        <v>17</v>
      </c>
      <c r="AR226" s="2" t="s">
        <v>17</v>
      </c>
      <c r="AS226" s="3"/>
      <c r="AT226" s="2"/>
      <c r="AU226" s="4"/>
      <c r="AV226" s="2"/>
      <c r="AW226" s="1" t="s">
        <v>17</v>
      </c>
      <c r="AX226" s="2" t="s">
        <v>17</v>
      </c>
      <c r="AY226" s="2" t="s">
        <v>17</v>
      </c>
      <c r="AZ226" s="5"/>
      <c r="BA226" s="6"/>
      <c r="BB226" s="4"/>
      <c r="BC226" s="6"/>
      <c r="BD226" s="6"/>
      <c r="BE226" s="6"/>
      <c r="BF226" s="7"/>
    </row>
    <row r="227" spans="1:58" ht="18" customHeight="1">
      <c r="A227" s="106" t="s">
        <v>15</v>
      </c>
      <c r="B227" s="93" t="s">
        <v>205</v>
      </c>
      <c r="C227" s="28">
        <v>313.89999999999998</v>
      </c>
      <c r="D227" s="28">
        <v>314.02</v>
      </c>
      <c r="E227" s="28">
        <v>313.95999999999998</v>
      </c>
      <c r="F227" s="28">
        <v>313.95999999999998</v>
      </c>
      <c r="G227" s="29">
        <v>10055.5154125766</v>
      </c>
      <c r="H227" s="29">
        <v>7613.6346470385497</v>
      </c>
      <c r="I227" s="27">
        <f t="shared" si="7"/>
        <v>1</v>
      </c>
      <c r="J227" s="27">
        <f t="shared" si="8"/>
        <v>1</v>
      </c>
      <c r="K227" s="27">
        <f t="shared" si="6"/>
        <v>1</v>
      </c>
      <c r="L227" s="25">
        <v>618.52345450000007</v>
      </c>
      <c r="M227" s="25">
        <v>622.70791155086022</v>
      </c>
      <c r="N227" s="38">
        <v>0.52362506609116011</v>
      </c>
      <c r="O227" s="38">
        <v>-8.2815019016547744</v>
      </c>
      <c r="P227" s="71">
        <v>-10.376002166019415</v>
      </c>
      <c r="Q227" s="53">
        <v>43388</v>
      </c>
      <c r="R227" s="23">
        <v>9</v>
      </c>
      <c r="S227" s="24">
        <v>618.52345450000007</v>
      </c>
      <c r="T227" s="24">
        <v>622.70791155086022</v>
      </c>
      <c r="U227" s="1">
        <v>0.52362506609116011</v>
      </c>
      <c r="V227" s="2">
        <v>-8.2815019016547744</v>
      </c>
      <c r="W227" s="2">
        <v>-10.376002166019415</v>
      </c>
      <c r="X227" s="22" t="s">
        <v>17</v>
      </c>
      <c r="Y227" s="23"/>
      <c r="Z227" s="24" t="s">
        <v>17</v>
      </c>
      <c r="AA227" s="24" t="s">
        <v>17</v>
      </c>
      <c r="AB227" s="1" t="s">
        <v>17</v>
      </c>
      <c r="AC227" s="2" t="s">
        <v>17</v>
      </c>
      <c r="AD227" s="2" t="s">
        <v>17</v>
      </c>
      <c r="AE227" s="22" t="s">
        <v>17</v>
      </c>
      <c r="AF227" s="23"/>
      <c r="AG227" s="24" t="s">
        <v>17</v>
      </c>
      <c r="AH227" s="24" t="s">
        <v>17</v>
      </c>
      <c r="AI227" s="1" t="s">
        <v>17</v>
      </c>
      <c r="AJ227" s="2" t="s">
        <v>17</v>
      </c>
      <c r="AK227" s="2" t="s">
        <v>17</v>
      </c>
      <c r="AL227" s="3"/>
      <c r="AM227" s="2"/>
      <c r="AN227" s="24" t="s">
        <v>17</v>
      </c>
      <c r="AO227" s="24" t="s">
        <v>17</v>
      </c>
      <c r="AP227" s="1" t="s">
        <v>17</v>
      </c>
      <c r="AQ227" s="2" t="s">
        <v>17</v>
      </c>
      <c r="AR227" s="2" t="s">
        <v>17</v>
      </c>
      <c r="AS227" s="3"/>
      <c r="AT227" s="2"/>
      <c r="AU227" s="4"/>
      <c r="AV227" s="2"/>
      <c r="AW227" s="1" t="s">
        <v>17</v>
      </c>
      <c r="AX227" s="2" t="s">
        <v>17</v>
      </c>
      <c r="AY227" s="2" t="s">
        <v>17</v>
      </c>
      <c r="AZ227" s="5"/>
      <c r="BA227" s="6"/>
      <c r="BB227" s="4"/>
      <c r="BC227" s="6"/>
      <c r="BD227" s="6"/>
      <c r="BE227" s="6"/>
      <c r="BF227" s="7"/>
    </row>
    <row r="228" spans="1:58" ht="18" customHeight="1">
      <c r="A228" s="106" t="s">
        <v>15</v>
      </c>
      <c r="B228" s="93" t="s">
        <v>206</v>
      </c>
      <c r="C228" s="28">
        <v>314.89999999999998</v>
      </c>
      <c r="D228" s="28">
        <v>315.02</v>
      </c>
      <c r="E228" s="28">
        <v>314.95999999999998</v>
      </c>
      <c r="F228" s="28">
        <v>314.95999999999998</v>
      </c>
      <c r="G228" s="29">
        <v>10091.3279155358</v>
      </c>
      <c r="H228" s="29">
        <v>7648.7344010909501</v>
      </c>
      <c r="I228" s="27">
        <f t="shared" si="7"/>
        <v>1</v>
      </c>
      <c r="J228" s="27">
        <f t="shared" si="8"/>
        <v>1</v>
      </c>
      <c r="K228" s="27">
        <f t="shared" si="6"/>
        <v>1</v>
      </c>
      <c r="L228" s="25">
        <v>617.95710200000008</v>
      </c>
      <c r="M228" s="25">
        <v>622.16620324893097</v>
      </c>
      <c r="N228" s="38">
        <v>0.52719166000070317</v>
      </c>
      <c r="O228" s="38">
        <v>-9.7433273513883876</v>
      </c>
      <c r="P228" s="71">
        <v>-11.8520939913912</v>
      </c>
      <c r="Q228" s="53">
        <v>42724</v>
      </c>
      <c r="R228" s="23">
        <v>13</v>
      </c>
      <c r="S228" s="24">
        <v>617.95710200000008</v>
      </c>
      <c r="T228" s="24">
        <v>622.16620324893097</v>
      </c>
      <c r="U228" s="1">
        <v>0.52719166000070317</v>
      </c>
      <c r="V228" s="2">
        <v>-9.7433273513883876</v>
      </c>
      <c r="W228" s="2">
        <v>-11.8520939913912</v>
      </c>
      <c r="X228" s="22" t="s">
        <v>17</v>
      </c>
      <c r="Y228" s="23"/>
      <c r="Z228" s="24" t="s">
        <v>17</v>
      </c>
      <c r="AA228" s="24" t="s">
        <v>17</v>
      </c>
      <c r="AB228" s="1" t="s">
        <v>17</v>
      </c>
      <c r="AC228" s="2" t="s">
        <v>17</v>
      </c>
      <c r="AD228" s="2" t="s">
        <v>17</v>
      </c>
      <c r="AE228" s="22" t="s">
        <v>17</v>
      </c>
      <c r="AF228" s="23"/>
      <c r="AG228" s="24" t="s">
        <v>17</v>
      </c>
      <c r="AH228" s="24" t="s">
        <v>17</v>
      </c>
      <c r="AI228" s="1" t="s">
        <v>17</v>
      </c>
      <c r="AJ228" s="2" t="s">
        <v>17</v>
      </c>
      <c r="AK228" s="2" t="s">
        <v>17</v>
      </c>
      <c r="AL228" s="3"/>
      <c r="AM228" s="2"/>
      <c r="AN228" s="24" t="s">
        <v>17</v>
      </c>
      <c r="AO228" s="24" t="s">
        <v>17</v>
      </c>
      <c r="AP228" s="1" t="s">
        <v>17</v>
      </c>
      <c r="AQ228" s="2" t="s">
        <v>17</v>
      </c>
      <c r="AR228" s="2" t="s">
        <v>17</v>
      </c>
      <c r="AS228" s="3"/>
      <c r="AT228" s="2"/>
      <c r="AU228" s="4"/>
      <c r="AV228" s="2"/>
      <c r="AW228" s="1" t="s">
        <v>17</v>
      </c>
      <c r="AX228" s="2" t="s">
        <v>17</v>
      </c>
      <c r="AY228" s="2" t="s">
        <v>17</v>
      </c>
      <c r="AZ228" s="5"/>
      <c r="BA228" s="6"/>
      <c r="BB228" s="4"/>
      <c r="BC228" s="6"/>
      <c r="BD228" s="6"/>
      <c r="BE228" s="6"/>
      <c r="BF228" s="7"/>
    </row>
    <row r="229" spans="1:58" ht="18" customHeight="1">
      <c r="A229" s="106" t="s">
        <v>15</v>
      </c>
      <c r="B229" s="93" t="s">
        <v>207</v>
      </c>
      <c r="C229" s="28">
        <v>316.39999999999998</v>
      </c>
      <c r="D229" s="28">
        <v>316.52</v>
      </c>
      <c r="E229" s="28">
        <v>316.45999999999998</v>
      </c>
      <c r="F229" s="28">
        <v>316.45999999999998</v>
      </c>
      <c r="G229" s="29">
        <v>10146.514326599699</v>
      </c>
      <c r="H229" s="29">
        <v>7693.1868249045701</v>
      </c>
      <c r="I229" s="27">
        <f t="shared" si="7"/>
        <v>2</v>
      </c>
      <c r="J229" s="27">
        <f t="shared" si="8"/>
        <v>2</v>
      </c>
      <c r="K229" s="27">
        <f t="shared" si="6"/>
        <v>0</v>
      </c>
      <c r="L229" s="25">
        <v>615.25892799999997</v>
      </c>
      <c r="M229" s="25">
        <v>619.42245381117823</v>
      </c>
      <c r="N229" s="38">
        <v>0.52377034274730949</v>
      </c>
      <c r="O229" s="38"/>
      <c r="P229" s="71"/>
      <c r="Q229" s="53">
        <v>42626</v>
      </c>
      <c r="R229" s="23">
        <v>3</v>
      </c>
      <c r="S229" s="24">
        <v>615.07599649999997</v>
      </c>
      <c r="T229" s="24">
        <v>619.24088496549882</v>
      </c>
      <c r="U229" s="1">
        <v>0.52409749394488614</v>
      </c>
      <c r="V229" s="2"/>
      <c r="W229" s="2"/>
      <c r="X229" s="22">
        <v>42626</v>
      </c>
      <c r="Y229" s="23">
        <v>3</v>
      </c>
      <c r="Z229" s="24">
        <v>615.44185949999996</v>
      </c>
      <c r="AA229" s="24">
        <v>619.60402265685775</v>
      </c>
      <c r="AB229" s="1">
        <v>0.52344319154973284</v>
      </c>
      <c r="AC229" s="2"/>
      <c r="AD229" s="2"/>
      <c r="AE229" s="22" t="s">
        <v>17</v>
      </c>
      <c r="AF229" s="23"/>
      <c r="AG229" s="24" t="s">
        <v>17</v>
      </c>
      <c r="AH229" s="24" t="s">
        <v>17</v>
      </c>
      <c r="AI229" s="1" t="s">
        <v>17</v>
      </c>
      <c r="AJ229" s="2" t="s">
        <v>17</v>
      </c>
      <c r="AK229" s="2" t="s">
        <v>17</v>
      </c>
      <c r="AL229" s="3"/>
      <c r="AM229" s="2"/>
      <c r="AN229" s="24" t="s">
        <v>17</v>
      </c>
      <c r="AO229" s="24" t="s">
        <v>17</v>
      </c>
      <c r="AP229" s="1" t="s">
        <v>17</v>
      </c>
      <c r="AQ229" s="2" t="s">
        <v>17</v>
      </c>
      <c r="AR229" s="2" t="s">
        <v>17</v>
      </c>
      <c r="AS229" s="3"/>
      <c r="AT229" s="2"/>
      <c r="AU229" s="4"/>
      <c r="AV229" s="2"/>
      <c r="AW229" s="1" t="s">
        <v>17</v>
      </c>
      <c r="AX229" s="2" t="s">
        <v>17</v>
      </c>
      <c r="AY229" s="2" t="s">
        <v>17</v>
      </c>
      <c r="AZ229" s="5"/>
      <c r="BA229" s="6"/>
      <c r="BB229" s="4"/>
      <c r="BC229" s="6"/>
      <c r="BD229" s="6"/>
      <c r="BE229" s="6"/>
      <c r="BF229" s="7"/>
    </row>
    <row r="230" spans="1:58" ht="18" customHeight="1">
      <c r="A230" s="106" t="s">
        <v>15</v>
      </c>
      <c r="B230" s="93" t="s">
        <v>208</v>
      </c>
      <c r="C230" s="28">
        <v>317.89999999999998</v>
      </c>
      <c r="D230" s="28">
        <v>318.02</v>
      </c>
      <c r="E230" s="28">
        <v>317.95999999999998</v>
      </c>
      <c r="F230" s="28">
        <v>317.95999999999998</v>
      </c>
      <c r="G230" s="29">
        <v>10198.6494302184</v>
      </c>
      <c r="H230" s="29">
        <v>7738.2310404516702</v>
      </c>
      <c r="I230" s="27">
        <f t="shared" si="7"/>
        <v>2</v>
      </c>
      <c r="J230" s="27">
        <f t="shared" si="8"/>
        <v>1</v>
      </c>
      <c r="K230" s="27">
        <f t="shared" si="6"/>
        <v>1</v>
      </c>
      <c r="L230" s="25">
        <v>616.93775775000006</v>
      </c>
      <c r="M230" s="25">
        <v>621.1405565168609</v>
      </c>
      <c r="N230" s="38">
        <v>0.53063418646903671</v>
      </c>
      <c r="O230" s="38">
        <v>-9.3548826241479652</v>
      </c>
      <c r="P230" s="71">
        <v>-11.477419370024112</v>
      </c>
      <c r="Q230" s="53">
        <v>42740</v>
      </c>
      <c r="R230" s="23">
        <v>13</v>
      </c>
      <c r="S230" s="24">
        <v>616.36129000000005</v>
      </c>
      <c r="T230" s="24">
        <v>620.58693584223693</v>
      </c>
      <c r="U230" s="1">
        <v>0.53063418646903671</v>
      </c>
      <c r="V230" s="2">
        <v>-9.3548826241479652</v>
      </c>
      <c r="W230" s="2">
        <v>-11.477419370024112</v>
      </c>
      <c r="X230" s="22">
        <v>43655</v>
      </c>
      <c r="Y230" s="23" t="s">
        <v>88</v>
      </c>
      <c r="Z230" s="24">
        <v>617.51422550000007</v>
      </c>
      <c r="AA230" s="24">
        <v>621.69417719148475</v>
      </c>
      <c r="AB230" s="1"/>
      <c r="AC230" s="2"/>
      <c r="AD230" s="2"/>
      <c r="AE230" s="22" t="s">
        <v>17</v>
      </c>
      <c r="AF230" s="23"/>
      <c r="AG230" s="24" t="s">
        <v>17</v>
      </c>
      <c r="AH230" s="24" t="s">
        <v>17</v>
      </c>
      <c r="AI230" s="1" t="s">
        <v>17</v>
      </c>
      <c r="AJ230" s="2" t="s">
        <v>17</v>
      </c>
      <c r="AK230" s="2" t="s">
        <v>17</v>
      </c>
      <c r="AL230" s="3"/>
      <c r="AM230" s="2"/>
      <c r="AN230" s="24" t="s">
        <v>17</v>
      </c>
      <c r="AO230" s="24" t="s">
        <v>17</v>
      </c>
      <c r="AP230" s="1" t="s">
        <v>17</v>
      </c>
      <c r="AQ230" s="2" t="s">
        <v>17</v>
      </c>
      <c r="AR230" s="2" t="s">
        <v>17</v>
      </c>
      <c r="AS230" s="3"/>
      <c r="AT230" s="2"/>
      <c r="AU230" s="4"/>
      <c r="AV230" s="2"/>
      <c r="AW230" s="1" t="s">
        <v>17</v>
      </c>
      <c r="AX230" s="2" t="s">
        <v>17</v>
      </c>
      <c r="AY230" s="2" t="s">
        <v>17</v>
      </c>
      <c r="AZ230" s="5"/>
      <c r="BA230" s="6"/>
      <c r="BB230" s="4"/>
      <c r="BC230" s="6"/>
      <c r="BD230" s="6"/>
      <c r="BE230" s="6"/>
      <c r="BF230" s="7"/>
    </row>
    <row r="231" spans="1:58" ht="18" customHeight="1">
      <c r="A231" s="106" t="s">
        <v>15</v>
      </c>
      <c r="B231" s="93" t="s">
        <v>209</v>
      </c>
      <c r="C231" s="28">
        <v>319.27999999999997</v>
      </c>
      <c r="D231" s="28">
        <v>319.39999999999998</v>
      </c>
      <c r="E231" s="28">
        <v>319.33999999999997</v>
      </c>
      <c r="F231" s="28">
        <v>319.33999999999997</v>
      </c>
      <c r="G231" s="29">
        <v>10245.1694305816</v>
      </c>
      <c r="H231" s="29">
        <v>7782.3367786732497</v>
      </c>
      <c r="I231" s="27">
        <f t="shared" si="7"/>
        <v>1</v>
      </c>
      <c r="J231" s="27">
        <f t="shared" si="8"/>
        <v>1</v>
      </c>
      <c r="K231" s="27">
        <f t="shared" ref="K231:K294" si="9">COUNT(V231,AC231,AJ231,AQ231,AX231,BF231)</f>
        <v>1</v>
      </c>
      <c r="L231" s="25">
        <v>618.45757249999997</v>
      </c>
      <c r="M231" s="25">
        <v>622.72007646845623</v>
      </c>
      <c r="N231" s="38">
        <v>0.53344834392365925</v>
      </c>
      <c r="O231" s="38">
        <v>-7.2670858670563776</v>
      </c>
      <c r="P231" s="71">
        <v>-9.4008792427510137</v>
      </c>
      <c r="Q231" s="53">
        <v>42698</v>
      </c>
      <c r="R231" s="23">
        <v>11</v>
      </c>
      <c r="S231" s="24">
        <v>618.45757249999997</v>
      </c>
      <c r="T231" s="24">
        <v>622.72007646845623</v>
      </c>
      <c r="U231" s="1">
        <v>0.53344834392365925</v>
      </c>
      <c r="V231" s="2">
        <v>-7.2670858670563776</v>
      </c>
      <c r="W231" s="2">
        <v>-9.4008792427510137</v>
      </c>
      <c r="X231" s="22" t="s">
        <v>17</v>
      </c>
      <c r="Y231" s="23"/>
      <c r="Z231" s="24" t="s">
        <v>17</v>
      </c>
      <c r="AA231" s="24" t="s">
        <v>17</v>
      </c>
      <c r="AB231" s="1" t="s">
        <v>17</v>
      </c>
      <c r="AC231" s="2" t="s">
        <v>17</v>
      </c>
      <c r="AD231" s="2" t="s">
        <v>17</v>
      </c>
      <c r="AE231" s="22" t="s">
        <v>17</v>
      </c>
      <c r="AF231" s="23"/>
      <c r="AG231" s="24" t="s">
        <v>17</v>
      </c>
      <c r="AH231" s="24" t="s">
        <v>17</v>
      </c>
      <c r="AI231" s="1" t="s">
        <v>17</v>
      </c>
      <c r="AJ231" s="2" t="s">
        <v>17</v>
      </c>
      <c r="AK231" s="2" t="s">
        <v>17</v>
      </c>
      <c r="AL231" s="3"/>
      <c r="AM231" s="2"/>
      <c r="AN231" s="24" t="s">
        <v>17</v>
      </c>
      <c r="AO231" s="24" t="s">
        <v>17</v>
      </c>
      <c r="AP231" s="1" t="s">
        <v>17</v>
      </c>
      <c r="AQ231" s="2" t="s">
        <v>17</v>
      </c>
      <c r="AR231" s="2" t="s">
        <v>17</v>
      </c>
      <c r="AS231" s="3"/>
      <c r="AT231" s="2"/>
      <c r="AU231" s="4"/>
      <c r="AV231" s="2"/>
      <c r="AW231" s="1" t="s">
        <v>17</v>
      </c>
      <c r="AX231" s="2" t="s">
        <v>17</v>
      </c>
      <c r="AY231" s="2" t="s">
        <v>17</v>
      </c>
      <c r="AZ231" s="11"/>
      <c r="BA231" s="12"/>
      <c r="BB231" s="4"/>
      <c r="BC231" s="12"/>
      <c r="BD231" s="12"/>
      <c r="BE231" s="12"/>
      <c r="BF231" s="13"/>
    </row>
    <row r="232" spans="1:58" ht="18" customHeight="1">
      <c r="A232" s="106" t="s">
        <v>15</v>
      </c>
      <c r="B232" s="93" t="s">
        <v>210</v>
      </c>
      <c r="C232" s="28">
        <v>319.89999999999998</v>
      </c>
      <c r="D232" s="28">
        <v>320.02</v>
      </c>
      <c r="E232" s="28">
        <v>319.95999999999998</v>
      </c>
      <c r="F232" s="28">
        <v>319.95999999999998</v>
      </c>
      <c r="G232" s="29">
        <v>10266.308856309999</v>
      </c>
      <c r="H232" s="29">
        <v>7802.8938610254399</v>
      </c>
      <c r="I232" s="27">
        <f t="shared" ref="I232:I295" si="10">COUNT(T232,AA232,AH232,AO232,AV232,BC232)</f>
        <v>1</v>
      </c>
      <c r="J232" s="27">
        <f t="shared" ref="J232:J295" si="11">COUNT(U232,AB232,AI232,AP232,AW232,BD232)</f>
        <v>1</v>
      </c>
      <c r="K232" s="27">
        <f t="shared" si="9"/>
        <v>1</v>
      </c>
      <c r="L232" s="25">
        <v>619.40699900000004</v>
      </c>
      <c r="M232" s="25">
        <v>623.67257559911388</v>
      </c>
      <c r="N232" s="38">
        <v>0.533014622179806</v>
      </c>
      <c r="O232" s="38">
        <v>-7.6989567119205571</v>
      </c>
      <c r="P232" s="71">
        <v>-9.8310152006397811</v>
      </c>
      <c r="Q232" s="53">
        <v>43228</v>
      </c>
      <c r="R232" s="23">
        <v>6</v>
      </c>
      <c r="S232" s="24">
        <v>619.40699900000004</v>
      </c>
      <c r="T232" s="24">
        <v>623.67257559911388</v>
      </c>
      <c r="U232" s="1">
        <v>0.533014622179806</v>
      </c>
      <c r="V232" s="2">
        <v>-7.6989567119205571</v>
      </c>
      <c r="W232" s="2">
        <v>-9.8310152006397811</v>
      </c>
      <c r="X232" s="22" t="s">
        <v>17</v>
      </c>
      <c r="Y232" s="23"/>
      <c r="Z232" s="24" t="s">
        <v>17</v>
      </c>
      <c r="AA232" s="24" t="s">
        <v>17</v>
      </c>
      <c r="AB232" s="1" t="s">
        <v>17</v>
      </c>
      <c r="AC232" s="2" t="s">
        <v>17</v>
      </c>
      <c r="AD232" s="2" t="s">
        <v>17</v>
      </c>
      <c r="AE232" s="22" t="s">
        <v>17</v>
      </c>
      <c r="AF232" s="23"/>
      <c r="AG232" s="24" t="s">
        <v>17</v>
      </c>
      <c r="AH232" s="24" t="s">
        <v>17</v>
      </c>
      <c r="AI232" s="1" t="s">
        <v>17</v>
      </c>
      <c r="AJ232" s="2" t="s">
        <v>17</v>
      </c>
      <c r="AK232" s="2" t="s">
        <v>17</v>
      </c>
      <c r="AL232" s="3"/>
      <c r="AM232" s="2"/>
      <c r="AN232" s="24" t="s">
        <v>17</v>
      </c>
      <c r="AO232" s="24" t="s">
        <v>17</v>
      </c>
      <c r="AP232" s="1" t="s">
        <v>17</v>
      </c>
      <c r="AQ232" s="2" t="s">
        <v>17</v>
      </c>
      <c r="AR232" s="2" t="s">
        <v>17</v>
      </c>
      <c r="AS232" s="3"/>
      <c r="AT232" s="2"/>
      <c r="AU232" s="4"/>
      <c r="AV232" s="2"/>
      <c r="AW232" s="1" t="s">
        <v>17</v>
      </c>
      <c r="AX232" s="2" t="s">
        <v>17</v>
      </c>
      <c r="AY232" s="2" t="s">
        <v>17</v>
      </c>
      <c r="AZ232" s="5"/>
      <c r="BA232" s="6"/>
      <c r="BB232" s="4"/>
      <c r="BC232" s="6"/>
      <c r="BD232" s="6"/>
      <c r="BE232" s="6"/>
      <c r="BF232" s="7"/>
    </row>
    <row r="233" spans="1:58" ht="18" customHeight="1">
      <c r="A233" s="106" t="s">
        <v>15</v>
      </c>
      <c r="B233" s="93" t="s">
        <v>211</v>
      </c>
      <c r="C233" s="28">
        <v>321.27999999999997</v>
      </c>
      <c r="D233" s="28">
        <v>321.39999999999998</v>
      </c>
      <c r="E233" s="28">
        <v>321.33999999999997</v>
      </c>
      <c r="F233" s="28">
        <v>321.33999999999997</v>
      </c>
      <c r="G233" s="29">
        <v>10314.266329218301</v>
      </c>
      <c r="H233" s="29">
        <v>7851.6346559630902</v>
      </c>
      <c r="I233" s="27">
        <f t="shared" si="10"/>
        <v>2</v>
      </c>
      <c r="J233" s="27">
        <f t="shared" si="11"/>
        <v>2</v>
      </c>
      <c r="K233" s="27">
        <f t="shared" si="9"/>
        <v>2</v>
      </c>
      <c r="L233" s="25">
        <v>621.82686224999998</v>
      </c>
      <c r="M233" s="25">
        <v>626.05082893496729</v>
      </c>
      <c r="N233" s="38">
        <v>0.52576552344374416</v>
      </c>
      <c r="O233" s="38">
        <v>-10.087273706361922</v>
      </c>
      <c r="P233" s="71">
        <v>-12.190335800136898</v>
      </c>
      <c r="Q233" s="53">
        <v>42628</v>
      </c>
      <c r="R233" s="23">
        <v>5</v>
      </c>
      <c r="S233" s="24">
        <v>622.68697350000002</v>
      </c>
      <c r="T233" s="24">
        <v>626.8913784378401</v>
      </c>
      <c r="U233" s="1">
        <v>0.52260341502408103</v>
      </c>
      <c r="V233" s="2">
        <v>-9.8365280799409547</v>
      </c>
      <c r="W233" s="2">
        <v>-11.926941740037279</v>
      </c>
      <c r="X233" s="22">
        <v>42628</v>
      </c>
      <c r="Y233" s="23">
        <v>5</v>
      </c>
      <c r="Z233" s="24">
        <v>620.96675099999993</v>
      </c>
      <c r="AA233" s="24">
        <v>625.21027943209458</v>
      </c>
      <c r="AB233" s="1">
        <v>0.5289276318634073</v>
      </c>
      <c r="AC233" s="2">
        <v>-10.338019332782888</v>
      </c>
      <c r="AD233" s="2">
        <v>-12.453729860236518</v>
      </c>
      <c r="AE233" s="22" t="s">
        <v>17</v>
      </c>
      <c r="AF233" s="23"/>
      <c r="AG233" s="24" t="s">
        <v>17</v>
      </c>
      <c r="AH233" s="24" t="s">
        <v>17</v>
      </c>
      <c r="AI233" s="1" t="s">
        <v>17</v>
      </c>
      <c r="AJ233" s="2" t="s">
        <v>17</v>
      </c>
      <c r="AK233" s="2" t="s">
        <v>17</v>
      </c>
      <c r="AL233" s="3"/>
      <c r="AM233" s="2"/>
      <c r="AN233" s="24" t="s">
        <v>17</v>
      </c>
      <c r="AO233" s="24" t="s">
        <v>17</v>
      </c>
      <c r="AP233" s="1" t="s">
        <v>17</v>
      </c>
      <c r="AQ233" s="2" t="s">
        <v>17</v>
      </c>
      <c r="AR233" s="2" t="s">
        <v>17</v>
      </c>
      <c r="AS233" s="3"/>
      <c r="AT233" s="2"/>
      <c r="AU233" s="4"/>
      <c r="AV233" s="2"/>
      <c r="AW233" s="1" t="s">
        <v>17</v>
      </c>
      <c r="AX233" s="2" t="s">
        <v>17</v>
      </c>
      <c r="AY233" s="2" t="s">
        <v>17</v>
      </c>
      <c r="AZ233" s="5"/>
      <c r="BA233" s="6"/>
      <c r="BB233" s="4"/>
      <c r="BC233" s="6"/>
      <c r="BD233" s="6"/>
      <c r="BE233" s="6"/>
      <c r="BF233" s="7"/>
    </row>
    <row r="234" spans="1:58" ht="18" customHeight="1">
      <c r="A234" s="106" t="s">
        <v>15</v>
      </c>
      <c r="B234" s="93" t="s">
        <v>212</v>
      </c>
      <c r="C234" s="28">
        <v>321.89999999999998</v>
      </c>
      <c r="D234" s="28">
        <v>322.02</v>
      </c>
      <c r="E234" s="28">
        <v>321.95999999999998</v>
      </c>
      <c r="F234" s="28">
        <v>321.95999999999998</v>
      </c>
      <c r="G234" s="29">
        <v>10335.940829273701</v>
      </c>
      <c r="H234" s="29">
        <v>7873.5195905643996</v>
      </c>
      <c r="I234" s="27">
        <f t="shared" si="10"/>
        <v>1</v>
      </c>
      <c r="J234" s="27">
        <f t="shared" si="11"/>
        <v>1</v>
      </c>
      <c r="K234" s="27">
        <f t="shared" si="9"/>
        <v>1</v>
      </c>
      <c r="L234" s="25">
        <v>623.020937</v>
      </c>
      <c r="M234" s="25">
        <v>627.28299616070808</v>
      </c>
      <c r="N234" s="38">
        <v>0.52948580120171229</v>
      </c>
      <c r="O234" s="38">
        <v>-7.9332216693291935</v>
      </c>
      <c r="P234" s="71">
        <v>-10.051164874136042</v>
      </c>
      <c r="Q234" s="53">
        <v>43382</v>
      </c>
      <c r="R234" s="23">
        <v>9</v>
      </c>
      <c r="S234" s="24">
        <v>623.020937</v>
      </c>
      <c r="T234" s="24">
        <v>627.28299616070808</v>
      </c>
      <c r="U234" s="1">
        <v>0.52948580120171229</v>
      </c>
      <c r="V234" s="2">
        <v>-7.9332216693291935</v>
      </c>
      <c r="W234" s="2">
        <v>-10.051164874136042</v>
      </c>
      <c r="X234" s="22" t="s">
        <v>17</v>
      </c>
      <c r="Y234" s="23"/>
      <c r="Z234" s="24" t="s">
        <v>17</v>
      </c>
      <c r="AA234" s="24" t="s">
        <v>17</v>
      </c>
      <c r="AB234" s="1" t="s">
        <v>17</v>
      </c>
      <c r="AC234" s="2" t="s">
        <v>17</v>
      </c>
      <c r="AD234" s="2" t="s">
        <v>17</v>
      </c>
      <c r="AE234" s="22" t="s">
        <v>17</v>
      </c>
      <c r="AF234" s="23"/>
      <c r="AG234" s="24" t="s">
        <v>17</v>
      </c>
      <c r="AH234" s="24" t="s">
        <v>17</v>
      </c>
      <c r="AI234" s="1" t="s">
        <v>17</v>
      </c>
      <c r="AJ234" s="2" t="s">
        <v>17</v>
      </c>
      <c r="AK234" s="2" t="s">
        <v>17</v>
      </c>
      <c r="AL234" s="3"/>
      <c r="AM234" s="2"/>
      <c r="AN234" s="24" t="s">
        <v>17</v>
      </c>
      <c r="AO234" s="24" t="s">
        <v>17</v>
      </c>
      <c r="AP234" s="1" t="s">
        <v>17</v>
      </c>
      <c r="AQ234" s="2" t="s">
        <v>17</v>
      </c>
      <c r="AR234" s="2" t="s">
        <v>17</v>
      </c>
      <c r="AS234" s="3"/>
      <c r="AT234" s="2"/>
      <c r="AU234" s="4"/>
      <c r="AV234" s="2"/>
      <c r="AW234" s="1" t="s">
        <v>17</v>
      </c>
      <c r="AX234" s="2" t="s">
        <v>17</v>
      </c>
      <c r="AY234" s="2" t="s">
        <v>17</v>
      </c>
      <c r="AZ234" s="5"/>
      <c r="BA234" s="6"/>
      <c r="BB234" s="4"/>
      <c r="BC234" s="6"/>
      <c r="BD234" s="6"/>
      <c r="BE234" s="6"/>
      <c r="BF234" s="7"/>
    </row>
    <row r="235" spans="1:58" ht="18" customHeight="1">
      <c r="A235" s="106" t="s">
        <v>15</v>
      </c>
      <c r="B235" s="93" t="s">
        <v>213</v>
      </c>
      <c r="C235" s="28">
        <v>323.39999999999998</v>
      </c>
      <c r="D235" s="28">
        <v>323.52</v>
      </c>
      <c r="E235" s="28">
        <v>323.45999999999998</v>
      </c>
      <c r="F235" s="28">
        <v>323.45999999999998</v>
      </c>
      <c r="G235" s="29">
        <v>10388.1619517329</v>
      </c>
      <c r="H235" s="29">
        <v>7928.4622155508796</v>
      </c>
      <c r="I235" s="27">
        <f t="shared" si="10"/>
        <v>1</v>
      </c>
      <c r="J235" s="27">
        <f t="shared" si="11"/>
        <v>1</v>
      </c>
      <c r="K235" s="27">
        <f t="shared" si="9"/>
        <v>1</v>
      </c>
      <c r="L235" s="25">
        <v>624.81065000000001</v>
      </c>
      <c r="M235" s="25">
        <v>629.14907860089511</v>
      </c>
      <c r="N235" s="38">
        <v>0.5374295194484624</v>
      </c>
      <c r="O235" s="38">
        <v>-8.092148192992866</v>
      </c>
      <c r="P235" s="71">
        <v>-10.241866270786716</v>
      </c>
      <c r="Q235" s="53">
        <v>42698</v>
      </c>
      <c r="R235" s="23">
        <v>11</v>
      </c>
      <c r="S235" s="24">
        <v>624.81065000000001</v>
      </c>
      <c r="T235" s="24">
        <v>629.14907860089511</v>
      </c>
      <c r="U235" s="1">
        <v>0.5374295194484624</v>
      </c>
      <c r="V235" s="2">
        <v>-8.092148192992866</v>
      </c>
      <c r="W235" s="2">
        <v>-10.241866270786716</v>
      </c>
      <c r="X235" s="22" t="s">
        <v>17</v>
      </c>
      <c r="Y235" s="23"/>
      <c r="Z235" s="24" t="s">
        <v>17</v>
      </c>
      <c r="AA235" s="24" t="s">
        <v>17</v>
      </c>
      <c r="AB235" s="1" t="s">
        <v>17</v>
      </c>
      <c r="AC235" s="2" t="s">
        <v>17</v>
      </c>
      <c r="AD235" s="2" t="s">
        <v>17</v>
      </c>
      <c r="AE235" s="22" t="s">
        <v>17</v>
      </c>
      <c r="AF235" s="23"/>
      <c r="AG235" s="24" t="s">
        <v>17</v>
      </c>
      <c r="AH235" s="24" t="s">
        <v>17</v>
      </c>
      <c r="AI235" s="1" t="s">
        <v>17</v>
      </c>
      <c r="AJ235" s="2" t="s">
        <v>17</v>
      </c>
      <c r="AK235" s="2" t="s">
        <v>17</v>
      </c>
      <c r="AL235" s="3"/>
      <c r="AM235" s="2"/>
      <c r="AN235" s="24" t="s">
        <v>17</v>
      </c>
      <c r="AO235" s="24" t="s">
        <v>17</v>
      </c>
      <c r="AP235" s="1" t="s">
        <v>17</v>
      </c>
      <c r="AQ235" s="2" t="s">
        <v>17</v>
      </c>
      <c r="AR235" s="2" t="s">
        <v>17</v>
      </c>
      <c r="AS235" s="3"/>
      <c r="AT235" s="2"/>
      <c r="AU235" s="4"/>
      <c r="AV235" s="2"/>
      <c r="AW235" s="1" t="s">
        <v>17</v>
      </c>
      <c r="AX235" s="2" t="s">
        <v>17</v>
      </c>
      <c r="AY235" s="2" t="s">
        <v>17</v>
      </c>
      <c r="AZ235" s="11"/>
      <c r="BA235" s="12"/>
      <c r="BB235" s="4"/>
      <c r="BC235" s="12"/>
      <c r="BD235" s="12"/>
      <c r="BE235" s="12"/>
      <c r="BF235" s="13"/>
    </row>
    <row r="236" spans="1:58" ht="18" customHeight="1">
      <c r="A236" s="106" t="s">
        <v>15</v>
      </c>
      <c r="B236" s="93" t="s">
        <v>214</v>
      </c>
      <c r="C236" s="28">
        <v>324.77999999999997</v>
      </c>
      <c r="D236" s="28">
        <v>324.89999999999998</v>
      </c>
      <c r="E236" s="28">
        <v>324.83999999999997</v>
      </c>
      <c r="F236" s="28">
        <v>324.83999999999997</v>
      </c>
      <c r="G236" s="29">
        <v>10436.401351267799</v>
      </c>
      <c r="H236" s="29">
        <v>7984.0303330739898</v>
      </c>
      <c r="I236" s="27">
        <f t="shared" si="10"/>
        <v>1</v>
      </c>
      <c r="J236" s="27">
        <f t="shared" si="11"/>
        <v>1</v>
      </c>
      <c r="K236" s="27">
        <f t="shared" si="9"/>
        <v>1</v>
      </c>
      <c r="L236" s="25">
        <v>623.69763050000006</v>
      </c>
      <c r="M236" s="25">
        <v>628.01416751242107</v>
      </c>
      <c r="N236" s="38">
        <v>0.53567189555492334</v>
      </c>
      <c r="O236" s="38">
        <v>-7.3863187626125315</v>
      </c>
      <c r="P236" s="71">
        <v>-9.5290063448322257</v>
      </c>
      <c r="Q236" s="53">
        <v>42710</v>
      </c>
      <c r="R236" s="23">
        <v>11</v>
      </c>
      <c r="S236" s="24">
        <v>623.69763050000006</v>
      </c>
      <c r="T236" s="24">
        <v>628.01416751242107</v>
      </c>
      <c r="U236" s="1">
        <v>0.53567189555492334</v>
      </c>
      <c r="V236" s="2">
        <v>-7.3863187626125315</v>
      </c>
      <c r="W236" s="2">
        <v>-9.5290063448322257</v>
      </c>
      <c r="X236" s="22" t="s">
        <v>17</v>
      </c>
      <c r="Y236" s="23"/>
      <c r="Z236" s="24" t="s">
        <v>17</v>
      </c>
      <c r="AA236" s="24" t="s">
        <v>17</v>
      </c>
      <c r="AB236" s="1" t="s">
        <v>17</v>
      </c>
      <c r="AC236" s="2" t="s">
        <v>17</v>
      </c>
      <c r="AD236" s="2" t="s">
        <v>17</v>
      </c>
      <c r="AE236" s="22" t="s">
        <v>17</v>
      </c>
      <c r="AF236" s="23"/>
      <c r="AG236" s="24" t="s">
        <v>17</v>
      </c>
      <c r="AH236" s="24" t="s">
        <v>17</v>
      </c>
      <c r="AI236" s="1" t="s">
        <v>17</v>
      </c>
      <c r="AJ236" s="2" t="s">
        <v>17</v>
      </c>
      <c r="AK236" s="2" t="s">
        <v>17</v>
      </c>
      <c r="AL236" s="3"/>
      <c r="AM236" s="2"/>
      <c r="AN236" s="24" t="s">
        <v>17</v>
      </c>
      <c r="AO236" s="24" t="s">
        <v>17</v>
      </c>
      <c r="AP236" s="1" t="s">
        <v>17</v>
      </c>
      <c r="AQ236" s="2" t="s">
        <v>17</v>
      </c>
      <c r="AR236" s="2" t="s">
        <v>17</v>
      </c>
      <c r="AS236" s="3"/>
      <c r="AT236" s="2"/>
      <c r="AU236" s="4"/>
      <c r="AV236" s="2"/>
      <c r="AW236" s="1" t="s">
        <v>17</v>
      </c>
      <c r="AX236" s="2" t="s">
        <v>17</v>
      </c>
      <c r="AY236" s="2" t="s">
        <v>17</v>
      </c>
      <c r="AZ236" s="17"/>
      <c r="BA236" s="18"/>
      <c r="BB236" s="4"/>
      <c r="BC236" s="18"/>
      <c r="BD236" s="18"/>
      <c r="BE236" s="18"/>
      <c r="BF236" s="19"/>
    </row>
    <row r="237" spans="1:58" ht="18" customHeight="1">
      <c r="A237" s="106" t="s">
        <v>15</v>
      </c>
      <c r="B237" s="93" t="s">
        <v>215</v>
      </c>
      <c r="C237" s="28">
        <v>325.77999999999997</v>
      </c>
      <c r="D237" s="28">
        <v>325.89999999999998</v>
      </c>
      <c r="E237" s="28">
        <v>325.83999999999997</v>
      </c>
      <c r="F237" s="28">
        <v>325.83999999999997</v>
      </c>
      <c r="G237" s="29">
        <v>10471.7158088246</v>
      </c>
      <c r="H237" s="29">
        <v>8020.0345752459198</v>
      </c>
      <c r="I237" s="27">
        <f t="shared" si="10"/>
        <v>2</v>
      </c>
      <c r="J237" s="27">
        <f t="shared" si="11"/>
        <v>1</v>
      </c>
      <c r="K237" s="27">
        <f t="shared" si="9"/>
        <v>1</v>
      </c>
      <c r="L237" s="25">
        <v>621.99929350000002</v>
      </c>
      <c r="M237" s="25">
        <v>626.33070379675087</v>
      </c>
      <c r="N237" s="38">
        <v>0.54450536335282074</v>
      </c>
      <c r="O237" s="38">
        <v>-7.4741707911432087</v>
      </c>
      <c r="P237" s="71">
        <v>-9.6521922445544917</v>
      </c>
      <c r="Q237" s="53">
        <v>42740</v>
      </c>
      <c r="R237" s="23">
        <v>13</v>
      </c>
      <c r="S237" s="24">
        <v>619.99970200000007</v>
      </c>
      <c r="T237" s="24">
        <v>624.36140566616871</v>
      </c>
      <c r="U237" s="1">
        <v>0.54450536335282074</v>
      </c>
      <c r="V237" s="2">
        <v>-7.4741707911432087</v>
      </c>
      <c r="W237" s="2">
        <v>-9.6521922445544917</v>
      </c>
      <c r="X237" s="22">
        <v>43655</v>
      </c>
      <c r="Y237" s="23" t="s">
        <v>88</v>
      </c>
      <c r="Z237" s="24">
        <v>623.99888499999997</v>
      </c>
      <c r="AA237" s="24">
        <v>628.30000192733314</v>
      </c>
      <c r="AB237" s="1"/>
      <c r="AC237" s="2"/>
      <c r="AD237" s="2"/>
      <c r="AE237" s="22" t="s">
        <v>17</v>
      </c>
      <c r="AF237" s="23"/>
      <c r="AG237" s="24" t="s">
        <v>17</v>
      </c>
      <c r="AH237" s="24" t="s">
        <v>17</v>
      </c>
      <c r="AI237" s="1" t="s">
        <v>17</v>
      </c>
      <c r="AJ237" s="2" t="s">
        <v>17</v>
      </c>
      <c r="AK237" s="2" t="s">
        <v>17</v>
      </c>
      <c r="AL237" s="3"/>
      <c r="AM237" s="2"/>
      <c r="AN237" s="24" t="s">
        <v>17</v>
      </c>
      <c r="AO237" s="24" t="s">
        <v>17</v>
      </c>
      <c r="AP237" s="1" t="s">
        <v>17</v>
      </c>
      <c r="AQ237" s="2" t="s">
        <v>17</v>
      </c>
      <c r="AR237" s="2" t="s">
        <v>17</v>
      </c>
      <c r="AS237" s="3"/>
      <c r="AT237" s="2"/>
      <c r="AU237" s="4"/>
      <c r="AV237" s="2"/>
      <c r="AW237" s="1" t="s">
        <v>17</v>
      </c>
      <c r="AX237" s="2" t="s">
        <v>17</v>
      </c>
      <c r="AY237" s="2" t="s">
        <v>17</v>
      </c>
      <c r="AZ237" s="17"/>
      <c r="BA237" s="18"/>
      <c r="BB237" s="4"/>
      <c r="BC237" s="18"/>
      <c r="BD237" s="18"/>
      <c r="BE237" s="18"/>
      <c r="BF237" s="19"/>
    </row>
    <row r="238" spans="1:58" ht="18" customHeight="1">
      <c r="A238" s="106" t="s">
        <v>15</v>
      </c>
      <c r="B238" s="93" t="s">
        <v>216</v>
      </c>
      <c r="C238" s="28">
        <v>326.89999999999998</v>
      </c>
      <c r="D238" s="28">
        <v>327.02</v>
      </c>
      <c r="E238" s="28">
        <v>326.95999999999998</v>
      </c>
      <c r="F238" s="28">
        <v>326.95999999999998</v>
      </c>
      <c r="G238" s="29">
        <v>10511.147943751999</v>
      </c>
      <c r="H238" s="29">
        <v>8061.45823555279</v>
      </c>
      <c r="I238" s="27">
        <f t="shared" si="10"/>
        <v>2</v>
      </c>
      <c r="J238" s="27">
        <f t="shared" si="11"/>
        <v>2</v>
      </c>
      <c r="K238" s="27">
        <f t="shared" si="9"/>
        <v>0</v>
      </c>
      <c r="L238" s="25">
        <v>613.26939375000006</v>
      </c>
      <c r="M238" s="25">
        <v>617.44351152214915</v>
      </c>
      <c r="N238" s="38">
        <v>0.52681682969235588</v>
      </c>
      <c r="O238" s="38"/>
      <c r="P238" s="71"/>
      <c r="Q238" s="53">
        <v>42613</v>
      </c>
      <c r="R238" s="23">
        <v>3</v>
      </c>
      <c r="S238" s="24">
        <v>614.39129300000002</v>
      </c>
      <c r="T238" s="24">
        <v>618.52709257784159</v>
      </c>
      <c r="U238" s="1">
        <v>0.52101702954687745</v>
      </c>
      <c r="V238" s="2"/>
      <c r="W238" s="2"/>
      <c r="X238" s="22">
        <v>42613</v>
      </c>
      <c r="Y238" s="23">
        <v>3</v>
      </c>
      <c r="Z238" s="24">
        <v>612.14749449999999</v>
      </c>
      <c r="AA238" s="24">
        <v>616.35993046645672</v>
      </c>
      <c r="AB238" s="1">
        <v>0.53261662983783431</v>
      </c>
      <c r="AC238" s="2"/>
      <c r="AD238" s="2"/>
      <c r="AE238" s="22" t="s">
        <v>17</v>
      </c>
      <c r="AF238" s="23"/>
      <c r="AG238" s="24" t="s">
        <v>17</v>
      </c>
      <c r="AH238" s="24" t="s">
        <v>17</v>
      </c>
      <c r="AI238" s="1" t="s">
        <v>17</v>
      </c>
      <c r="AJ238" s="2" t="s">
        <v>17</v>
      </c>
      <c r="AK238" s="2" t="s">
        <v>17</v>
      </c>
      <c r="AL238" s="3"/>
      <c r="AM238" s="2"/>
      <c r="AN238" s="24" t="s">
        <v>17</v>
      </c>
      <c r="AO238" s="24" t="s">
        <v>17</v>
      </c>
      <c r="AP238" s="1" t="s">
        <v>17</v>
      </c>
      <c r="AQ238" s="2" t="s">
        <v>17</v>
      </c>
      <c r="AR238" s="2" t="s">
        <v>17</v>
      </c>
      <c r="AS238" s="3"/>
      <c r="AT238" s="2"/>
      <c r="AU238" s="4"/>
      <c r="AV238" s="2"/>
      <c r="AW238" s="1" t="s">
        <v>17</v>
      </c>
      <c r="AX238" s="2" t="s">
        <v>17</v>
      </c>
      <c r="AY238" s="2" t="s">
        <v>17</v>
      </c>
      <c r="AZ238" s="5"/>
      <c r="BA238" s="6"/>
      <c r="BB238" s="4"/>
      <c r="BC238" s="6"/>
      <c r="BD238" s="6"/>
      <c r="BE238" s="6"/>
      <c r="BF238" s="7"/>
    </row>
    <row r="239" spans="1:58" ht="18" customHeight="1">
      <c r="A239" s="106" t="s">
        <v>15</v>
      </c>
      <c r="B239" s="93" t="s">
        <v>217</v>
      </c>
      <c r="C239" s="28">
        <v>327.9</v>
      </c>
      <c r="D239" s="28">
        <v>328.02</v>
      </c>
      <c r="E239" s="28">
        <v>327.96</v>
      </c>
      <c r="F239" s="28">
        <v>327.96</v>
      </c>
      <c r="G239" s="29">
        <v>10546.5322018351</v>
      </c>
      <c r="H239" s="29">
        <v>8097.8575815971099</v>
      </c>
      <c r="I239" s="27">
        <f t="shared" si="10"/>
        <v>1</v>
      </c>
      <c r="J239" s="27">
        <f t="shared" si="11"/>
        <v>1</v>
      </c>
      <c r="K239" s="27">
        <f t="shared" si="9"/>
        <v>1</v>
      </c>
      <c r="L239" s="25">
        <v>597.51505299999997</v>
      </c>
      <c r="M239" s="25">
        <v>601.60565912500635</v>
      </c>
      <c r="N239" s="38">
        <v>0.52987850197716568</v>
      </c>
      <c r="O239" s="38">
        <v>-8.1127157885836354</v>
      </c>
      <c r="P239" s="71">
        <v>-10.232229796492298</v>
      </c>
      <c r="Q239" s="53">
        <v>42730</v>
      </c>
      <c r="R239" s="23">
        <v>13</v>
      </c>
      <c r="S239" s="24">
        <v>597.51505299999997</v>
      </c>
      <c r="T239" s="24">
        <v>601.60565912500635</v>
      </c>
      <c r="U239" s="1">
        <v>0.52987850197716568</v>
      </c>
      <c r="V239" s="2">
        <v>-8.1127157885836354</v>
      </c>
      <c r="W239" s="2">
        <v>-10.232229796492298</v>
      </c>
      <c r="X239" s="22" t="s">
        <v>17</v>
      </c>
      <c r="Y239" s="23"/>
      <c r="Z239" s="24" t="s">
        <v>17</v>
      </c>
      <c r="AA239" s="24" t="s">
        <v>17</v>
      </c>
      <c r="AB239" s="1" t="s">
        <v>17</v>
      </c>
      <c r="AC239" s="2" t="s">
        <v>17</v>
      </c>
      <c r="AD239" s="2" t="s">
        <v>17</v>
      </c>
      <c r="AE239" s="22" t="s">
        <v>17</v>
      </c>
      <c r="AF239" s="23"/>
      <c r="AG239" s="24" t="s">
        <v>17</v>
      </c>
      <c r="AH239" s="24" t="s">
        <v>17</v>
      </c>
      <c r="AI239" s="1" t="s">
        <v>17</v>
      </c>
      <c r="AJ239" s="2" t="s">
        <v>17</v>
      </c>
      <c r="AK239" s="2" t="s">
        <v>17</v>
      </c>
      <c r="AL239" s="3"/>
      <c r="AM239" s="2"/>
      <c r="AN239" s="24" t="s">
        <v>17</v>
      </c>
      <c r="AO239" s="24" t="s">
        <v>17</v>
      </c>
      <c r="AP239" s="1" t="s">
        <v>17</v>
      </c>
      <c r="AQ239" s="2" t="s">
        <v>17</v>
      </c>
      <c r="AR239" s="2" t="s">
        <v>17</v>
      </c>
      <c r="AS239" s="3"/>
      <c r="AT239" s="2"/>
      <c r="AU239" s="4"/>
      <c r="AV239" s="2"/>
      <c r="AW239" s="1" t="s">
        <v>17</v>
      </c>
      <c r="AX239" s="2" t="s">
        <v>17</v>
      </c>
      <c r="AY239" s="2" t="s">
        <v>17</v>
      </c>
      <c r="AZ239" s="5"/>
      <c r="BA239" s="6"/>
      <c r="BB239" s="4"/>
      <c r="BC239" s="6"/>
      <c r="BD239" s="6"/>
      <c r="BE239" s="6"/>
      <c r="BF239" s="7"/>
    </row>
    <row r="240" spans="1:58" ht="18" customHeight="1">
      <c r="A240" s="106" t="s">
        <v>15</v>
      </c>
      <c r="B240" s="93" t="s">
        <v>218</v>
      </c>
      <c r="C240" s="28">
        <v>328.9</v>
      </c>
      <c r="D240" s="28">
        <v>329.02</v>
      </c>
      <c r="E240" s="28">
        <v>328.96</v>
      </c>
      <c r="F240" s="28">
        <v>328.96</v>
      </c>
      <c r="G240" s="29">
        <v>10582.0654668809</v>
      </c>
      <c r="H240" s="29">
        <v>8134.6788822782401</v>
      </c>
      <c r="I240" s="27">
        <f t="shared" si="10"/>
        <v>1</v>
      </c>
      <c r="J240" s="27">
        <f t="shared" si="11"/>
        <v>1</v>
      </c>
      <c r="K240" s="27">
        <f t="shared" si="9"/>
        <v>1</v>
      </c>
      <c r="L240" s="25">
        <v>595.07333900000003</v>
      </c>
      <c r="M240" s="25">
        <v>599.15950643943131</v>
      </c>
      <c r="N240" s="38">
        <v>0.53147538118381021</v>
      </c>
      <c r="O240" s="38">
        <v>-9.229039679750862</v>
      </c>
      <c r="P240" s="71">
        <v>-11.354941204486103</v>
      </c>
      <c r="Q240" s="53">
        <v>43384</v>
      </c>
      <c r="R240" s="23">
        <v>9</v>
      </c>
      <c r="S240" s="24">
        <v>595.07333900000003</v>
      </c>
      <c r="T240" s="24">
        <v>599.15950643943131</v>
      </c>
      <c r="U240" s="1">
        <v>0.53147538118381021</v>
      </c>
      <c r="V240" s="2">
        <v>-9.229039679750862</v>
      </c>
      <c r="W240" s="2">
        <v>-11.354941204486103</v>
      </c>
      <c r="X240" s="22" t="s">
        <v>17</v>
      </c>
      <c r="Y240" s="23"/>
      <c r="Z240" s="24" t="s">
        <v>17</v>
      </c>
      <c r="AA240" s="24" t="s">
        <v>17</v>
      </c>
      <c r="AB240" s="1" t="s">
        <v>17</v>
      </c>
      <c r="AC240" s="2" t="s">
        <v>17</v>
      </c>
      <c r="AD240" s="2" t="s">
        <v>17</v>
      </c>
      <c r="AE240" s="22" t="s">
        <v>17</v>
      </c>
      <c r="AF240" s="23"/>
      <c r="AG240" s="24" t="s">
        <v>17</v>
      </c>
      <c r="AH240" s="24" t="s">
        <v>17</v>
      </c>
      <c r="AI240" s="1" t="s">
        <v>17</v>
      </c>
      <c r="AJ240" s="2" t="s">
        <v>17</v>
      </c>
      <c r="AK240" s="2" t="s">
        <v>17</v>
      </c>
      <c r="AL240" s="3"/>
      <c r="AM240" s="2"/>
      <c r="AN240" s="24" t="s">
        <v>17</v>
      </c>
      <c r="AO240" s="24" t="s">
        <v>17</v>
      </c>
      <c r="AP240" s="1" t="s">
        <v>17</v>
      </c>
      <c r="AQ240" s="2" t="s">
        <v>17</v>
      </c>
      <c r="AR240" s="2" t="s">
        <v>17</v>
      </c>
      <c r="AS240" s="3"/>
      <c r="AT240" s="2"/>
      <c r="AU240" s="4"/>
      <c r="AV240" s="2"/>
      <c r="AW240" s="1" t="s">
        <v>17</v>
      </c>
      <c r="AX240" s="2" t="s">
        <v>17</v>
      </c>
      <c r="AY240" s="2" t="s">
        <v>17</v>
      </c>
      <c r="AZ240" s="5"/>
      <c r="BA240" s="6"/>
      <c r="BB240" s="4"/>
      <c r="BC240" s="6"/>
      <c r="BD240" s="6"/>
      <c r="BE240" s="6"/>
      <c r="BF240" s="7"/>
    </row>
    <row r="241" spans="1:58" ht="18" customHeight="1">
      <c r="A241" s="106" t="s">
        <v>15</v>
      </c>
      <c r="B241" s="93" t="s">
        <v>219</v>
      </c>
      <c r="C241" s="28">
        <v>330.4</v>
      </c>
      <c r="D241" s="28">
        <v>330.52</v>
      </c>
      <c r="E241" s="28">
        <v>330.46</v>
      </c>
      <c r="F241" s="28">
        <v>330.46</v>
      </c>
      <c r="G241" s="29">
        <v>10635.8234369415</v>
      </c>
      <c r="H241" s="29">
        <v>8191.7797221221699</v>
      </c>
      <c r="I241" s="27">
        <f t="shared" si="10"/>
        <v>1</v>
      </c>
      <c r="J241" s="27">
        <f t="shared" si="11"/>
        <v>2</v>
      </c>
      <c r="K241" s="27">
        <f t="shared" si="9"/>
        <v>2</v>
      </c>
      <c r="L241" s="25">
        <v>624.43529599999999</v>
      </c>
      <c r="M241" s="25">
        <v>628.67428173307962</v>
      </c>
      <c r="N241" s="38">
        <v>0.52536830114491284</v>
      </c>
      <c r="O241" s="38">
        <v>-5.716005561098747</v>
      </c>
      <c r="P241" s="71">
        <v>-7.8174787656783984</v>
      </c>
      <c r="Q241" s="53">
        <v>42667</v>
      </c>
      <c r="R241" s="23">
        <v>8</v>
      </c>
      <c r="S241" s="24">
        <v>624.43529599999999</v>
      </c>
      <c r="T241" s="24">
        <v>628.67428173307962</v>
      </c>
      <c r="U241" s="1">
        <v>0.52542653031162345</v>
      </c>
      <c r="V241" s="2">
        <v>-5.4352880258013991</v>
      </c>
      <c r="W241" s="2">
        <v>-7.5369941470478929</v>
      </c>
      <c r="X241" s="22">
        <v>42667</v>
      </c>
      <c r="Y241" s="23">
        <v>8</v>
      </c>
      <c r="Z241" s="24"/>
      <c r="AA241" s="24"/>
      <c r="AB241" s="1">
        <v>0.52531007197820223</v>
      </c>
      <c r="AC241" s="2">
        <v>-5.9967230963960949</v>
      </c>
      <c r="AD241" s="2">
        <v>-8.0979633843089047</v>
      </c>
      <c r="AE241" s="22"/>
      <c r="AF241" s="23"/>
      <c r="AG241" s="24"/>
      <c r="AH241" s="24"/>
      <c r="AI241" s="1"/>
      <c r="AJ241" s="2"/>
      <c r="AK241" s="2"/>
      <c r="AL241" s="3"/>
      <c r="AM241" s="2"/>
      <c r="AN241" s="24" t="s">
        <v>17</v>
      </c>
      <c r="AO241" s="24" t="s">
        <v>17</v>
      </c>
      <c r="AP241" s="1" t="s">
        <v>17</v>
      </c>
      <c r="AQ241" s="2" t="s">
        <v>17</v>
      </c>
      <c r="AR241" s="2" t="s">
        <v>17</v>
      </c>
      <c r="AS241" s="3"/>
      <c r="AT241" s="2"/>
      <c r="AU241" s="4"/>
      <c r="AV241" s="2"/>
      <c r="AW241" s="1" t="s">
        <v>17</v>
      </c>
      <c r="AX241" s="2" t="s">
        <v>17</v>
      </c>
      <c r="AY241" s="2" t="s">
        <v>17</v>
      </c>
      <c r="AZ241" s="5"/>
      <c r="BA241" s="6"/>
      <c r="BB241" s="4"/>
      <c r="BC241" s="6"/>
      <c r="BD241" s="6"/>
      <c r="BE241" s="6"/>
      <c r="BF241" s="7"/>
    </row>
    <row r="242" spans="1:58" ht="18" customHeight="1">
      <c r="A242" s="106" t="s">
        <v>15</v>
      </c>
      <c r="B242" s="93" t="s">
        <v>220</v>
      </c>
      <c r="C242" s="28">
        <v>332.28</v>
      </c>
      <c r="D242" s="28">
        <v>332.4</v>
      </c>
      <c r="E242" s="28">
        <v>332.34</v>
      </c>
      <c r="F242" s="28">
        <v>332.34</v>
      </c>
      <c r="G242" s="29">
        <v>10703.403433011101</v>
      </c>
      <c r="H242" s="29">
        <v>8262.9158854194902</v>
      </c>
      <c r="I242" s="27">
        <f t="shared" si="10"/>
        <v>1</v>
      </c>
      <c r="J242" s="27">
        <f t="shared" si="11"/>
        <v>1</v>
      </c>
      <c r="K242" s="27">
        <f t="shared" si="9"/>
        <v>1</v>
      </c>
      <c r="L242" s="25">
        <v>637.48293749999993</v>
      </c>
      <c r="M242" s="25">
        <v>641.82823240209837</v>
      </c>
      <c r="N242" s="38">
        <v>0.52757982222439992</v>
      </c>
      <c r="O242" s="38">
        <v>-8.1187166717119332</v>
      </c>
      <c r="P242" s="71">
        <v>-10.229035960609533</v>
      </c>
      <c r="Q242" s="53">
        <v>43475</v>
      </c>
      <c r="R242" s="23">
        <v>12</v>
      </c>
      <c r="S242" s="24">
        <v>637.48293749999993</v>
      </c>
      <c r="T242" s="24">
        <v>641.82823240209837</v>
      </c>
      <c r="U242" s="1">
        <v>0.52757982222439992</v>
      </c>
      <c r="V242" s="2">
        <v>-8.1187166717119332</v>
      </c>
      <c r="W242" s="2">
        <v>-10.229035960609533</v>
      </c>
      <c r="X242" s="22" t="s">
        <v>17</v>
      </c>
      <c r="Y242" s="23"/>
      <c r="Z242" s="24" t="s">
        <v>17</v>
      </c>
      <c r="AA242" s="24" t="s">
        <v>17</v>
      </c>
      <c r="AB242" s="1" t="s">
        <v>17</v>
      </c>
      <c r="AC242" s="2" t="s">
        <v>17</v>
      </c>
      <c r="AD242" s="2" t="s">
        <v>17</v>
      </c>
      <c r="AE242" s="22" t="s">
        <v>17</v>
      </c>
      <c r="AF242" s="23"/>
      <c r="AG242" s="24" t="s">
        <v>17</v>
      </c>
      <c r="AH242" s="24" t="s">
        <v>17</v>
      </c>
      <c r="AI242" s="1" t="s">
        <v>17</v>
      </c>
      <c r="AJ242" s="2" t="s">
        <v>17</v>
      </c>
      <c r="AK242" s="2" t="s">
        <v>17</v>
      </c>
      <c r="AL242" s="3"/>
      <c r="AM242" s="2"/>
      <c r="AN242" s="24" t="s">
        <v>17</v>
      </c>
      <c r="AO242" s="24" t="s">
        <v>17</v>
      </c>
      <c r="AP242" s="1" t="s">
        <v>17</v>
      </c>
      <c r="AQ242" s="2" t="s">
        <v>17</v>
      </c>
      <c r="AR242" s="2" t="s">
        <v>17</v>
      </c>
      <c r="AS242" s="3"/>
      <c r="AT242" s="2"/>
      <c r="AU242" s="4"/>
      <c r="AV242" s="2"/>
      <c r="AW242" s="1" t="s">
        <v>17</v>
      </c>
      <c r="AX242" s="2" t="s">
        <v>17</v>
      </c>
      <c r="AY242" s="2" t="s">
        <v>17</v>
      </c>
      <c r="AZ242" s="5"/>
      <c r="BA242" s="6"/>
      <c r="BB242" s="4"/>
      <c r="BC242" s="6"/>
      <c r="BD242" s="6"/>
      <c r="BE242" s="6"/>
      <c r="BF242" s="7"/>
    </row>
    <row r="243" spans="1:58" ht="18" customHeight="1">
      <c r="A243" s="106" t="s">
        <v>15</v>
      </c>
      <c r="B243" s="93" t="s">
        <v>221</v>
      </c>
      <c r="C243" s="28">
        <v>333.78</v>
      </c>
      <c r="D243" s="28">
        <v>333.9</v>
      </c>
      <c r="E243" s="28">
        <v>333.84</v>
      </c>
      <c r="F243" s="28">
        <v>333.84</v>
      </c>
      <c r="G243" s="29">
        <v>10757.3555134576</v>
      </c>
      <c r="H243" s="29">
        <v>8319.4548648905202</v>
      </c>
      <c r="I243" s="27">
        <f t="shared" si="10"/>
        <v>2</v>
      </c>
      <c r="J243" s="27">
        <f t="shared" si="11"/>
        <v>2</v>
      </c>
      <c r="K243" s="27">
        <f t="shared" si="9"/>
        <v>2</v>
      </c>
      <c r="L243" s="25">
        <v>645.25233924999998</v>
      </c>
      <c r="M243" s="25">
        <v>649.61551503205601</v>
      </c>
      <c r="N243" s="38">
        <v>0.52337212744335559</v>
      </c>
      <c r="O243" s="38">
        <v>-9.632013839075027</v>
      </c>
      <c r="P243" s="71">
        <v>-11.725502348848449</v>
      </c>
      <c r="Q243" s="53">
        <v>42773</v>
      </c>
      <c r="R243" s="23">
        <v>6</v>
      </c>
      <c r="S243" s="24">
        <v>643.94644249999999</v>
      </c>
      <c r="T243" s="24">
        <v>648.30069628502542</v>
      </c>
      <c r="U243" s="1">
        <v>0.52336114401096978</v>
      </c>
      <c r="V243" s="2">
        <v>-9.7627703853144787</v>
      </c>
      <c r="W243" s="2">
        <v>-11.856214961358358</v>
      </c>
      <c r="X243" s="22">
        <v>42773</v>
      </c>
      <c r="Y243" s="23">
        <v>6</v>
      </c>
      <c r="Z243" s="24">
        <v>646.55823600000008</v>
      </c>
      <c r="AA243" s="24">
        <v>650.9303337790866</v>
      </c>
      <c r="AB243" s="1">
        <v>0.52338311087574141</v>
      </c>
      <c r="AC243" s="2">
        <v>-9.5012572928355752</v>
      </c>
      <c r="AD243" s="2">
        <v>-11.594789736338541</v>
      </c>
      <c r="AE243" s="22" t="s">
        <v>17</v>
      </c>
      <c r="AF243" s="23"/>
      <c r="AG243" s="24" t="s">
        <v>17</v>
      </c>
      <c r="AH243" s="24" t="s">
        <v>17</v>
      </c>
      <c r="AI243" s="1" t="s">
        <v>17</v>
      </c>
      <c r="AJ243" s="2" t="s">
        <v>17</v>
      </c>
      <c r="AK243" s="2" t="s">
        <v>17</v>
      </c>
      <c r="AL243" s="3"/>
      <c r="AM243" s="2"/>
      <c r="AN243" s="24" t="s">
        <v>17</v>
      </c>
      <c r="AO243" s="24" t="s">
        <v>17</v>
      </c>
      <c r="AP243" s="1" t="s">
        <v>17</v>
      </c>
      <c r="AQ243" s="2" t="s">
        <v>17</v>
      </c>
      <c r="AR243" s="2" t="s">
        <v>17</v>
      </c>
      <c r="AS243" s="3"/>
      <c r="AT243" s="2"/>
      <c r="AU243" s="4"/>
      <c r="AV243" s="2"/>
      <c r="AW243" s="1" t="s">
        <v>17</v>
      </c>
      <c r="AX243" s="2" t="s">
        <v>17</v>
      </c>
      <c r="AY243" s="2" t="s">
        <v>17</v>
      </c>
      <c r="AZ243" s="5"/>
      <c r="BA243" s="6"/>
      <c r="BB243" s="4"/>
      <c r="BC243" s="6"/>
      <c r="BD243" s="6"/>
      <c r="BE243" s="6"/>
      <c r="BF243" s="7"/>
    </row>
    <row r="244" spans="1:58" ht="18" customHeight="1">
      <c r="A244" s="106" t="s">
        <v>15</v>
      </c>
      <c r="B244" s="93" t="s">
        <v>222</v>
      </c>
      <c r="C244" s="28">
        <v>334.4</v>
      </c>
      <c r="D244" s="28">
        <v>334.52</v>
      </c>
      <c r="E244" s="28">
        <v>334.46</v>
      </c>
      <c r="F244" s="28">
        <v>334.46</v>
      </c>
      <c r="G244" s="29">
        <v>10779.9072982541</v>
      </c>
      <c r="H244" s="29">
        <v>8343.2995549950501</v>
      </c>
      <c r="I244" s="27">
        <f t="shared" si="10"/>
        <v>1</v>
      </c>
      <c r="J244" s="27">
        <f t="shared" si="11"/>
        <v>1</v>
      </c>
      <c r="K244" s="27">
        <f t="shared" si="9"/>
        <v>1</v>
      </c>
      <c r="L244" s="25">
        <v>635.68286650000005</v>
      </c>
      <c r="M244" s="25">
        <v>639.98830661555201</v>
      </c>
      <c r="N244" s="38">
        <v>0.52422114327432823</v>
      </c>
      <c r="O244" s="38">
        <v>-6.7745179009812695</v>
      </c>
      <c r="P244" s="71">
        <v>-8.8714024740785824</v>
      </c>
      <c r="Q244" s="53">
        <v>43508</v>
      </c>
      <c r="R244" s="23">
        <v>7</v>
      </c>
      <c r="S244" s="24">
        <v>635.68286650000005</v>
      </c>
      <c r="T244" s="24">
        <v>639.98830661555201</v>
      </c>
      <c r="U244" s="1">
        <v>0.52422114327432823</v>
      </c>
      <c r="V244" s="2">
        <v>-6.7745179009812695</v>
      </c>
      <c r="W244" s="2">
        <v>-8.8714024740785824</v>
      </c>
      <c r="X244" s="22" t="s">
        <v>17</v>
      </c>
      <c r="Y244" s="23"/>
      <c r="Z244" s="24" t="s">
        <v>17</v>
      </c>
      <c r="AA244" s="24" t="s">
        <v>17</v>
      </c>
      <c r="AB244" s="1" t="s">
        <v>17</v>
      </c>
      <c r="AC244" s="2" t="s">
        <v>17</v>
      </c>
      <c r="AD244" s="2" t="s">
        <v>17</v>
      </c>
      <c r="AE244" s="22" t="s">
        <v>17</v>
      </c>
      <c r="AF244" s="23"/>
      <c r="AG244" s="24" t="s">
        <v>17</v>
      </c>
      <c r="AH244" s="24" t="s">
        <v>17</v>
      </c>
      <c r="AI244" s="1" t="s">
        <v>17</v>
      </c>
      <c r="AJ244" s="2" t="s">
        <v>17</v>
      </c>
      <c r="AK244" s="2" t="s">
        <v>17</v>
      </c>
      <c r="AL244" s="3"/>
      <c r="AM244" s="2"/>
      <c r="AN244" s="24" t="s">
        <v>17</v>
      </c>
      <c r="AO244" s="24" t="s">
        <v>17</v>
      </c>
      <c r="AP244" s="1" t="s">
        <v>17</v>
      </c>
      <c r="AQ244" s="2" t="s">
        <v>17</v>
      </c>
      <c r="AR244" s="2" t="s">
        <v>17</v>
      </c>
      <c r="AS244" s="3"/>
      <c r="AT244" s="2"/>
      <c r="AU244" s="4"/>
      <c r="AV244" s="2"/>
      <c r="AW244" s="1" t="s">
        <v>17</v>
      </c>
      <c r="AX244" s="2" t="s">
        <v>17</v>
      </c>
      <c r="AY244" s="2" t="s">
        <v>17</v>
      </c>
      <c r="AZ244" s="5"/>
      <c r="BA244" s="6"/>
      <c r="BB244" s="4"/>
      <c r="BC244" s="6"/>
      <c r="BD244" s="6"/>
      <c r="BE244" s="6"/>
      <c r="BF244" s="7"/>
    </row>
    <row r="245" spans="1:58" ht="18" customHeight="1">
      <c r="A245" s="106" t="s">
        <v>15</v>
      </c>
      <c r="B245" s="93" t="s">
        <v>223</v>
      </c>
      <c r="C245" s="28">
        <v>335.88</v>
      </c>
      <c r="D245" s="28">
        <v>336</v>
      </c>
      <c r="E245" s="28">
        <v>335.94</v>
      </c>
      <c r="F245" s="28">
        <v>335.94</v>
      </c>
      <c r="G245" s="29">
        <v>10834.5368328107</v>
      </c>
      <c r="H245" s="29">
        <v>8396.8437462313996</v>
      </c>
      <c r="I245" s="27">
        <f t="shared" si="10"/>
        <v>2</v>
      </c>
      <c r="J245" s="27">
        <f t="shared" si="11"/>
        <v>2</v>
      </c>
      <c r="K245" s="27">
        <f t="shared" si="9"/>
        <v>0</v>
      </c>
      <c r="L245" s="25">
        <v>639.93599074999997</v>
      </c>
      <c r="M245" s="25">
        <v>644.32833232271196</v>
      </c>
      <c r="N245" s="38">
        <v>0.53124125289882862</v>
      </c>
      <c r="O245" s="38"/>
      <c r="P245" s="71"/>
      <c r="Q245" s="53">
        <v>42621</v>
      </c>
      <c r="R245" s="23">
        <v>3</v>
      </c>
      <c r="S245" s="24">
        <v>638.41411700000003</v>
      </c>
      <c r="T245" s="24">
        <v>642.77362724314753</v>
      </c>
      <c r="U245" s="1">
        <v>0.52853372826100475</v>
      </c>
      <c r="V245" s="2"/>
      <c r="W245" s="2"/>
      <c r="X245" s="22">
        <v>42621</v>
      </c>
      <c r="Y245" s="23">
        <v>3</v>
      </c>
      <c r="Z245" s="24">
        <v>641.45786450000003</v>
      </c>
      <c r="AA245" s="24">
        <v>645.88303740227639</v>
      </c>
      <c r="AB245" s="1">
        <v>0.53394877753665249</v>
      </c>
      <c r="AC245" s="2"/>
      <c r="AD245" s="2"/>
      <c r="AE245" s="22" t="s">
        <v>17</v>
      </c>
      <c r="AF245" s="23"/>
      <c r="AG245" s="24" t="s">
        <v>17</v>
      </c>
      <c r="AH245" s="24" t="s">
        <v>17</v>
      </c>
      <c r="AI245" s="1" t="s">
        <v>17</v>
      </c>
      <c r="AJ245" s="2" t="s">
        <v>17</v>
      </c>
      <c r="AK245" s="2" t="s">
        <v>17</v>
      </c>
      <c r="AL245" s="3"/>
      <c r="AM245" s="2"/>
      <c r="AN245" s="24" t="s">
        <v>17</v>
      </c>
      <c r="AO245" s="24" t="s">
        <v>17</v>
      </c>
      <c r="AP245" s="1" t="s">
        <v>17</v>
      </c>
      <c r="AQ245" s="2" t="s">
        <v>17</v>
      </c>
      <c r="AR245" s="2" t="s">
        <v>17</v>
      </c>
      <c r="AS245" s="3"/>
      <c r="AT245" s="2"/>
      <c r="AU245" s="4"/>
      <c r="AV245" s="2"/>
      <c r="AW245" s="1" t="s">
        <v>17</v>
      </c>
      <c r="AX245" s="2" t="s">
        <v>17</v>
      </c>
      <c r="AY245" s="2" t="s">
        <v>17</v>
      </c>
      <c r="AZ245" s="5"/>
      <c r="BA245" s="6"/>
      <c r="BB245" s="4"/>
      <c r="BC245" s="6"/>
      <c r="BD245" s="6"/>
      <c r="BE245" s="6"/>
      <c r="BF245" s="7"/>
    </row>
    <row r="246" spans="1:58" ht="18" customHeight="1">
      <c r="A246" s="106" t="s">
        <v>15</v>
      </c>
      <c r="B246" s="93" t="s">
        <v>224</v>
      </c>
      <c r="C246" s="28">
        <v>336.88</v>
      </c>
      <c r="D246" s="28">
        <v>337</v>
      </c>
      <c r="E246" s="28">
        <v>336.94</v>
      </c>
      <c r="F246" s="28">
        <v>336.94</v>
      </c>
      <c r="G246" s="29">
        <v>10871.336091089401</v>
      </c>
      <c r="H246" s="29">
        <v>8430.68392088357</v>
      </c>
      <c r="I246" s="27">
        <f t="shared" si="10"/>
        <v>1</v>
      </c>
      <c r="J246" s="27">
        <f t="shared" si="11"/>
        <v>1</v>
      </c>
      <c r="K246" s="27">
        <f t="shared" si="9"/>
        <v>1</v>
      </c>
      <c r="L246" s="25">
        <v>643.22966300000007</v>
      </c>
      <c r="M246" s="25">
        <v>647.6254693137148</v>
      </c>
      <c r="N246" s="38">
        <v>0.52894433573413835</v>
      </c>
      <c r="O246" s="38">
        <v>-10.562663203280254</v>
      </c>
      <c r="P246" s="71">
        <v>-12.678440546216807</v>
      </c>
      <c r="Q246" s="53">
        <v>42688</v>
      </c>
      <c r="R246" s="23">
        <v>11</v>
      </c>
      <c r="S246" s="24">
        <v>643.22966300000007</v>
      </c>
      <c r="T246" s="24">
        <v>647.6254693137148</v>
      </c>
      <c r="U246" s="1">
        <v>0.52894433573413835</v>
      </c>
      <c r="V246" s="2">
        <v>-10.562663203280254</v>
      </c>
      <c r="W246" s="2">
        <v>-12.678440546216807</v>
      </c>
      <c r="X246" s="22" t="s">
        <v>17</v>
      </c>
      <c r="Y246" s="23"/>
      <c r="Z246" s="24" t="s">
        <v>17</v>
      </c>
      <c r="AA246" s="24" t="s">
        <v>17</v>
      </c>
      <c r="AB246" s="1" t="s">
        <v>17</v>
      </c>
      <c r="AC246" s="2" t="s">
        <v>17</v>
      </c>
      <c r="AD246" s="2" t="s">
        <v>17</v>
      </c>
      <c r="AE246" s="22" t="s">
        <v>17</v>
      </c>
      <c r="AF246" s="23"/>
      <c r="AG246" s="24" t="s">
        <v>17</v>
      </c>
      <c r="AH246" s="24" t="s">
        <v>17</v>
      </c>
      <c r="AI246" s="1" t="s">
        <v>17</v>
      </c>
      <c r="AJ246" s="2" t="s">
        <v>17</v>
      </c>
      <c r="AK246" s="2" t="s">
        <v>17</v>
      </c>
      <c r="AL246" s="3"/>
      <c r="AM246" s="2"/>
      <c r="AN246" s="24" t="s">
        <v>17</v>
      </c>
      <c r="AO246" s="24" t="s">
        <v>17</v>
      </c>
      <c r="AP246" s="1" t="s">
        <v>17</v>
      </c>
      <c r="AQ246" s="2" t="s">
        <v>17</v>
      </c>
      <c r="AR246" s="2" t="s">
        <v>17</v>
      </c>
      <c r="AS246" s="3"/>
      <c r="AT246" s="2"/>
      <c r="AU246" s="4"/>
      <c r="AV246" s="2"/>
      <c r="AW246" s="1" t="s">
        <v>17</v>
      </c>
      <c r="AX246" s="2" t="s">
        <v>17</v>
      </c>
      <c r="AY246" s="2" t="s">
        <v>17</v>
      </c>
      <c r="AZ246" s="5"/>
      <c r="BA246" s="6"/>
      <c r="BB246" s="4"/>
      <c r="BC246" s="6"/>
      <c r="BD246" s="6"/>
      <c r="BE246" s="6"/>
      <c r="BF246" s="7"/>
    </row>
    <row r="247" spans="1:58" ht="18" customHeight="1">
      <c r="A247" s="106" t="s">
        <v>15</v>
      </c>
      <c r="B247" s="93" t="s">
        <v>225</v>
      </c>
      <c r="C247" s="28">
        <v>338.38</v>
      </c>
      <c r="D247" s="28">
        <v>338.5</v>
      </c>
      <c r="E247" s="28">
        <v>338.44</v>
      </c>
      <c r="F247" s="28">
        <v>338.44</v>
      </c>
      <c r="G247" s="29">
        <v>10925.8231939323</v>
      </c>
      <c r="H247" s="29">
        <v>8484.7262980301202</v>
      </c>
      <c r="I247" s="27">
        <f t="shared" si="10"/>
        <v>1</v>
      </c>
      <c r="J247" s="27">
        <f t="shared" si="11"/>
        <v>1</v>
      </c>
      <c r="K247" s="27">
        <f t="shared" si="9"/>
        <v>1</v>
      </c>
      <c r="L247" s="25">
        <v>649.3383295000001</v>
      </c>
      <c r="M247" s="25">
        <v>653.78256168112284</v>
      </c>
      <c r="N247" s="38">
        <v>0.52974051175636028</v>
      </c>
      <c r="O247" s="38">
        <v>-8.0655819352196687</v>
      </c>
      <c r="P247" s="71">
        <v>-10.18454398224511</v>
      </c>
      <c r="Q247" s="53">
        <v>43221</v>
      </c>
      <c r="R247" s="23">
        <v>6</v>
      </c>
      <c r="S247" s="24">
        <v>649.3383295000001</v>
      </c>
      <c r="T247" s="24">
        <v>653.78256168112284</v>
      </c>
      <c r="U247" s="1">
        <v>0.52974051175636028</v>
      </c>
      <c r="V247" s="2">
        <v>-8.0655819352196687</v>
      </c>
      <c r="W247" s="2">
        <v>-10.18454398224511</v>
      </c>
      <c r="X247" s="22" t="s">
        <v>17</v>
      </c>
      <c r="Y247" s="23"/>
      <c r="Z247" s="24" t="s">
        <v>17</v>
      </c>
      <c r="AA247" s="24" t="s">
        <v>17</v>
      </c>
      <c r="AB247" s="1" t="s">
        <v>17</v>
      </c>
      <c r="AC247" s="2" t="s">
        <v>17</v>
      </c>
      <c r="AD247" s="2" t="s">
        <v>17</v>
      </c>
      <c r="AE247" s="22" t="s">
        <v>17</v>
      </c>
      <c r="AF247" s="23"/>
      <c r="AG247" s="24" t="s">
        <v>17</v>
      </c>
      <c r="AH247" s="24" t="s">
        <v>17</v>
      </c>
      <c r="AI247" s="1" t="s">
        <v>17</v>
      </c>
      <c r="AJ247" s="2" t="s">
        <v>17</v>
      </c>
      <c r="AK247" s="2" t="s">
        <v>17</v>
      </c>
      <c r="AL247" s="3"/>
      <c r="AM247" s="2"/>
      <c r="AN247" s="24" t="s">
        <v>17</v>
      </c>
      <c r="AO247" s="24" t="s">
        <v>17</v>
      </c>
      <c r="AP247" s="1" t="s">
        <v>17</v>
      </c>
      <c r="AQ247" s="2" t="s">
        <v>17</v>
      </c>
      <c r="AR247" s="2" t="s">
        <v>17</v>
      </c>
      <c r="AS247" s="3"/>
      <c r="AT247" s="2"/>
      <c r="AU247" s="4"/>
      <c r="AV247" s="2"/>
      <c r="AW247" s="1" t="s">
        <v>17</v>
      </c>
      <c r="AX247" s="2" t="s">
        <v>17</v>
      </c>
      <c r="AY247" s="2" t="s">
        <v>17</v>
      </c>
      <c r="AZ247" s="5"/>
      <c r="BA247" s="6"/>
      <c r="BB247" s="4"/>
      <c r="BC247" s="6"/>
      <c r="BD247" s="6"/>
      <c r="BE247" s="6"/>
      <c r="BF247" s="7"/>
    </row>
    <row r="248" spans="1:58" ht="18" customHeight="1">
      <c r="A248" s="106" t="s">
        <v>15</v>
      </c>
      <c r="B248" s="93" t="s">
        <v>226</v>
      </c>
      <c r="C248" s="28">
        <v>339.76</v>
      </c>
      <c r="D248" s="28">
        <v>339.88</v>
      </c>
      <c r="E248" s="28">
        <v>339.82</v>
      </c>
      <c r="F248" s="28">
        <v>339.82</v>
      </c>
      <c r="G248" s="29">
        <v>10976.385683595299</v>
      </c>
      <c r="H248" s="29">
        <v>8535.6705372589695</v>
      </c>
      <c r="I248" s="27">
        <f t="shared" si="10"/>
        <v>1</v>
      </c>
      <c r="J248" s="27">
        <f t="shared" si="11"/>
        <v>1</v>
      </c>
      <c r="K248" s="27">
        <f t="shared" si="9"/>
        <v>1</v>
      </c>
      <c r="L248" s="25">
        <v>650.1430355</v>
      </c>
      <c r="M248" s="25">
        <v>654.57996142923389</v>
      </c>
      <c r="N248" s="38">
        <v>0.52821502476918525</v>
      </c>
      <c r="O248" s="38">
        <v>-7.4477640234412723</v>
      </c>
      <c r="P248" s="71">
        <v>-9.5606241225180142</v>
      </c>
      <c r="Q248" s="53">
        <v>42698</v>
      </c>
      <c r="R248" s="23">
        <v>11</v>
      </c>
      <c r="S248" s="24">
        <v>650.1430355</v>
      </c>
      <c r="T248" s="24">
        <v>654.57996142923389</v>
      </c>
      <c r="U248" s="1">
        <v>0.52821502476918525</v>
      </c>
      <c r="V248" s="2">
        <v>-7.4477640234412723</v>
      </c>
      <c r="W248" s="2">
        <v>-9.5606241225180142</v>
      </c>
      <c r="X248" s="22" t="s">
        <v>17</v>
      </c>
      <c r="Y248" s="23"/>
      <c r="Z248" s="24" t="s">
        <v>17</v>
      </c>
      <c r="AA248" s="24" t="s">
        <v>17</v>
      </c>
      <c r="AB248" s="1" t="s">
        <v>17</v>
      </c>
      <c r="AC248" s="2" t="s">
        <v>17</v>
      </c>
      <c r="AD248" s="2" t="s">
        <v>17</v>
      </c>
      <c r="AE248" s="22" t="s">
        <v>17</v>
      </c>
      <c r="AF248" s="23"/>
      <c r="AG248" s="24" t="s">
        <v>17</v>
      </c>
      <c r="AH248" s="24" t="s">
        <v>17</v>
      </c>
      <c r="AI248" s="1" t="s">
        <v>17</v>
      </c>
      <c r="AJ248" s="2" t="s">
        <v>17</v>
      </c>
      <c r="AK248" s="2" t="s">
        <v>17</v>
      </c>
      <c r="AL248" s="3"/>
      <c r="AM248" s="2"/>
      <c r="AN248" s="24" t="s">
        <v>17</v>
      </c>
      <c r="AO248" s="24" t="s">
        <v>17</v>
      </c>
      <c r="AP248" s="1" t="s">
        <v>17</v>
      </c>
      <c r="AQ248" s="2" t="s">
        <v>17</v>
      </c>
      <c r="AR248" s="2" t="s">
        <v>17</v>
      </c>
      <c r="AS248" s="3"/>
      <c r="AT248" s="2"/>
      <c r="AU248" s="4"/>
      <c r="AV248" s="2"/>
      <c r="AW248" s="1" t="s">
        <v>17</v>
      </c>
      <c r="AX248" s="2" t="s">
        <v>17</v>
      </c>
      <c r="AY248" s="2" t="s">
        <v>17</v>
      </c>
      <c r="AZ248" s="5"/>
      <c r="BA248" s="6"/>
      <c r="BB248" s="4"/>
      <c r="BC248" s="6"/>
      <c r="BD248" s="6"/>
      <c r="BE248" s="6"/>
      <c r="BF248" s="7"/>
    </row>
    <row r="249" spans="1:58" ht="18" customHeight="1">
      <c r="A249" s="106" t="s">
        <v>15</v>
      </c>
      <c r="B249" s="93" t="s">
        <v>227</v>
      </c>
      <c r="C249" s="28">
        <v>341.26</v>
      </c>
      <c r="D249" s="28">
        <v>341.38</v>
      </c>
      <c r="E249" s="28">
        <v>341.32</v>
      </c>
      <c r="F249" s="28">
        <v>341.32</v>
      </c>
      <c r="G249" s="29">
        <v>11032.5111060453</v>
      </c>
      <c r="H249" s="29">
        <v>8590.7844088155198</v>
      </c>
      <c r="I249" s="27">
        <f t="shared" si="10"/>
        <v>1</v>
      </c>
      <c r="J249" s="27">
        <f t="shared" si="11"/>
        <v>1</v>
      </c>
      <c r="K249" s="27">
        <f t="shared" si="9"/>
        <v>1</v>
      </c>
      <c r="L249" s="25">
        <v>659.359557</v>
      </c>
      <c r="M249" s="25">
        <v>663.78010846505185</v>
      </c>
      <c r="N249" s="38">
        <v>0.51890951238831029</v>
      </c>
      <c r="O249" s="38">
        <v>-10.506417270821355</v>
      </c>
      <c r="P249" s="71">
        <v>-12.582055320374597</v>
      </c>
      <c r="Q249" s="53">
        <v>43398</v>
      </c>
      <c r="R249" s="23">
        <v>9</v>
      </c>
      <c r="S249" s="24">
        <v>659.359557</v>
      </c>
      <c r="T249" s="24">
        <v>663.78010846505185</v>
      </c>
      <c r="U249" s="1">
        <v>0.51890951238831029</v>
      </c>
      <c r="V249" s="2">
        <v>-10.506417270821355</v>
      </c>
      <c r="W249" s="2">
        <v>-12.582055320374597</v>
      </c>
      <c r="X249" s="22" t="s">
        <v>17</v>
      </c>
      <c r="Y249" s="23"/>
      <c r="Z249" s="24" t="s">
        <v>17</v>
      </c>
      <c r="AA249" s="24" t="s">
        <v>17</v>
      </c>
      <c r="AB249" s="1" t="s">
        <v>17</v>
      </c>
      <c r="AC249" s="2" t="s">
        <v>17</v>
      </c>
      <c r="AD249" s="2" t="s">
        <v>17</v>
      </c>
      <c r="AE249" s="22" t="s">
        <v>17</v>
      </c>
      <c r="AF249" s="23"/>
      <c r="AG249" s="24" t="s">
        <v>17</v>
      </c>
      <c r="AH249" s="24" t="s">
        <v>17</v>
      </c>
      <c r="AI249" s="1" t="s">
        <v>17</v>
      </c>
      <c r="AJ249" s="2" t="s">
        <v>17</v>
      </c>
      <c r="AK249" s="2" t="s">
        <v>17</v>
      </c>
      <c r="AL249" s="3"/>
      <c r="AM249" s="2"/>
      <c r="AN249" s="24" t="s">
        <v>17</v>
      </c>
      <c r="AO249" s="24" t="s">
        <v>17</v>
      </c>
      <c r="AP249" s="1" t="s">
        <v>17</v>
      </c>
      <c r="AQ249" s="2" t="s">
        <v>17</v>
      </c>
      <c r="AR249" s="2" t="s">
        <v>17</v>
      </c>
      <c r="AS249" s="3"/>
      <c r="AT249" s="2"/>
      <c r="AU249" s="4"/>
      <c r="AV249" s="2"/>
      <c r="AW249" s="1" t="s">
        <v>17</v>
      </c>
      <c r="AX249" s="2" t="s">
        <v>17</v>
      </c>
      <c r="AY249" s="2" t="s">
        <v>17</v>
      </c>
      <c r="AZ249" s="5"/>
      <c r="BA249" s="6"/>
      <c r="BB249" s="4"/>
      <c r="BC249" s="6"/>
      <c r="BD249" s="6"/>
      <c r="BE249" s="6"/>
      <c r="BF249" s="7"/>
    </row>
    <row r="250" spans="1:58" ht="18" customHeight="1">
      <c r="A250" s="106" t="s">
        <v>15</v>
      </c>
      <c r="B250" s="93" t="s">
        <v>228</v>
      </c>
      <c r="C250" s="28">
        <v>343.42</v>
      </c>
      <c r="D250" s="28">
        <v>343.54</v>
      </c>
      <c r="E250" s="28">
        <v>343.48</v>
      </c>
      <c r="F250" s="28">
        <v>343.48</v>
      </c>
      <c r="G250" s="29">
        <v>11112.6379551304</v>
      </c>
      <c r="H250" s="29">
        <v>8677.0351619651192</v>
      </c>
      <c r="I250" s="27">
        <f t="shared" si="10"/>
        <v>1</v>
      </c>
      <c r="J250" s="27">
        <f t="shared" si="11"/>
        <v>1</v>
      </c>
      <c r="K250" s="27">
        <f t="shared" si="9"/>
        <v>1</v>
      </c>
      <c r="L250" s="25">
        <v>658.18948</v>
      </c>
      <c r="M250" s="25">
        <v>662.63708138625452</v>
      </c>
      <c r="N250" s="38">
        <v>0.5230129071089884</v>
      </c>
      <c r="O250" s="38">
        <v>-8.1007175550744659</v>
      </c>
      <c r="P250" s="71">
        <v>-10.192769183510419</v>
      </c>
      <c r="Q250" s="53">
        <v>43221</v>
      </c>
      <c r="R250" s="23">
        <v>6</v>
      </c>
      <c r="S250" s="24">
        <v>658.18948</v>
      </c>
      <c r="T250" s="24">
        <v>662.63708138625452</v>
      </c>
      <c r="U250" s="1">
        <v>0.5230129071089884</v>
      </c>
      <c r="V250" s="2">
        <v>-8.1007175550744659</v>
      </c>
      <c r="W250" s="2">
        <v>-10.192769183510419</v>
      </c>
      <c r="X250" s="22" t="s">
        <v>17</v>
      </c>
      <c r="Y250" s="23"/>
      <c r="Z250" s="24" t="s">
        <v>17</v>
      </c>
      <c r="AA250" s="24" t="s">
        <v>17</v>
      </c>
      <c r="AB250" s="1" t="s">
        <v>17</v>
      </c>
      <c r="AC250" s="2" t="s">
        <v>17</v>
      </c>
      <c r="AD250" s="2" t="s">
        <v>17</v>
      </c>
      <c r="AE250" s="22" t="s">
        <v>17</v>
      </c>
      <c r="AF250" s="23"/>
      <c r="AG250" s="24" t="s">
        <v>17</v>
      </c>
      <c r="AH250" s="24" t="s">
        <v>17</v>
      </c>
      <c r="AI250" s="1" t="s">
        <v>17</v>
      </c>
      <c r="AJ250" s="2" t="s">
        <v>17</v>
      </c>
      <c r="AK250" s="2" t="s">
        <v>17</v>
      </c>
      <c r="AL250" s="3"/>
      <c r="AM250" s="2"/>
      <c r="AN250" s="24" t="s">
        <v>17</v>
      </c>
      <c r="AO250" s="24" t="s">
        <v>17</v>
      </c>
      <c r="AP250" s="1" t="s">
        <v>17</v>
      </c>
      <c r="AQ250" s="2" t="s">
        <v>17</v>
      </c>
      <c r="AR250" s="2" t="s">
        <v>17</v>
      </c>
      <c r="AS250" s="3"/>
      <c r="AT250" s="2"/>
      <c r="AU250" s="4"/>
      <c r="AV250" s="2"/>
      <c r="AW250" s="1" t="s">
        <v>17</v>
      </c>
      <c r="AX250" s="2" t="s">
        <v>17</v>
      </c>
      <c r="AY250" s="2" t="s">
        <v>17</v>
      </c>
      <c r="AZ250" s="5"/>
      <c r="BA250" s="6"/>
      <c r="BB250" s="4"/>
      <c r="BC250" s="6"/>
      <c r="BD250" s="6"/>
      <c r="BE250" s="6"/>
      <c r="BF250" s="7"/>
    </row>
    <row r="251" spans="1:58" ht="18" customHeight="1">
      <c r="A251" s="106" t="s">
        <v>15</v>
      </c>
      <c r="B251" s="93" t="s">
        <v>229</v>
      </c>
      <c r="C251" s="28">
        <v>344.42</v>
      </c>
      <c r="D251" s="28">
        <v>344.54</v>
      </c>
      <c r="E251" s="28">
        <v>344.48</v>
      </c>
      <c r="F251" s="28">
        <v>344.48</v>
      </c>
      <c r="G251" s="29">
        <v>11148.7147622435</v>
      </c>
      <c r="H251" s="29">
        <v>8718.3454970539206</v>
      </c>
      <c r="I251" s="27">
        <f t="shared" si="10"/>
        <v>1</v>
      </c>
      <c r="J251" s="27">
        <f t="shared" si="11"/>
        <v>1</v>
      </c>
      <c r="K251" s="27">
        <f t="shared" si="9"/>
        <v>1</v>
      </c>
      <c r="L251" s="25">
        <v>657.26534749999996</v>
      </c>
      <c r="M251" s="25">
        <v>661.98008461654524</v>
      </c>
      <c r="N251" s="38">
        <v>0.55520610491144318</v>
      </c>
      <c r="O251" s="38">
        <v>-8.162817915973509</v>
      </c>
      <c r="P251" s="71">
        <v>-10.383642335619282</v>
      </c>
      <c r="Q251" s="53">
        <v>42681</v>
      </c>
      <c r="R251" s="23">
        <v>11</v>
      </c>
      <c r="S251" s="24">
        <v>657.26534749999996</v>
      </c>
      <c r="T251" s="24">
        <v>661.98008461654524</v>
      </c>
      <c r="U251" s="1">
        <v>0.55520610491144318</v>
      </c>
      <c r="V251" s="2">
        <v>-8.162817915973509</v>
      </c>
      <c r="W251" s="2">
        <v>-10.383642335619282</v>
      </c>
      <c r="X251" s="22" t="s">
        <v>17</v>
      </c>
      <c r="Y251" s="23"/>
      <c r="Z251" s="24" t="s">
        <v>17</v>
      </c>
      <c r="AA251" s="24" t="s">
        <v>17</v>
      </c>
      <c r="AB251" s="1" t="s">
        <v>17</v>
      </c>
      <c r="AC251" s="2" t="s">
        <v>17</v>
      </c>
      <c r="AD251" s="2" t="s">
        <v>17</v>
      </c>
      <c r="AE251" s="22" t="s">
        <v>17</v>
      </c>
      <c r="AF251" s="23"/>
      <c r="AG251" s="24" t="s">
        <v>17</v>
      </c>
      <c r="AH251" s="24" t="s">
        <v>17</v>
      </c>
      <c r="AI251" s="1" t="s">
        <v>17</v>
      </c>
      <c r="AJ251" s="2" t="s">
        <v>17</v>
      </c>
      <c r="AK251" s="2" t="s">
        <v>17</v>
      </c>
      <c r="AL251" s="3"/>
      <c r="AM251" s="2"/>
      <c r="AN251" s="24" t="s">
        <v>17</v>
      </c>
      <c r="AO251" s="24" t="s">
        <v>17</v>
      </c>
      <c r="AP251" s="1" t="s">
        <v>17</v>
      </c>
      <c r="AQ251" s="2" t="s">
        <v>17</v>
      </c>
      <c r="AR251" s="2" t="s">
        <v>17</v>
      </c>
      <c r="AS251" s="3"/>
      <c r="AT251" s="2"/>
      <c r="AU251" s="4"/>
      <c r="AV251" s="2"/>
      <c r="AW251" s="1" t="s">
        <v>17</v>
      </c>
      <c r="AX251" s="2" t="s">
        <v>17</v>
      </c>
      <c r="AY251" s="2" t="s">
        <v>17</v>
      </c>
      <c r="AZ251" s="5"/>
      <c r="BA251" s="6"/>
      <c r="BB251" s="4"/>
      <c r="BC251" s="6"/>
      <c r="BD251" s="6"/>
      <c r="BE251" s="6"/>
      <c r="BF251" s="7"/>
    </row>
    <row r="252" spans="1:58" ht="18" customHeight="1">
      <c r="A252" s="106" t="s">
        <v>15</v>
      </c>
      <c r="B252" s="93" t="s">
        <v>230</v>
      </c>
      <c r="C252" s="28">
        <v>346.3</v>
      </c>
      <c r="D252" s="28">
        <v>346.42</v>
      </c>
      <c r="E252" s="28">
        <v>346.36</v>
      </c>
      <c r="F252" s="28">
        <v>346.36</v>
      </c>
      <c r="G252" s="29">
        <v>11215.829582758701</v>
      </c>
      <c r="H252" s="29">
        <v>8795.9677884513203</v>
      </c>
      <c r="I252" s="27">
        <f t="shared" si="10"/>
        <v>1</v>
      </c>
      <c r="J252" s="27">
        <f t="shared" si="11"/>
        <v>1</v>
      </c>
      <c r="K252" s="27">
        <f t="shared" si="9"/>
        <v>1</v>
      </c>
      <c r="L252" s="25">
        <v>662.86846300000002</v>
      </c>
      <c r="M252" s="25">
        <v>667.4076318485877</v>
      </c>
      <c r="N252" s="38">
        <v>0.53001293297283425</v>
      </c>
      <c r="O252" s="38">
        <v>-8.9571344060149762</v>
      </c>
      <c r="P252" s="71">
        <v>-11.077186137906313</v>
      </c>
      <c r="Q252" s="53">
        <v>43391</v>
      </c>
      <c r="R252" s="23">
        <v>9</v>
      </c>
      <c r="S252" s="24">
        <v>662.86846300000002</v>
      </c>
      <c r="T252" s="24">
        <v>667.4076318485877</v>
      </c>
      <c r="U252" s="1">
        <v>0.53001293297283425</v>
      </c>
      <c r="V252" s="2">
        <v>-8.9571344060149762</v>
      </c>
      <c r="W252" s="2">
        <v>-11.077186137906313</v>
      </c>
      <c r="X252" s="22" t="s">
        <v>17</v>
      </c>
      <c r="Y252" s="23"/>
      <c r="Z252" s="24" t="s">
        <v>17</v>
      </c>
      <c r="AA252" s="24" t="s">
        <v>17</v>
      </c>
      <c r="AB252" s="1" t="s">
        <v>17</v>
      </c>
      <c r="AC252" s="2" t="s">
        <v>17</v>
      </c>
      <c r="AD252" s="2" t="s">
        <v>17</v>
      </c>
      <c r="AE252" s="22" t="s">
        <v>17</v>
      </c>
      <c r="AF252" s="23"/>
      <c r="AG252" s="24" t="s">
        <v>17</v>
      </c>
      <c r="AH252" s="24" t="s">
        <v>17</v>
      </c>
      <c r="AI252" s="1" t="s">
        <v>17</v>
      </c>
      <c r="AJ252" s="2" t="s">
        <v>17</v>
      </c>
      <c r="AK252" s="2" t="s">
        <v>17</v>
      </c>
      <c r="AL252" s="3"/>
      <c r="AM252" s="2"/>
      <c r="AN252" s="24" t="s">
        <v>17</v>
      </c>
      <c r="AO252" s="24" t="s">
        <v>17</v>
      </c>
      <c r="AP252" s="1" t="s">
        <v>17</v>
      </c>
      <c r="AQ252" s="2" t="s">
        <v>17</v>
      </c>
      <c r="AR252" s="2" t="s">
        <v>17</v>
      </c>
      <c r="AS252" s="3"/>
      <c r="AT252" s="2"/>
      <c r="AU252" s="4"/>
      <c r="AV252" s="2"/>
      <c r="AW252" s="1" t="s">
        <v>17</v>
      </c>
      <c r="AX252" s="2" t="s">
        <v>17</v>
      </c>
      <c r="AY252" s="2" t="s">
        <v>17</v>
      </c>
      <c r="AZ252" s="5"/>
      <c r="BA252" s="6"/>
      <c r="BB252" s="4"/>
      <c r="BC252" s="6"/>
      <c r="BD252" s="6"/>
      <c r="BE252" s="6"/>
      <c r="BF252" s="7"/>
    </row>
    <row r="253" spans="1:58" ht="18" customHeight="1">
      <c r="A253" s="106" t="s">
        <v>15</v>
      </c>
      <c r="B253" s="93" t="s">
        <v>231</v>
      </c>
      <c r="C253" s="28">
        <v>347.3</v>
      </c>
      <c r="D253" s="28">
        <v>347.42</v>
      </c>
      <c r="E253" s="28">
        <v>347.36</v>
      </c>
      <c r="F253" s="28">
        <v>347.36</v>
      </c>
      <c r="G253" s="29">
        <v>11251.8981819698</v>
      </c>
      <c r="H253" s="29">
        <v>8837.2047787053598</v>
      </c>
      <c r="I253" s="27">
        <f t="shared" si="10"/>
        <v>1</v>
      </c>
      <c r="J253" s="27">
        <f t="shared" si="11"/>
        <v>1</v>
      </c>
      <c r="K253" s="27">
        <f t="shared" si="9"/>
        <v>1</v>
      </c>
      <c r="L253" s="25">
        <v>666.16184750000002</v>
      </c>
      <c r="M253" s="25">
        <v>670.65621278326796</v>
      </c>
      <c r="N253" s="38">
        <v>0.52218705010154132</v>
      </c>
      <c r="O253" s="38">
        <v>-7.2610248061829585</v>
      </c>
      <c r="P253" s="71">
        <v>-9.3497730065891247</v>
      </c>
      <c r="Q253" s="53">
        <v>42712</v>
      </c>
      <c r="R253" s="23">
        <v>13</v>
      </c>
      <c r="S253" s="24">
        <v>666.16184750000002</v>
      </c>
      <c r="T253" s="24">
        <v>670.65621278326796</v>
      </c>
      <c r="U253" s="1">
        <v>0.52218705010154132</v>
      </c>
      <c r="V253" s="2">
        <v>-7.2610248061829585</v>
      </c>
      <c r="W253" s="2">
        <v>-9.3497730065891247</v>
      </c>
      <c r="X253" s="22" t="s">
        <v>17</v>
      </c>
      <c r="Y253" s="23"/>
      <c r="Z253" s="24" t="s">
        <v>17</v>
      </c>
      <c r="AA253" s="24" t="s">
        <v>17</v>
      </c>
      <c r="AB253" s="1" t="s">
        <v>17</v>
      </c>
      <c r="AC253" s="2" t="s">
        <v>17</v>
      </c>
      <c r="AD253" s="2" t="s">
        <v>17</v>
      </c>
      <c r="AE253" s="22" t="s">
        <v>17</v>
      </c>
      <c r="AF253" s="23"/>
      <c r="AG253" s="24" t="s">
        <v>17</v>
      </c>
      <c r="AH253" s="24" t="s">
        <v>17</v>
      </c>
      <c r="AI253" s="1" t="s">
        <v>17</v>
      </c>
      <c r="AJ253" s="2" t="s">
        <v>17</v>
      </c>
      <c r="AK253" s="2" t="s">
        <v>17</v>
      </c>
      <c r="AL253" s="3"/>
      <c r="AM253" s="2"/>
      <c r="AN253" s="24" t="s">
        <v>17</v>
      </c>
      <c r="AO253" s="24" t="s">
        <v>17</v>
      </c>
      <c r="AP253" s="1" t="s">
        <v>17</v>
      </c>
      <c r="AQ253" s="2" t="s">
        <v>17</v>
      </c>
      <c r="AR253" s="2" t="s">
        <v>17</v>
      </c>
      <c r="AS253" s="3"/>
      <c r="AT253" s="2"/>
      <c r="AU253" s="4"/>
      <c r="AV253" s="2"/>
      <c r="AW253" s="1" t="s">
        <v>17</v>
      </c>
      <c r="AX253" s="2" t="s">
        <v>17</v>
      </c>
      <c r="AY253" s="2" t="s">
        <v>17</v>
      </c>
      <c r="AZ253" s="5"/>
      <c r="BA253" s="6"/>
      <c r="BB253" s="4"/>
      <c r="BC253" s="6"/>
      <c r="BD253" s="6"/>
      <c r="BE253" s="6"/>
      <c r="BF253" s="7"/>
    </row>
    <row r="254" spans="1:58" ht="18" customHeight="1">
      <c r="A254" s="106" t="s">
        <v>15</v>
      </c>
      <c r="B254" s="93" t="s">
        <v>232</v>
      </c>
      <c r="C254" s="28">
        <v>348.42</v>
      </c>
      <c r="D254" s="28">
        <v>348.54</v>
      </c>
      <c r="E254" s="28">
        <v>348.48</v>
      </c>
      <c r="F254" s="28">
        <v>348.48</v>
      </c>
      <c r="G254" s="29">
        <v>11292.9979624799</v>
      </c>
      <c r="H254" s="29">
        <v>8884.7369469866408</v>
      </c>
      <c r="I254" s="27">
        <f t="shared" si="10"/>
        <v>2</v>
      </c>
      <c r="J254" s="27">
        <f t="shared" si="11"/>
        <v>1</v>
      </c>
      <c r="K254" s="27">
        <f t="shared" si="9"/>
        <v>1</v>
      </c>
      <c r="L254" s="25">
        <v>662.387742</v>
      </c>
      <c r="M254" s="25">
        <v>666.89977736181822</v>
      </c>
      <c r="N254" s="38">
        <v>0.52326174695882521</v>
      </c>
      <c r="O254" s="38">
        <v>-8.3406025208329062</v>
      </c>
      <c r="P254" s="71">
        <v>-10.433649508668207</v>
      </c>
      <c r="Q254" s="53">
        <v>42740</v>
      </c>
      <c r="R254" s="23">
        <v>13</v>
      </c>
      <c r="S254" s="24">
        <v>660.41594899999996</v>
      </c>
      <c r="T254" s="24">
        <v>664.88071860925618</v>
      </c>
      <c r="U254" s="1">
        <v>0.52326174695882521</v>
      </c>
      <c r="V254" s="2">
        <v>-8.3406025208329062</v>
      </c>
      <c r="W254" s="2">
        <v>-10.433649508668207</v>
      </c>
      <c r="X254" s="22">
        <v>43655</v>
      </c>
      <c r="Y254" s="23" t="s">
        <v>88</v>
      </c>
      <c r="Z254" s="24">
        <v>664.35953500000005</v>
      </c>
      <c r="AA254" s="24">
        <v>668.91883611438038</v>
      </c>
      <c r="AB254" s="1"/>
      <c r="AC254" s="2"/>
      <c r="AD254" s="2"/>
      <c r="AE254" s="22" t="s">
        <v>17</v>
      </c>
      <c r="AF254" s="23"/>
      <c r="AG254" s="24" t="s">
        <v>17</v>
      </c>
      <c r="AH254" s="24" t="s">
        <v>17</v>
      </c>
      <c r="AI254" s="1" t="s">
        <v>17</v>
      </c>
      <c r="AJ254" s="2" t="s">
        <v>17</v>
      </c>
      <c r="AK254" s="2" t="s">
        <v>17</v>
      </c>
      <c r="AL254" s="3"/>
      <c r="AM254" s="2"/>
      <c r="AN254" s="24" t="s">
        <v>17</v>
      </c>
      <c r="AO254" s="24" t="s">
        <v>17</v>
      </c>
      <c r="AP254" s="1" t="s">
        <v>17</v>
      </c>
      <c r="AQ254" s="2" t="s">
        <v>17</v>
      </c>
      <c r="AR254" s="2" t="s">
        <v>17</v>
      </c>
      <c r="AS254" s="3"/>
      <c r="AT254" s="2"/>
      <c r="AU254" s="4"/>
      <c r="AV254" s="2"/>
      <c r="AW254" s="1" t="s">
        <v>17</v>
      </c>
      <c r="AX254" s="2" t="s">
        <v>17</v>
      </c>
      <c r="AY254" s="2" t="s">
        <v>17</v>
      </c>
      <c r="AZ254" s="5"/>
      <c r="BA254" s="6"/>
      <c r="BB254" s="4"/>
      <c r="BC254" s="6"/>
      <c r="BD254" s="6"/>
      <c r="BE254" s="6"/>
      <c r="BF254" s="7"/>
    </row>
    <row r="255" spans="1:58" ht="18" customHeight="1">
      <c r="A255" s="106" t="s">
        <v>15</v>
      </c>
      <c r="B255" s="93" t="s">
        <v>233</v>
      </c>
      <c r="C255" s="28">
        <v>349.92</v>
      </c>
      <c r="D255" s="28">
        <v>350.04</v>
      </c>
      <c r="E255" s="28">
        <v>349.98</v>
      </c>
      <c r="F255" s="28">
        <v>349.98</v>
      </c>
      <c r="G255" s="29">
        <v>11348.063970277</v>
      </c>
      <c r="H255" s="29">
        <v>8949.8755933163393</v>
      </c>
      <c r="I255" s="27">
        <f t="shared" si="10"/>
        <v>2</v>
      </c>
      <c r="J255" s="27">
        <f t="shared" si="11"/>
        <v>2</v>
      </c>
      <c r="K255" s="27">
        <f t="shared" si="9"/>
        <v>0</v>
      </c>
      <c r="L255" s="25">
        <v>662.1323155</v>
      </c>
      <c r="M255" s="25">
        <v>666.61247531670688</v>
      </c>
      <c r="N255" s="38">
        <v>0.52370451172223387</v>
      </c>
      <c r="O255" s="38"/>
      <c r="P255" s="71"/>
      <c r="Q255" s="53">
        <v>42611</v>
      </c>
      <c r="R255" s="23">
        <v>3</v>
      </c>
      <c r="S255" s="24">
        <v>662.15692949999993</v>
      </c>
      <c r="T255" s="24">
        <v>666.60762179337257</v>
      </c>
      <c r="U255" s="20">
        <v>0.52024046311882621</v>
      </c>
      <c r="V255" s="20"/>
      <c r="W255" s="20"/>
      <c r="X255" s="22">
        <v>42611</v>
      </c>
      <c r="Y255" s="23">
        <v>3</v>
      </c>
      <c r="Z255" s="24">
        <v>662.10770150000008</v>
      </c>
      <c r="AA255" s="24">
        <v>666.61732884004118</v>
      </c>
      <c r="AB255" s="20">
        <v>0.52716856032564152</v>
      </c>
      <c r="AC255" s="20"/>
      <c r="AD255" s="20"/>
      <c r="AE255" s="22" t="s">
        <v>17</v>
      </c>
      <c r="AF255" s="23"/>
      <c r="AG255" s="24" t="s">
        <v>17</v>
      </c>
      <c r="AH255" s="24" t="s">
        <v>17</v>
      </c>
      <c r="AI255" s="20" t="s">
        <v>17</v>
      </c>
      <c r="AJ255" s="20" t="s">
        <v>17</v>
      </c>
      <c r="AK255" s="20" t="s">
        <v>17</v>
      </c>
      <c r="AL255" s="21"/>
      <c r="AM255" s="20"/>
      <c r="AN255" s="24" t="s">
        <v>17</v>
      </c>
      <c r="AO255" s="24" t="s">
        <v>17</v>
      </c>
      <c r="AP255" s="20" t="s">
        <v>17</v>
      </c>
      <c r="AQ255" s="20" t="s">
        <v>17</v>
      </c>
      <c r="AR255" s="20" t="s">
        <v>17</v>
      </c>
      <c r="AS255" s="21"/>
      <c r="AT255" s="20"/>
      <c r="AU255" s="4"/>
      <c r="AV255" s="20"/>
      <c r="AW255" s="20" t="s">
        <v>17</v>
      </c>
      <c r="AX255" s="20" t="s">
        <v>17</v>
      </c>
      <c r="AY255" s="20" t="s">
        <v>17</v>
      </c>
      <c r="AZ255" s="5"/>
      <c r="BA255" s="6"/>
      <c r="BB255" s="4"/>
      <c r="BC255" s="6"/>
      <c r="BD255" s="6"/>
      <c r="BE255" s="6"/>
      <c r="BF255" s="7"/>
    </row>
    <row r="256" spans="1:58" ht="18" customHeight="1">
      <c r="A256" s="106" t="s">
        <v>15</v>
      </c>
      <c r="B256" s="93" t="s">
        <v>234</v>
      </c>
      <c r="C256" s="28">
        <v>351.42</v>
      </c>
      <c r="D256" s="28">
        <v>351.54</v>
      </c>
      <c r="E256" s="28">
        <v>351.48</v>
      </c>
      <c r="F256" s="28">
        <v>351.48</v>
      </c>
      <c r="G256" s="29">
        <v>11401.668135035199</v>
      </c>
      <c r="H256" s="29">
        <v>9008.9911984750797</v>
      </c>
      <c r="I256" s="27">
        <f t="shared" si="10"/>
        <v>1</v>
      </c>
      <c r="J256" s="27">
        <f t="shared" si="11"/>
        <v>1</v>
      </c>
      <c r="K256" s="27">
        <f t="shared" si="9"/>
        <v>1</v>
      </c>
      <c r="L256" s="25">
        <v>664.33209950000003</v>
      </c>
      <c r="M256" s="25">
        <v>668.79529834780726</v>
      </c>
      <c r="N256" s="38">
        <v>0.51999418286374777</v>
      </c>
      <c r="O256" s="38">
        <v>-8.7424062269495515</v>
      </c>
      <c r="P256" s="71">
        <v>-10.822382958404543</v>
      </c>
      <c r="Q256" s="53">
        <v>42730</v>
      </c>
      <c r="R256" s="23">
        <v>13</v>
      </c>
      <c r="S256" s="24">
        <v>664.33209950000003</v>
      </c>
      <c r="T256" s="24">
        <v>668.79529834780726</v>
      </c>
      <c r="U256" s="20">
        <v>0.51999418286374777</v>
      </c>
      <c r="V256" s="20">
        <v>-8.7424062269495515</v>
      </c>
      <c r="W256" s="20">
        <v>-10.822382958404543</v>
      </c>
      <c r="X256" s="22" t="s">
        <v>17</v>
      </c>
      <c r="Y256" s="23"/>
      <c r="Z256" s="24" t="s">
        <v>17</v>
      </c>
      <c r="AA256" s="24" t="s">
        <v>17</v>
      </c>
      <c r="AB256" s="20" t="s">
        <v>17</v>
      </c>
      <c r="AC256" s="20" t="s">
        <v>17</v>
      </c>
      <c r="AD256" s="20" t="s">
        <v>17</v>
      </c>
      <c r="AE256" s="22" t="s">
        <v>17</v>
      </c>
      <c r="AF256" s="23"/>
      <c r="AG256" s="24" t="s">
        <v>17</v>
      </c>
      <c r="AH256" s="24" t="s">
        <v>17</v>
      </c>
      <c r="AI256" s="20" t="s">
        <v>17</v>
      </c>
      <c r="AJ256" s="20" t="s">
        <v>17</v>
      </c>
      <c r="AK256" s="20" t="s">
        <v>17</v>
      </c>
      <c r="AL256" s="21"/>
      <c r="AM256" s="20"/>
      <c r="AN256" s="24" t="s">
        <v>17</v>
      </c>
      <c r="AO256" s="24" t="s">
        <v>17</v>
      </c>
      <c r="AP256" s="20" t="s">
        <v>17</v>
      </c>
      <c r="AQ256" s="20" t="s">
        <v>17</v>
      </c>
      <c r="AR256" s="20" t="s">
        <v>17</v>
      </c>
      <c r="AS256" s="21"/>
      <c r="AT256" s="20"/>
      <c r="AU256" s="4"/>
      <c r="AV256" s="20"/>
      <c r="AW256" s="20" t="s">
        <v>17</v>
      </c>
      <c r="AX256" s="20" t="s">
        <v>17</v>
      </c>
      <c r="AY256" s="20" t="s">
        <v>17</v>
      </c>
      <c r="AZ256" s="5"/>
      <c r="BA256" s="6"/>
      <c r="BB256" s="4"/>
      <c r="BC256" s="6"/>
      <c r="BD256" s="6"/>
      <c r="BE256" s="6"/>
      <c r="BF256" s="7"/>
    </row>
    <row r="257" spans="1:58" ht="18" customHeight="1">
      <c r="A257" s="106" t="s">
        <v>15</v>
      </c>
      <c r="B257" s="93" t="s">
        <v>235</v>
      </c>
      <c r="C257" s="28">
        <v>352.42</v>
      </c>
      <c r="D257" s="28">
        <v>352.54</v>
      </c>
      <c r="E257" s="28">
        <v>352.48</v>
      </c>
      <c r="F257" s="28">
        <v>352.48</v>
      </c>
      <c r="G257" s="29">
        <v>11436.360497007299</v>
      </c>
      <c r="H257" s="29">
        <v>9047.0319927958008</v>
      </c>
      <c r="I257" s="27">
        <f t="shared" si="10"/>
        <v>1</v>
      </c>
      <c r="J257" s="27">
        <f t="shared" si="11"/>
        <v>1</v>
      </c>
      <c r="K257" s="27">
        <f t="shared" si="9"/>
        <v>1</v>
      </c>
      <c r="L257" s="25">
        <v>664.22430050000003</v>
      </c>
      <c r="M257" s="25">
        <v>668.64482826299172</v>
      </c>
      <c r="N257" s="38">
        <v>0.51510628477324794</v>
      </c>
      <c r="O257" s="38">
        <v>-6.957865503099403</v>
      </c>
      <c r="P257" s="71">
        <v>-9.0182906421923938</v>
      </c>
      <c r="Q257" s="53">
        <v>43228</v>
      </c>
      <c r="R257" s="23">
        <v>6</v>
      </c>
      <c r="S257" s="24">
        <v>664.22430050000003</v>
      </c>
      <c r="T257" s="24">
        <v>668.64482826299172</v>
      </c>
      <c r="U257" s="20">
        <v>0.51510628477324794</v>
      </c>
      <c r="V257" s="20">
        <v>-6.957865503099403</v>
      </c>
      <c r="W257" s="20">
        <v>-9.0182906421923938</v>
      </c>
      <c r="X257" s="22" t="s">
        <v>17</v>
      </c>
      <c r="Y257" s="23"/>
      <c r="Z257" s="24" t="s">
        <v>17</v>
      </c>
      <c r="AA257" s="24" t="s">
        <v>17</v>
      </c>
      <c r="AB257" s="20" t="s">
        <v>17</v>
      </c>
      <c r="AC257" s="20" t="s">
        <v>17</v>
      </c>
      <c r="AD257" s="20" t="s">
        <v>17</v>
      </c>
      <c r="AE257" s="22" t="s">
        <v>17</v>
      </c>
      <c r="AF257" s="23"/>
      <c r="AG257" s="24" t="s">
        <v>17</v>
      </c>
      <c r="AH257" s="24" t="s">
        <v>17</v>
      </c>
      <c r="AI257" s="20" t="s">
        <v>17</v>
      </c>
      <c r="AJ257" s="20" t="s">
        <v>17</v>
      </c>
      <c r="AK257" s="20" t="s">
        <v>17</v>
      </c>
      <c r="AL257" s="21"/>
      <c r="AM257" s="20"/>
      <c r="AN257" s="24" t="s">
        <v>17</v>
      </c>
      <c r="AO257" s="24" t="s">
        <v>17</v>
      </c>
      <c r="AP257" s="20" t="s">
        <v>17</v>
      </c>
      <c r="AQ257" s="20" t="s">
        <v>17</v>
      </c>
      <c r="AR257" s="20" t="s">
        <v>17</v>
      </c>
      <c r="AS257" s="21"/>
      <c r="AT257" s="20"/>
      <c r="AU257" s="4"/>
      <c r="AV257" s="20"/>
      <c r="AW257" s="20" t="s">
        <v>17</v>
      </c>
      <c r="AX257" s="20" t="s">
        <v>17</v>
      </c>
      <c r="AY257" s="20" t="s">
        <v>17</v>
      </c>
      <c r="AZ257" s="5"/>
      <c r="BA257" s="6"/>
      <c r="BB257" s="4"/>
      <c r="BC257" s="6"/>
      <c r="BD257" s="6"/>
      <c r="BE257" s="6"/>
      <c r="BF257" s="7"/>
    </row>
    <row r="258" spans="1:58" ht="18" customHeight="1">
      <c r="A258" s="106" t="s">
        <v>15</v>
      </c>
      <c r="B258" s="93" t="s">
        <v>236</v>
      </c>
      <c r="C258" s="28">
        <v>353.92</v>
      </c>
      <c r="D258" s="28">
        <v>354.04</v>
      </c>
      <c r="E258" s="28">
        <v>353.98</v>
      </c>
      <c r="F258" s="28">
        <v>353.98</v>
      </c>
      <c r="G258" s="29">
        <v>11490.4091239232</v>
      </c>
      <c r="H258" s="29">
        <v>9097.7588979825396</v>
      </c>
      <c r="I258" s="27">
        <f t="shared" si="10"/>
        <v>1</v>
      </c>
      <c r="J258" s="27">
        <f t="shared" si="11"/>
        <v>1</v>
      </c>
      <c r="K258" s="27">
        <f t="shared" si="9"/>
        <v>1</v>
      </c>
      <c r="L258" s="25">
        <v>661.59531650000008</v>
      </c>
      <c r="M258" s="25">
        <v>666.04287976975127</v>
      </c>
      <c r="N258" s="38">
        <v>0.5203160218707481</v>
      </c>
      <c r="O258" s="38">
        <v>-10.600595557611058</v>
      </c>
      <c r="P258" s="71">
        <v>-12.68185964509405</v>
      </c>
      <c r="Q258" s="53">
        <v>42688</v>
      </c>
      <c r="R258" s="23">
        <v>11</v>
      </c>
      <c r="S258" s="24">
        <v>661.59531650000008</v>
      </c>
      <c r="T258" s="24">
        <v>666.04287976975127</v>
      </c>
      <c r="U258" s="20">
        <v>0.5203160218707481</v>
      </c>
      <c r="V258" s="20">
        <v>-10.600595557611058</v>
      </c>
      <c r="W258" s="20">
        <v>-12.68185964509405</v>
      </c>
      <c r="X258" s="22" t="s">
        <v>17</v>
      </c>
      <c r="Y258" s="23"/>
      <c r="Z258" s="24" t="s">
        <v>17</v>
      </c>
      <c r="AA258" s="24" t="s">
        <v>17</v>
      </c>
      <c r="AB258" s="20" t="s">
        <v>17</v>
      </c>
      <c r="AC258" s="20" t="s">
        <v>17</v>
      </c>
      <c r="AD258" s="20" t="s">
        <v>17</v>
      </c>
      <c r="AE258" s="22" t="s">
        <v>17</v>
      </c>
      <c r="AF258" s="23"/>
      <c r="AG258" s="24" t="s">
        <v>17</v>
      </c>
      <c r="AH258" s="24" t="s">
        <v>17</v>
      </c>
      <c r="AI258" s="20" t="s">
        <v>17</v>
      </c>
      <c r="AJ258" s="20" t="s">
        <v>17</v>
      </c>
      <c r="AK258" s="20" t="s">
        <v>17</v>
      </c>
      <c r="AL258" s="21"/>
      <c r="AM258" s="20"/>
      <c r="AN258" s="24" t="s">
        <v>17</v>
      </c>
      <c r="AO258" s="24" t="s">
        <v>17</v>
      </c>
      <c r="AP258" s="20" t="s">
        <v>17</v>
      </c>
      <c r="AQ258" s="20" t="s">
        <v>17</v>
      </c>
      <c r="AR258" s="20" t="s">
        <v>17</v>
      </c>
      <c r="AS258" s="21"/>
      <c r="AT258" s="20"/>
      <c r="AU258" s="4"/>
      <c r="AV258" s="20"/>
      <c r="AW258" s="20" t="s">
        <v>17</v>
      </c>
      <c r="AX258" s="20" t="s">
        <v>17</v>
      </c>
      <c r="AY258" s="20" t="s">
        <v>17</v>
      </c>
      <c r="AZ258" s="5"/>
      <c r="BA258" s="6"/>
      <c r="BB258" s="4"/>
      <c r="BC258" s="6"/>
      <c r="BD258" s="6"/>
      <c r="BE258" s="6"/>
      <c r="BF258" s="7"/>
    </row>
    <row r="259" spans="1:58" ht="18" customHeight="1">
      <c r="A259" s="106" t="s">
        <v>15</v>
      </c>
      <c r="B259" s="93" t="s">
        <v>237</v>
      </c>
      <c r="C259" s="28">
        <v>355.79</v>
      </c>
      <c r="D259" s="28">
        <v>355.91</v>
      </c>
      <c r="E259" s="28">
        <v>355.85</v>
      </c>
      <c r="F259" s="28">
        <v>355.85</v>
      </c>
      <c r="G259" s="29">
        <v>11556.034919870601</v>
      </c>
      <c r="H259" s="29">
        <v>9158.48251240645</v>
      </c>
      <c r="I259" s="27">
        <f t="shared" si="10"/>
        <v>1</v>
      </c>
      <c r="J259" s="27">
        <f t="shared" si="11"/>
        <v>1</v>
      </c>
      <c r="K259" s="27">
        <f t="shared" si="9"/>
        <v>1</v>
      </c>
      <c r="L259" s="25">
        <v>656.19199549999996</v>
      </c>
      <c r="M259" s="25">
        <v>660.71554055447075</v>
      </c>
      <c r="N259" s="38">
        <v>0.53356272045435027</v>
      </c>
      <c r="O259" s="38">
        <v>-8.1991079979106818</v>
      </c>
      <c r="P259" s="71">
        <v>-10.333358879728083</v>
      </c>
      <c r="Q259" s="53">
        <v>42698</v>
      </c>
      <c r="R259" s="23">
        <v>11</v>
      </c>
      <c r="S259" s="24">
        <v>656.19199549999996</v>
      </c>
      <c r="T259" s="24">
        <v>660.71554055447075</v>
      </c>
      <c r="U259" s="20">
        <v>0.53356272045435027</v>
      </c>
      <c r="V259" s="20">
        <v>-8.1991079979106818</v>
      </c>
      <c r="W259" s="20">
        <v>-10.333358879728083</v>
      </c>
      <c r="X259" s="22" t="s">
        <v>17</v>
      </c>
      <c r="Y259" s="23"/>
      <c r="Z259" s="24" t="s">
        <v>17</v>
      </c>
      <c r="AA259" s="24" t="s">
        <v>17</v>
      </c>
      <c r="AB259" s="20" t="s">
        <v>17</v>
      </c>
      <c r="AC259" s="20" t="s">
        <v>17</v>
      </c>
      <c r="AD259" s="20" t="s">
        <v>17</v>
      </c>
      <c r="AE259" s="22" t="s">
        <v>17</v>
      </c>
      <c r="AF259" s="23"/>
      <c r="AG259" s="24" t="s">
        <v>17</v>
      </c>
      <c r="AH259" s="24" t="s">
        <v>17</v>
      </c>
      <c r="AI259" s="20" t="s">
        <v>17</v>
      </c>
      <c r="AJ259" s="20" t="s">
        <v>17</v>
      </c>
      <c r="AK259" s="20" t="s">
        <v>17</v>
      </c>
      <c r="AL259" s="21"/>
      <c r="AM259" s="20"/>
      <c r="AN259" s="24" t="s">
        <v>17</v>
      </c>
      <c r="AO259" s="24" t="s">
        <v>17</v>
      </c>
      <c r="AP259" s="20" t="s">
        <v>17</v>
      </c>
      <c r="AQ259" s="20" t="s">
        <v>17</v>
      </c>
      <c r="AR259" s="20" t="s">
        <v>17</v>
      </c>
      <c r="AS259" s="21"/>
      <c r="AT259" s="20"/>
      <c r="AU259" s="4"/>
      <c r="AV259" s="20"/>
      <c r="AW259" s="20" t="s">
        <v>17</v>
      </c>
      <c r="AX259" s="20" t="s">
        <v>17</v>
      </c>
      <c r="AY259" s="20" t="s">
        <v>17</v>
      </c>
      <c r="AZ259" s="5"/>
      <c r="BA259" s="6"/>
      <c r="BB259" s="4"/>
      <c r="BC259" s="6"/>
      <c r="BD259" s="6"/>
      <c r="BE259" s="6"/>
      <c r="BF259" s="7"/>
    </row>
    <row r="260" spans="1:58" ht="18" customHeight="1">
      <c r="A260" s="106" t="s">
        <v>15</v>
      </c>
      <c r="B260" s="93" t="s">
        <v>238</v>
      </c>
      <c r="C260" s="28">
        <v>356.79</v>
      </c>
      <c r="D260" s="28">
        <v>356.91</v>
      </c>
      <c r="E260" s="28">
        <v>356.85</v>
      </c>
      <c r="F260" s="28">
        <v>356.85</v>
      </c>
      <c r="G260" s="29">
        <v>11590.988506538401</v>
      </c>
      <c r="H260" s="29">
        <v>9197.3753664317992</v>
      </c>
      <c r="I260" s="27">
        <f t="shared" si="10"/>
        <v>1</v>
      </c>
      <c r="J260" s="27">
        <f t="shared" si="11"/>
        <v>1</v>
      </c>
      <c r="K260" s="27">
        <f t="shared" si="9"/>
        <v>1</v>
      </c>
      <c r="L260" s="25">
        <v>657.56889000000001</v>
      </c>
      <c r="M260" s="25">
        <v>662.06780920991946</v>
      </c>
      <c r="N260" s="38">
        <v>0.52954689072848282</v>
      </c>
      <c r="O260" s="38">
        <v>-3.2696667507162713</v>
      </c>
      <c r="P260" s="71">
        <v>-5.3878543136302026</v>
      </c>
      <c r="Q260" s="53">
        <v>42724</v>
      </c>
      <c r="R260" s="23">
        <v>13</v>
      </c>
      <c r="S260" s="24">
        <v>657.56889000000001</v>
      </c>
      <c r="T260" s="24">
        <v>662.06780920991946</v>
      </c>
      <c r="U260" s="20">
        <v>0.52954689072848282</v>
      </c>
      <c r="V260" s="20">
        <v>-3.2696667507162713</v>
      </c>
      <c r="W260" s="20">
        <v>-5.3878543136302026</v>
      </c>
      <c r="X260" s="22" t="s">
        <v>17</v>
      </c>
      <c r="Y260" s="23"/>
      <c r="Z260" s="24" t="s">
        <v>17</v>
      </c>
      <c r="AA260" s="24" t="s">
        <v>17</v>
      </c>
      <c r="AB260" s="20" t="s">
        <v>17</v>
      </c>
      <c r="AC260" s="20" t="s">
        <v>17</v>
      </c>
      <c r="AD260" s="20" t="s">
        <v>17</v>
      </c>
      <c r="AE260" s="22" t="s">
        <v>17</v>
      </c>
      <c r="AF260" s="23"/>
      <c r="AG260" s="24" t="s">
        <v>17</v>
      </c>
      <c r="AH260" s="24" t="s">
        <v>17</v>
      </c>
      <c r="AI260" s="20" t="s">
        <v>17</v>
      </c>
      <c r="AJ260" s="20" t="s">
        <v>17</v>
      </c>
      <c r="AK260" s="20" t="s">
        <v>17</v>
      </c>
      <c r="AL260" s="21"/>
      <c r="AM260" s="20"/>
      <c r="AN260" s="24" t="s">
        <v>17</v>
      </c>
      <c r="AO260" s="24" t="s">
        <v>17</v>
      </c>
      <c r="AP260" s="20" t="s">
        <v>17</v>
      </c>
      <c r="AQ260" s="20" t="s">
        <v>17</v>
      </c>
      <c r="AR260" s="20" t="s">
        <v>17</v>
      </c>
      <c r="AS260" s="21"/>
      <c r="AT260" s="20"/>
      <c r="AU260" s="4"/>
      <c r="AV260" s="20"/>
      <c r="AW260" s="20" t="s">
        <v>17</v>
      </c>
      <c r="AX260" s="20" t="s">
        <v>17</v>
      </c>
      <c r="AY260" s="20" t="s">
        <v>17</v>
      </c>
      <c r="AZ260" s="5"/>
      <c r="BA260" s="6"/>
      <c r="BB260" s="4"/>
      <c r="BC260" s="6"/>
      <c r="BD260" s="6"/>
      <c r="BE260" s="6"/>
      <c r="BF260" s="7"/>
    </row>
    <row r="261" spans="1:58" ht="18" customHeight="1">
      <c r="A261" s="106" t="s">
        <v>15</v>
      </c>
      <c r="B261" s="93" t="s">
        <v>239</v>
      </c>
      <c r="C261" s="28">
        <v>357.93</v>
      </c>
      <c r="D261" s="28">
        <v>358.05</v>
      </c>
      <c r="E261" s="28">
        <v>357.99</v>
      </c>
      <c r="F261" s="28">
        <v>357.99</v>
      </c>
      <c r="G261" s="29">
        <v>11631.9784916889</v>
      </c>
      <c r="H261" s="29">
        <v>9242.2512426164703</v>
      </c>
      <c r="I261" s="27">
        <f t="shared" si="10"/>
        <v>2</v>
      </c>
      <c r="J261" s="27">
        <f t="shared" si="11"/>
        <v>2</v>
      </c>
      <c r="K261" s="27">
        <f t="shared" si="9"/>
        <v>2</v>
      </c>
      <c r="L261" s="25">
        <v>657.38891549999994</v>
      </c>
      <c r="M261" s="25">
        <v>661.96750237297306</v>
      </c>
      <c r="N261" s="38">
        <v>0.53907119046814334</v>
      </c>
      <c r="O261" s="38">
        <v>-5.7933357780618477</v>
      </c>
      <c r="P261" s="71">
        <v>-7.9496205399344211</v>
      </c>
      <c r="Q261" s="53">
        <v>42675</v>
      </c>
      <c r="R261" s="23">
        <v>10</v>
      </c>
      <c r="S261" s="24">
        <v>657.29608699999994</v>
      </c>
      <c r="T261" s="24">
        <v>661.84075464873729</v>
      </c>
      <c r="U261" s="20">
        <v>0.53515374415513683</v>
      </c>
      <c r="V261" s="20">
        <v>-5.6092910375937777</v>
      </c>
      <c r="W261" s="20">
        <v>-7.749906014214325</v>
      </c>
      <c r="X261" s="22">
        <v>42675</v>
      </c>
      <c r="Y261" s="23">
        <v>10</v>
      </c>
      <c r="Z261" s="24">
        <v>657.48174399999994</v>
      </c>
      <c r="AA261" s="24">
        <v>662.09425009720894</v>
      </c>
      <c r="AB261" s="20">
        <v>0.54298863678114984</v>
      </c>
      <c r="AC261" s="20">
        <v>-5.9773805185299178</v>
      </c>
      <c r="AD261" s="20">
        <v>-8.1493350656545172</v>
      </c>
      <c r="AE261" s="22" t="s">
        <v>17</v>
      </c>
      <c r="AF261" s="23"/>
      <c r="AG261" s="24" t="s">
        <v>17</v>
      </c>
      <c r="AH261" s="24" t="s">
        <v>17</v>
      </c>
      <c r="AI261" s="20" t="s">
        <v>17</v>
      </c>
      <c r="AJ261" s="20" t="s">
        <v>17</v>
      </c>
      <c r="AK261" s="20" t="s">
        <v>17</v>
      </c>
      <c r="AL261" s="21"/>
      <c r="AM261" s="20"/>
      <c r="AN261" s="24" t="s">
        <v>17</v>
      </c>
      <c r="AO261" s="24" t="s">
        <v>17</v>
      </c>
      <c r="AP261" s="20" t="s">
        <v>17</v>
      </c>
      <c r="AQ261" s="20" t="s">
        <v>17</v>
      </c>
      <c r="AR261" s="20" t="s">
        <v>17</v>
      </c>
      <c r="AS261" s="21"/>
      <c r="AT261" s="20"/>
      <c r="AU261" s="4"/>
      <c r="AV261" s="20"/>
      <c r="AW261" s="20" t="s">
        <v>17</v>
      </c>
      <c r="AX261" s="20" t="s">
        <v>17</v>
      </c>
      <c r="AY261" s="20" t="s">
        <v>17</v>
      </c>
      <c r="AZ261" s="5"/>
      <c r="BA261" s="6"/>
      <c r="BB261" s="4"/>
      <c r="BC261" s="6"/>
      <c r="BD261" s="6"/>
      <c r="BE261" s="6"/>
      <c r="BF261" s="7"/>
    </row>
    <row r="262" spans="1:58" ht="18" customHeight="1">
      <c r="A262" s="106" t="s">
        <v>15</v>
      </c>
      <c r="B262" s="93" t="s">
        <v>240</v>
      </c>
      <c r="C262" s="28">
        <v>359.41</v>
      </c>
      <c r="D262" s="28">
        <v>359.53</v>
      </c>
      <c r="E262" s="28">
        <v>359.47</v>
      </c>
      <c r="F262" s="28">
        <v>359.47</v>
      </c>
      <c r="G262" s="29">
        <v>11686.2194135013</v>
      </c>
      <c r="H262" s="29">
        <v>9293.8029499298791</v>
      </c>
      <c r="I262" s="27">
        <f t="shared" si="10"/>
        <v>2</v>
      </c>
      <c r="J262" s="27">
        <f t="shared" si="11"/>
        <v>2</v>
      </c>
      <c r="K262" s="27">
        <f t="shared" si="9"/>
        <v>1</v>
      </c>
      <c r="L262" s="25">
        <v>667.54847575000008</v>
      </c>
      <c r="M262" s="25">
        <v>672.13769710663883</v>
      </c>
      <c r="N262" s="38">
        <v>0.53209967363865296</v>
      </c>
      <c r="O262" s="38">
        <v>-6.3472724686959303</v>
      </c>
      <c r="P262" s="71">
        <v>-8.474812467918813</v>
      </c>
      <c r="Q262" s="53">
        <v>43475</v>
      </c>
      <c r="R262" s="23">
        <v>12</v>
      </c>
      <c r="S262" s="24">
        <v>664.91519649999998</v>
      </c>
      <c r="T262" s="24">
        <v>669.48446327556303</v>
      </c>
      <c r="U262" s="1">
        <v>0.53188499980572068</v>
      </c>
      <c r="V262" s="2">
        <v>-6.3472724686959303</v>
      </c>
      <c r="W262" s="2">
        <v>-8.474812467918813</v>
      </c>
      <c r="X262" s="22">
        <v>44070</v>
      </c>
      <c r="Y262" s="23" t="s">
        <v>88</v>
      </c>
      <c r="Z262" s="24">
        <v>670.18175500000007</v>
      </c>
      <c r="AA262" s="24">
        <v>674.79093093771451</v>
      </c>
      <c r="AB262" s="1">
        <v>0.53231434747158524</v>
      </c>
      <c r="AC262" s="2"/>
      <c r="AD262" s="2"/>
      <c r="AE262" s="22" t="s">
        <v>17</v>
      </c>
      <c r="AF262" s="23"/>
      <c r="AG262" s="24" t="s">
        <v>17</v>
      </c>
      <c r="AH262" s="24" t="s">
        <v>17</v>
      </c>
      <c r="AI262" s="1" t="s">
        <v>17</v>
      </c>
      <c r="AJ262" s="2" t="s">
        <v>17</v>
      </c>
      <c r="AK262" s="2" t="s">
        <v>17</v>
      </c>
      <c r="AL262" s="3"/>
      <c r="AM262" s="2"/>
      <c r="AN262" s="24" t="s">
        <v>17</v>
      </c>
      <c r="AO262" s="24" t="s">
        <v>17</v>
      </c>
      <c r="AP262" s="1" t="s">
        <v>17</v>
      </c>
      <c r="AQ262" s="2" t="s">
        <v>17</v>
      </c>
      <c r="AR262" s="2" t="s">
        <v>17</v>
      </c>
      <c r="AS262" s="3"/>
      <c r="AT262" s="2"/>
      <c r="AU262" s="4"/>
      <c r="AV262" s="2"/>
      <c r="AW262" s="1" t="s">
        <v>17</v>
      </c>
      <c r="AX262" s="2" t="s">
        <v>17</v>
      </c>
      <c r="AY262" s="2" t="s">
        <v>17</v>
      </c>
      <c r="AZ262" s="5"/>
      <c r="BA262" s="6"/>
      <c r="BB262" s="4"/>
      <c r="BC262" s="6"/>
      <c r="BD262" s="6"/>
      <c r="BE262" s="6"/>
      <c r="BF262" s="7"/>
    </row>
    <row r="263" spans="1:58" ht="18" customHeight="1">
      <c r="A263" s="106" t="s">
        <v>15</v>
      </c>
      <c r="B263" s="93" t="s">
        <v>241</v>
      </c>
      <c r="C263" s="28">
        <v>360.91</v>
      </c>
      <c r="D263" s="28">
        <v>361.03</v>
      </c>
      <c r="E263" s="28">
        <v>360.97</v>
      </c>
      <c r="F263" s="28">
        <v>360.97</v>
      </c>
      <c r="G263" s="29">
        <v>11740.4548063191</v>
      </c>
      <c r="H263" s="29">
        <v>9348.8986308629301</v>
      </c>
      <c r="I263" s="27">
        <f t="shared" si="10"/>
        <v>1</v>
      </c>
      <c r="J263" s="27">
        <f t="shared" si="11"/>
        <v>1</v>
      </c>
      <c r="K263" s="27">
        <f t="shared" si="9"/>
        <v>1</v>
      </c>
      <c r="L263" s="25">
        <v>672.62382449999996</v>
      </c>
      <c r="M263" s="25">
        <v>677.25827352352951</v>
      </c>
      <c r="N263" s="38">
        <v>0.53328988912926256</v>
      </c>
      <c r="O263" s="38">
        <v>-7.2123245956998705</v>
      </c>
      <c r="P263" s="71">
        <v>-9.3454841522169207</v>
      </c>
      <c r="Q263" s="53">
        <v>42704</v>
      </c>
      <c r="R263" s="23">
        <v>13</v>
      </c>
      <c r="S263" s="24">
        <v>672.62382449999996</v>
      </c>
      <c r="T263" s="24">
        <v>677.25827352352951</v>
      </c>
      <c r="U263" s="20">
        <v>0.53328988912926256</v>
      </c>
      <c r="V263" s="20">
        <v>-7.2123245956998705</v>
      </c>
      <c r="W263" s="20">
        <v>-9.3454841522169207</v>
      </c>
      <c r="X263" s="22" t="s">
        <v>17</v>
      </c>
      <c r="Y263" s="23"/>
      <c r="Z263" s="24" t="s">
        <v>17</v>
      </c>
      <c r="AA263" s="24" t="s">
        <v>17</v>
      </c>
      <c r="AB263" s="20" t="s">
        <v>17</v>
      </c>
      <c r="AC263" s="20" t="s">
        <v>17</v>
      </c>
      <c r="AD263" s="20" t="s">
        <v>17</v>
      </c>
      <c r="AE263" s="22" t="s">
        <v>17</v>
      </c>
      <c r="AF263" s="23"/>
      <c r="AG263" s="24" t="s">
        <v>17</v>
      </c>
      <c r="AH263" s="24" t="s">
        <v>17</v>
      </c>
      <c r="AI263" s="20" t="s">
        <v>17</v>
      </c>
      <c r="AJ263" s="20" t="s">
        <v>17</v>
      </c>
      <c r="AK263" s="20" t="s">
        <v>17</v>
      </c>
      <c r="AL263" s="21"/>
      <c r="AM263" s="20"/>
      <c r="AN263" s="24" t="s">
        <v>17</v>
      </c>
      <c r="AO263" s="24" t="s">
        <v>17</v>
      </c>
      <c r="AP263" s="20" t="s">
        <v>17</v>
      </c>
      <c r="AQ263" s="20" t="s">
        <v>17</v>
      </c>
      <c r="AR263" s="20" t="s">
        <v>17</v>
      </c>
      <c r="AS263" s="21"/>
      <c r="AT263" s="20"/>
      <c r="AU263" s="4"/>
      <c r="AV263" s="20"/>
      <c r="AW263" s="20" t="s">
        <v>17</v>
      </c>
      <c r="AX263" s="20" t="s">
        <v>17</v>
      </c>
      <c r="AY263" s="20" t="s">
        <v>17</v>
      </c>
      <c r="AZ263" s="5"/>
      <c r="BA263" s="6"/>
      <c r="BB263" s="4"/>
      <c r="BC263" s="6"/>
      <c r="BD263" s="6"/>
      <c r="BE263" s="6"/>
      <c r="BF263" s="7"/>
    </row>
    <row r="264" spans="1:58" ht="18" customHeight="1">
      <c r="A264" s="106" t="s">
        <v>15</v>
      </c>
      <c r="B264" s="93" t="s">
        <v>242</v>
      </c>
      <c r="C264" s="28">
        <v>362.32</v>
      </c>
      <c r="D264" s="28">
        <v>362.44</v>
      </c>
      <c r="E264" s="28">
        <v>362.38</v>
      </c>
      <c r="F264" s="28">
        <v>362.38</v>
      </c>
      <c r="G264" s="29">
        <v>11790.115284757199</v>
      </c>
      <c r="H264" s="29">
        <v>9399.0581980177103</v>
      </c>
      <c r="I264" s="27">
        <f t="shared" si="10"/>
        <v>1</v>
      </c>
      <c r="J264" s="27">
        <f t="shared" si="11"/>
        <v>1</v>
      </c>
      <c r="K264" s="27">
        <f t="shared" si="9"/>
        <v>1</v>
      </c>
      <c r="L264" s="25">
        <v>670.91022150000003</v>
      </c>
      <c r="M264" s="25">
        <v>675.66130430147382</v>
      </c>
      <c r="N264" s="38">
        <v>0.54810741467758994</v>
      </c>
      <c r="O264" s="38">
        <v>-7.532203064236187</v>
      </c>
      <c r="P264" s="71">
        <v>-9.7246327229465468</v>
      </c>
      <c r="Q264" s="53">
        <v>42698</v>
      </c>
      <c r="R264" s="23">
        <v>11</v>
      </c>
      <c r="S264" s="24">
        <v>670.91022150000003</v>
      </c>
      <c r="T264" s="24">
        <v>675.66130430147382</v>
      </c>
      <c r="U264" s="20">
        <v>0.54810741467758994</v>
      </c>
      <c r="V264" s="20">
        <v>-7.532203064236187</v>
      </c>
      <c r="W264" s="20">
        <v>-9.7246327229465468</v>
      </c>
      <c r="X264" s="22" t="s">
        <v>17</v>
      </c>
      <c r="Y264" s="23"/>
      <c r="Z264" s="24" t="s">
        <v>17</v>
      </c>
      <c r="AA264" s="24" t="s">
        <v>17</v>
      </c>
      <c r="AB264" s="20" t="s">
        <v>17</v>
      </c>
      <c r="AC264" s="20" t="s">
        <v>17</v>
      </c>
      <c r="AD264" s="20" t="s">
        <v>17</v>
      </c>
      <c r="AE264" s="22" t="s">
        <v>17</v>
      </c>
      <c r="AF264" s="23"/>
      <c r="AG264" s="24" t="s">
        <v>17</v>
      </c>
      <c r="AH264" s="24" t="s">
        <v>17</v>
      </c>
      <c r="AI264" s="20" t="s">
        <v>17</v>
      </c>
      <c r="AJ264" s="20" t="s">
        <v>17</v>
      </c>
      <c r="AK264" s="20" t="s">
        <v>17</v>
      </c>
      <c r="AL264" s="21"/>
      <c r="AM264" s="20"/>
      <c r="AN264" s="24" t="s">
        <v>17</v>
      </c>
      <c r="AO264" s="24" t="s">
        <v>17</v>
      </c>
      <c r="AP264" s="20" t="s">
        <v>17</v>
      </c>
      <c r="AQ264" s="20" t="s">
        <v>17</v>
      </c>
      <c r="AR264" s="20" t="s">
        <v>17</v>
      </c>
      <c r="AS264" s="21"/>
      <c r="AT264" s="20"/>
      <c r="AU264" s="4"/>
      <c r="AV264" s="20"/>
      <c r="AW264" s="20" t="s">
        <v>17</v>
      </c>
      <c r="AX264" s="20" t="s">
        <v>17</v>
      </c>
      <c r="AY264" s="20" t="s">
        <v>17</v>
      </c>
      <c r="AZ264" s="5"/>
      <c r="BA264" s="6"/>
      <c r="BB264" s="4"/>
      <c r="BC264" s="6"/>
      <c r="BD264" s="6"/>
      <c r="BE264" s="6"/>
      <c r="BF264" s="7"/>
    </row>
    <row r="265" spans="1:58" ht="18" customHeight="1">
      <c r="A265" s="106" t="s">
        <v>15</v>
      </c>
      <c r="B265" s="93" t="s">
        <v>243</v>
      </c>
      <c r="C265" s="28">
        <v>363.44</v>
      </c>
      <c r="D265" s="28">
        <v>363.56</v>
      </c>
      <c r="E265" s="28">
        <v>363.5</v>
      </c>
      <c r="F265" s="28">
        <v>363.5</v>
      </c>
      <c r="G265" s="29">
        <v>11828.9590280955</v>
      </c>
      <c r="H265" s="29">
        <v>9438.5686983750002</v>
      </c>
      <c r="I265" s="27">
        <f t="shared" si="10"/>
        <v>2</v>
      </c>
      <c r="J265" s="27">
        <f t="shared" si="11"/>
        <v>2</v>
      </c>
      <c r="K265" s="27">
        <f t="shared" si="9"/>
        <v>0</v>
      </c>
      <c r="L265" s="25">
        <v>673.93101024999999</v>
      </c>
      <c r="M265" s="25">
        <v>678.60413132456029</v>
      </c>
      <c r="N265" s="38">
        <v>0.53672578219421396</v>
      </c>
      <c r="O265" s="38"/>
      <c r="P265" s="71"/>
      <c r="Q265" s="53">
        <v>42618</v>
      </c>
      <c r="R265" s="23">
        <v>3</v>
      </c>
      <c r="S265" s="24">
        <v>676.83459649999998</v>
      </c>
      <c r="T265" s="24">
        <v>681.46946335409893</v>
      </c>
      <c r="U265" s="20">
        <v>0.53001992876211546</v>
      </c>
      <c r="V265" s="20"/>
      <c r="W265" s="20"/>
      <c r="X265" s="22">
        <v>42618</v>
      </c>
      <c r="Y265" s="23">
        <v>3</v>
      </c>
      <c r="Z265" s="24">
        <v>671.027424</v>
      </c>
      <c r="AA265" s="24">
        <v>675.73879929502164</v>
      </c>
      <c r="AB265" s="20">
        <v>0.54343163562631247</v>
      </c>
      <c r="AC265" s="20"/>
      <c r="AD265" s="20"/>
      <c r="AE265" s="22" t="s">
        <v>17</v>
      </c>
      <c r="AF265" s="23"/>
      <c r="AG265" s="24" t="s">
        <v>17</v>
      </c>
      <c r="AH265" s="24" t="s">
        <v>17</v>
      </c>
      <c r="AI265" s="20" t="s">
        <v>17</v>
      </c>
      <c r="AJ265" s="20" t="s">
        <v>17</v>
      </c>
      <c r="AK265" s="20" t="s">
        <v>17</v>
      </c>
      <c r="AL265" s="21"/>
      <c r="AM265" s="20"/>
      <c r="AN265" s="24" t="s">
        <v>17</v>
      </c>
      <c r="AO265" s="24" t="s">
        <v>17</v>
      </c>
      <c r="AP265" s="20" t="s">
        <v>17</v>
      </c>
      <c r="AQ265" s="20" t="s">
        <v>17</v>
      </c>
      <c r="AR265" s="20" t="s">
        <v>17</v>
      </c>
      <c r="AS265" s="21"/>
      <c r="AT265" s="20"/>
      <c r="AU265" s="4"/>
      <c r="AV265" s="20"/>
      <c r="AW265" s="20" t="s">
        <v>17</v>
      </c>
      <c r="AX265" s="20" t="s">
        <v>17</v>
      </c>
      <c r="AY265" s="20" t="s">
        <v>17</v>
      </c>
      <c r="AZ265" s="5"/>
      <c r="BA265" s="6"/>
      <c r="BB265" s="4"/>
      <c r="BC265" s="6"/>
      <c r="BD265" s="6"/>
      <c r="BE265" s="6"/>
      <c r="BF265" s="7"/>
    </row>
    <row r="266" spans="1:58" ht="18" customHeight="1">
      <c r="A266" s="106" t="s">
        <v>15</v>
      </c>
      <c r="B266" s="93" t="s">
        <v>244</v>
      </c>
      <c r="C266" s="28">
        <v>364.82</v>
      </c>
      <c r="D266" s="28">
        <v>364.94</v>
      </c>
      <c r="E266" s="28">
        <v>364.88</v>
      </c>
      <c r="F266" s="28">
        <v>364.88</v>
      </c>
      <c r="G266" s="29">
        <v>11877.7678094188</v>
      </c>
      <c r="H266" s="29">
        <v>9489.7934191948407</v>
      </c>
      <c r="I266" s="27">
        <f t="shared" si="10"/>
        <v>1</v>
      </c>
      <c r="J266" s="27">
        <f t="shared" si="11"/>
        <v>1</v>
      </c>
      <c r="K266" s="27">
        <f t="shared" si="9"/>
        <v>1</v>
      </c>
      <c r="L266" s="25">
        <v>674.58675649999998</v>
      </c>
      <c r="M266" s="25">
        <v>679.21990935641702</v>
      </c>
      <c r="N266" s="38">
        <v>0.53158938980946147</v>
      </c>
      <c r="O266" s="38">
        <v>-6.3337372697591654</v>
      </c>
      <c r="P266" s="71">
        <v>-8.4600948289970113</v>
      </c>
      <c r="Q266" s="53">
        <v>43221</v>
      </c>
      <c r="R266" s="23">
        <v>6</v>
      </c>
      <c r="S266" s="24">
        <v>674.58675649999998</v>
      </c>
      <c r="T266" s="24">
        <v>679.21990935641702</v>
      </c>
      <c r="U266" s="20">
        <v>0.53158938980946147</v>
      </c>
      <c r="V266" s="20">
        <v>-6.3337372697591654</v>
      </c>
      <c r="W266" s="20">
        <v>-8.4600948289970113</v>
      </c>
      <c r="X266" s="22" t="s">
        <v>17</v>
      </c>
      <c r="Y266" s="23"/>
      <c r="Z266" s="24" t="s">
        <v>17</v>
      </c>
      <c r="AA266" s="24" t="s">
        <v>17</v>
      </c>
      <c r="AB266" s="20" t="s">
        <v>17</v>
      </c>
      <c r="AC266" s="20" t="s">
        <v>17</v>
      </c>
      <c r="AD266" s="20" t="s">
        <v>17</v>
      </c>
      <c r="AE266" s="22" t="s">
        <v>17</v>
      </c>
      <c r="AF266" s="23"/>
      <c r="AG266" s="24" t="s">
        <v>17</v>
      </c>
      <c r="AH266" s="24" t="s">
        <v>17</v>
      </c>
      <c r="AI266" s="20" t="s">
        <v>17</v>
      </c>
      <c r="AJ266" s="20" t="s">
        <v>17</v>
      </c>
      <c r="AK266" s="20" t="s">
        <v>17</v>
      </c>
      <c r="AL266" s="21"/>
      <c r="AM266" s="20"/>
      <c r="AN266" s="24" t="s">
        <v>17</v>
      </c>
      <c r="AO266" s="24" t="s">
        <v>17</v>
      </c>
      <c r="AP266" s="20" t="s">
        <v>17</v>
      </c>
      <c r="AQ266" s="20" t="s">
        <v>17</v>
      </c>
      <c r="AR266" s="20" t="s">
        <v>17</v>
      </c>
      <c r="AS266" s="21"/>
      <c r="AT266" s="20"/>
      <c r="AU266" s="4"/>
      <c r="AV266" s="20"/>
      <c r="AW266" s="20" t="s">
        <v>17</v>
      </c>
      <c r="AX266" s="20" t="s">
        <v>17</v>
      </c>
      <c r="AY266" s="20" t="s">
        <v>17</v>
      </c>
      <c r="AZ266" s="5"/>
      <c r="BA266" s="6"/>
      <c r="BB266" s="4"/>
      <c r="BC266" s="6"/>
      <c r="BD266" s="6"/>
      <c r="BE266" s="6"/>
      <c r="BF266" s="7"/>
    </row>
    <row r="267" spans="1:58" ht="18" customHeight="1">
      <c r="A267" s="106" t="s">
        <v>15</v>
      </c>
      <c r="B267" s="93" t="s">
        <v>245</v>
      </c>
      <c r="C267" s="28">
        <v>365.44</v>
      </c>
      <c r="D267" s="28">
        <v>365.56</v>
      </c>
      <c r="E267" s="28">
        <v>365.5</v>
      </c>
      <c r="F267" s="28">
        <v>365.5</v>
      </c>
      <c r="G267" s="29">
        <v>11900.9260697025</v>
      </c>
      <c r="H267" s="29">
        <v>9513.4720854099996</v>
      </c>
      <c r="I267" s="27">
        <f t="shared" si="10"/>
        <v>1</v>
      </c>
      <c r="J267" s="27">
        <f t="shared" si="11"/>
        <v>1</v>
      </c>
      <c r="K267" s="27">
        <f t="shared" si="9"/>
        <v>1</v>
      </c>
      <c r="L267" s="25">
        <v>680.10826900000006</v>
      </c>
      <c r="M267" s="25">
        <v>684.71531515238087</v>
      </c>
      <c r="N267" s="38">
        <v>0.52430257914437561</v>
      </c>
      <c r="O267" s="38">
        <v>-7.0476952105715807</v>
      </c>
      <c r="P267" s="71">
        <v>-9.1449055271490831</v>
      </c>
      <c r="Q267" s="53">
        <v>43388</v>
      </c>
      <c r="R267" s="23">
        <v>9</v>
      </c>
      <c r="S267" s="24">
        <v>680.10826900000006</v>
      </c>
      <c r="T267" s="24">
        <v>684.71531515238087</v>
      </c>
      <c r="U267" s="20">
        <v>0.52430257914437561</v>
      </c>
      <c r="V267" s="20">
        <v>-7.0476952105715807</v>
      </c>
      <c r="W267" s="20">
        <v>-9.1449055271490831</v>
      </c>
      <c r="X267" s="22" t="s">
        <v>17</v>
      </c>
      <c r="Y267" s="23"/>
      <c r="Z267" s="24" t="s">
        <v>17</v>
      </c>
      <c r="AA267" s="24" t="s">
        <v>17</v>
      </c>
      <c r="AB267" s="20" t="s">
        <v>17</v>
      </c>
      <c r="AC267" s="20" t="s">
        <v>17</v>
      </c>
      <c r="AD267" s="20" t="s">
        <v>17</v>
      </c>
      <c r="AE267" s="22" t="s">
        <v>17</v>
      </c>
      <c r="AF267" s="23"/>
      <c r="AG267" s="24" t="s">
        <v>17</v>
      </c>
      <c r="AH267" s="24" t="s">
        <v>17</v>
      </c>
      <c r="AI267" s="20" t="s">
        <v>17</v>
      </c>
      <c r="AJ267" s="20" t="s">
        <v>17</v>
      </c>
      <c r="AK267" s="20" t="s">
        <v>17</v>
      </c>
      <c r="AL267" s="21"/>
      <c r="AM267" s="20"/>
      <c r="AN267" s="24" t="s">
        <v>17</v>
      </c>
      <c r="AO267" s="24" t="s">
        <v>17</v>
      </c>
      <c r="AP267" s="20" t="s">
        <v>17</v>
      </c>
      <c r="AQ267" s="20" t="s">
        <v>17</v>
      </c>
      <c r="AR267" s="20" t="s">
        <v>17</v>
      </c>
      <c r="AS267" s="21"/>
      <c r="AT267" s="20"/>
      <c r="AU267" s="4"/>
      <c r="AV267" s="20"/>
      <c r="AW267" s="20" t="s">
        <v>17</v>
      </c>
      <c r="AX267" s="20" t="s">
        <v>17</v>
      </c>
      <c r="AY267" s="20" t="s">
        <v>17</v>
      </c>
      <c r="AZ267" s="5"/>
      <c r="BA267" s="6"/>
      <c r="BB267" s="4"/>
      <c r="BC267" s="6"/>
      <c r="BD267" s="6"/>
      <c r="BE267" s="6"/>
      <c r="BF267" s="7"/>
    </row>
    <row r="268" spans="1:58" ht="18" customHeight="1">
      <c r="A268" s="106" t="s">
        <v>15</v>
      </c>
      <c r="B268" s="93" t="s">
        <v>246</v>
      </c>
      <c r="C268" s="28">
        <v>367.32</v>
      </c>
      <c r="D268" s="28">
        <v>367.44</v>
      </c>
      <c r="E268" s="28">
        <v>367.38</v>
      </c>
      <c r="F268" s="28">
        <v>367.38</v>
      </c>
      <c r="G268" s="29">
        <v>11972.6223565494</v>
      </c>
      <c r="H268" s="29">
        <v>9586.6677480158396</v>
      </c>
      <c r="I268" s="27">
        <f t="shared" si="10"/>
        <v>1</v>
      </c>
      <c r="J268" s="27">
        <f t="shared" si="11"/>
        <v>1</v>
      </c>
      <c r="K268" s="27">
        <f t="shared" si="9"/>
        <v>1</v>
      </c>
      <c r="L268" s="25">
        <v>681.07921099999999</v>
      </c>
      <c r="M268" s="25">
        <v>685.66649014273037</v>
      </c>
      <c r="N268" s="38">
        <v>0.52130876921863134</v>
      </c>
      <c r="O268" s="38">
        <v>-8.3849848500117119</v>
      </c>
      <c r="P268" s="71">
        <v>-10.470219926886237</v>
      </c>
      <c r="Q268" s="53">
        <v>43480</v>
      </c>
      <c r="R268" s="23">
        <v>12</v>
      </c>
      <c r="S268" s="24">
        <v>681.07921099999999</v>
      </c>
      <c r="T268" s="24">
        <v>685.66649014273037</v>
      </c>
      <c r="U268" s="20">
        <v>0.52130876921863134</v>
      </c>
      <c r="V268" s="20">
        <v>-8.3849848500117119</v>
      </c>
      <c r="W268" s="20">
        <v>-10.470219926886237</v>
      </c>
      <c r="X268" s="22" t="s">
        <v>17</v>
      </c>
      <c r="Y268" s="23"/>
      <c r="Z268" s="24" t="s">
        <v>17</v>
      </c>
      <c r="AA268" s="24" t="s">
        <v>17</v>
      </c>
      <c r="AB268" s="20" t="s">
        <v>17</v>
      </c>
      <c r="AC268" s="20" t="s">
        <v>17</v>
      </c>
      <c r="AD268" s="20" t="s">
        <v>17</v>
      </c>
      <c r="AE268" s="22" t="s">
        <v>17</v>
      </c>
      <c r="AF268" s="23"/>
      <c r="AG268" s="24" t="s">
        <v>17</v>
      </c>
      <c r="AH268" s="24" t="s">
        <v>17</v>
      </c>
      <c r="AI268" s="20" t="s">
        <v>17</v>
      </c>
      <c r="AJ268" s="20" t="s">
        <v>17</v>
      </c>
      <c r="AK268" s="20" t="s">
        <v>17</v>
      </c>
      <c r="AL268" s="21"/>
      <c r="AM268" s="20"/>
      <c r="AN268" s="24" t="s">
        <v>17</v>
      </c>
      <c r="AO268" s="24" t="s">
        <v>17</v>
      </c>
      <c r="AP268" s="20" t="s">
        <v>17</v>
      </c>
      <c r="AQ268" s="20" t="s">
        <v>17</v>
      </c>
      <c r="AR268" s="20" t="s">
        <v>17</v>
      </c>
      <c r="AS268" s="21"/>
      <c r="AT268" s="20"/>
      <c r="AU268" s="4"/>
      <c r="AV268" s="20"/>
      <c r="AW268" s="20" t="s">
        <v>17</v>
      </c>
      <c r="AX268" s="20" t="s">
        <v>17</v>
      </c>
      <c r="AY268" s="20" t="s">
        <v>17</v>
      </c>
      <c r="AZ268" s="5"/>
      <c r="BA268" s="6"/>
      <c r="BB268" s="4"/>
      <c r="BC268" s="6"/>
      <c r="BD268" s="6"/>
      <c r="BE268" s="6"/>
      <c r="BF268" s="7"/>
    </row>
    <row r="269" spans="1:58" ht="18" customHeight="1">
      <c r="A269" s="106" t="s">
        <v>15</v>
      </c>
      <c r="B269" s="93" t="s">
        <v>247</v>
      </c>
      <c r="C269" s="28">
        <v>368.82</v>
      </c>
      <c r="D269" s="28">
        <v>368.94</v>
      </c>
      <c r="E269" s="28">
        <v>368.88</v>
      </c>
      <c r="F269" s="28">
        <v>368.88</v>
      </c>
      <c r="G269" s="29">
        <v>12029.7986005408</v>
      </c>
      <c r="H269" s="29">
        <v>9644.2540680101902</v>
      </c>
      <c r="I269" s="27">
        <f t="shared" si="10"/>
        <v>1</v>
      </c>
      <c r="J269" s="27">
        <f t="shared" si="11"/>
        <v>1</v>
      </c>
      <c r="K269" s="27">
        <f t="shared" si="9"/>
        <v>1</v>
      </c>
      <c r="L269" s="25">
        <v>684.65210200000001</v>
      </c>
      <c r="M269" s="25">
        <v>689.42473166131344</v>
      </c>
      <c r="N269" s="38">
        <v>0.53954202363204473</v>
      </c>
      <c r="O269" s="38">
        <v>-5.4288833940475678</v>
      </c>
      <c r="P269" s="71">
        <v>-7.5870514885757467</v>
      </c>
      <c r="Q269" s="53">
        <v>42704</v>
      </c>
      <c r="R269" s="23">
        <v>13</v>
      </c>
      <c r="S269" s="24">
        <v>684.65210200000001</v>
      </c>
      <c r="T269" s="24">
        <v>689.42473166131344</v>
      </c>
      <c r="U269" s="20">
        <v>0.53954202363204473</v>
      </c>
      <c r="V269" s="20">
        <v>-5.4288833940475678</v>
      </c>
      <c r="W269" s="20">
        <v>-7.5870514885757467</v>
      </c>
      <c r="X269" s="22" t="s">
        <v>17</v>
      </c>
      <c r="Y269" s="23"/>
      <c r="Z269" s="24" t="s">
        <v>17</v>
      </c>
      <c r="AA269" s="24" t="s">
        <v>17</v>
      </c>
      <c r="AB269" s="20" t="s">
        <v>17</v>
      </c>
      <c r="AC269" s="20" t="s">
        <v>17</v>
      </c>
      <c r="AD269" s="20" t="s">
        <v>17</v>
      </c>
      <c r="AE269" s="22" t="s">
        <v>17</v>
      </c>
      <c r="AF269" s="23"/>
      <c r="AG269" s="24" t="s">
        <v>17</v>
      </c>
      <c r="AH269" s="24" t="s">
        <v>17</v>
      </c>
      <c r="AI269" s="20" t="s">
        <v>17</v>
      </c>
      <c r="AJ269" s="20" t="s">
        <v>17</v>
      </c>
      <c r="AK269" s="20" t="s">
        <v>17</v>
      </c>
      <c r="AL269" s="21"/>
      <c r="AM269" s="20"/>
      <c r="AN269" s="24" t="s">
        <v>17</v>
      </c>
      <c r="AO269" s="24" t="s">
        <v>17</v>
      </c>
      <c r="AP269" s="20" t="s">
        <v>17</v>
      </c>
      <c r="AQ269" s="20" t="s">
        <v>17</v>
      </c>
      <c r="AR269" s="20" t="s">
        <v>17</v>
      </c>
      <c r="AS269" s="21"/>
      <c r="AT269" s="20"/>
      <c r="AU269" s="4"/>
      <c r="AV269" s="20"/>
      <c r="AW269" s="20" t="s">
        <v>17</v>
      </c>
      <c r="AX269" s="20" t="s">
        <v>17</v>
      </c>
      <c r="AY269" s="20" t="s">
        <v>17</v>
      </c>
      <c r="AZ269" s="5"/>
      <c r="BA269" s="6"/>
      <c r="BB269" s="4"/>
      <c r="BC269" s="6"/>
      <c r="BD269" s="6"/>
      <c r="BE269" s="6"/>
      <c r="BF269" s="7"/>
    </row>
    <row r="270" spans="1:58" ht="18" customHeight="1">
      <c r="A270" s="106" t="s">
        <v>15</v>
      </c>
      <c r="B270" s="93" t="s">
        <v>248</v>
      </c>
      <c r="C270" s="28">
        <v>369.94</v>
      </c>
      <c r="D270" s="28">
        <v>370.06</v>
      </c>
      <c r="E270" s="28">
        <v>370</v>
      </c>
      <c r="F270" s="28">
        <v>370</v>
      </c>
      <c r="G270" s="29">
        <v>12071.857205279</v>
      </c>
      <c r="H270" s="29">
        <v>9688.782444212</v>
      </c>
      <c r="I270" s="27">
        <f t="shared" si="10"/>
        <v>2</v>
      </c>
      <c r="J270" s="27">
        <f t="shared" si="11"/>
        <v>1</v>
      </c>
      <c r="K270" s="27">
        <f t="shared" si="9"/>
        <v>1</v>
      </c>
      <c r="L270" s="25">
        <v>685.72334450000005</v>
      </c>
      <c r="M270" s="25">
        <v>690.5175730845865</v>
      </c>
      <c r="N270" s="38">
        <v>0.54020995770032165</v>
      </c>
      <c r="O270" s="38">
        <v>-4.5928072522684049</v>
      </c>
      <c r="P270" s="71">
        <v>-6.7536470830696915</v>
      </c>
      <c r="Q270" s="53">
        <v>42740</v>
      </c>
      <c r="R270" s="23">
        <v>13</v>
      </c>
      <c r="S270" s="24">
        <v>683.89467450000006</v>
      </c>
      <c r="T270" s="24">
        <v>688.667926034326</v>
      </c>
      <c r="U270" s="1">
        <v>0.54020995770032165</v>
      </c>
      <c r="V270" s="2">
        <v>-4.5928072522684049</v>
      </c>
      <c r="W270" s="2">
        <v>-6.7536470830696915</v>
      </c>
      <c r="X270" s="22">
        <v>43655</v>
      </c>
      <c r="Y270" s="23" t="s">
        <v>88</v>
      </c>
      <c r="Z270" s="24">
        <v>687.55201450000004</v>
      </c>
      <c r="AA270" s="24">
        <v>692.36722013484689</v>
      </c>
      <c r="AB270" s="1"/>
      <c r="AC270" s="2"/>
      <c r="AD270" s="2"/>
      <c r="AE270" s="22" t="s">
        <v>17</v>
      </c>
      <c r="AF270" s="23"/>
      <c r="AG270" s="24" t="s">
        <v>17</v>
      </c>
      <c r="AH270" s="24" t="s">
        <v>17</v>
      </c>
      <c r="AI270" s="1" t="s">
        <v>17</v>
      </c>
      <c r="AJ270" s="2" t="s">
        <v>17</v>
      </c>
      <c r="AK270" s="2" t="s">
        <v>17</v>
      </c>
      <c r="AL270" s="3"/>
      <c r="AM270" s="2"/>
      <c r="AN270" s="24" t="s">
        <v>17</v>
      </c>
      <c r="AO270" s="24" t="s">
        <v>17</v>
      </c>
      <c r="AP270" s="1" t="s">
        <v>17</v>
      </c>
      <c r="AQ270" s="2" t="s">
        <v>17</v>
      </c>
      <c r="AR270" s="2" t="s">
        <v>17</v>
      </c>
      <c r="AS270" s="3"/>
      <c r="AT270" s="2"/>
      <c r="AU270" s="4"/>
      <c r="AV270" s="2"/>
      <c r="AW270" s="1" t="s">
        <v>17</v>
      </c>
      <c r="AX270" s="2" t="s">
        <v>17</v>
      </c>
      <c r="AY270" s="2" t="s">
        <v>17</v>
      </c>
      <c r="AZ270" s="5"/>
      <c r="BA270" s="6"/>
      <c r="BB270" s="4"/>
      <c r="BC270" s="6"/>
      <c r="BD270" s="6"/>
      <c r="BE270" s="6"/>
      <c r="BF270" s="7"/>
    </row>
    <row r="271" spans="1:58" ht="18" customHeight="1">
      <c r="A271" s="106" t="s">
        <v>15</v>
      </c>
      <c r="B271" s="93" t="s">
        <v>249</v>
      </c>
      <c r="C271" s="28">
        <v>370.94</v>
      </c>
      <c r="D271" s="28">
        <v>371.06</v>
      </c>
      <c r="E271" s="28">
        <v>371</v>
      </c>
      <c r="F271" s="28">
        <v>371</v>
      </c>
      <c r="G271" s="29">
        <v>12108.80022895</v>
      </c>
      <c r="H271" s="29">
        <v>9730.4156077909902</v>
      </c>
      <c r="I271" s="27">
        <f t="shared" si="10"/>
        <v>1</v>
      </c>
      <c r="J271" s="27">
        <f t="shared" si="11"/>
        <v>1</v>
      </c>
      <c r="K271" s="27">
        <f t="shared" si="9"/>
        <v>1</v>
      </c>
      <c r="L271" s="25">
        <v>678.26483800000005</v>
      </c>
      <c r="M271" s="25">
        <v>682.93365573422614</v>
      </c>
      <c r="N271" s="38">
        <v>0.53277655198202822</v>
      </c>
      <c r="O271" s="38">
        <v>-8.1414137500189767</v>
      </c>
      <c r="P271" s="71">
        <v>-10.27251995794709</v>
      </c>
      <c r="Q271" s="53">
        <v>42712</v>
      </c>
      <c r="R271" s="23">
        <v>8</v>
      </c>
      <c r="S271" s="24">
        <v>678.26483800000005</v>
      </c>
      <c r="T271" s="24">
        <v>682.93365573422614</v>
      </c>
      <c r="U271" s="20">
        <v>0.53277655198202822</v>
      </c>
      <c r="V271" s="20">
        <v>-8.1414137500189767</v>
      </c>
      <c r="W271" s="20">
        <v>-10.27251995794709</v>
      </c>
      <c r="X271" s="22" t="s">
        <v>17</v>
      </c>
      <c r="Y271" s="23"/>
      <c r="Z271" s="24" t="s">
        <v>17</v>
      </c>
      <c r="AA271" s="24" t="s">
        <v>17</v>
      </c>
      <c r="AB271" s="20" t="s">
        <v>17</v>
      </c>
      <c r="AC271" s="20" t="s">
        <v>17</v>
      </c>
      <c r="AD271" s="20" t="s">
        <v>17</v>
      </c>
      <c r="AE271" s="22" t="s">
        <v>17</v>
      </c>
      <c r="AF271" s="23"/>
      <c r="AG271" s="24" t="s">
        <v>17</v>
      </c>
      <c r="AH271" s="24" t="s">
        <v>17</v>
      </c>
      <c r="AI271" s="20" t="s">
        <v>17</v>
      </c>
      <c r="AJ271" s="20" t="s">
        <v>17</v>
      </c>
      <c r="AK271" s="20" t="s">
        <v>17</v>
      </c>
      <c r="AL271" s="21"/>
      <c r="AM271" s="20"/>
      <c r="AN271" s="24" t="s">
        <v>17</v>
      </c>
      <c r="AO271" s="24" t="s">
        <v>17</v>
      </c>
      <c r="AP271" s="20" t="s">
        <v>17</v>
      </c>
      <c r="AQ271" s="20" t="s">
        <v>17</v>
      </c>
      <c r="AR271" s="20" t="s">
        <v>17</v>
      </c>
      <c r="AS271" s="21"/>
      <c r="AT271" s="20"/>
      <c r="AU271" s="4"/>
      <c r="AV271" s="20"/>
      <c r="AW271" s="20" t="s">
        <v>17</v>
      </c>
      <c r="AX271" s="20" t="s">
        <v>17</v>
      </c>
      <c r="AY271" s="20" t="s">
        <v>17</v>
      </c>
      <c r="AZ271" s="5"/>
      <c r="BA271" s="6"/>
      <c r="BB271" s="4"/>
      <c r="BC271" s="6"/>
      <c r="BD271" s="6"/>
      <c r="BE271" s="6"/>
      <c r="BF271" s="7"/>
    </row>
    <row r="272" spans="1:58" ht="18" customHeight="1">
      <c r="A272" s="106" t="s">
        <v>15</v>
      </c>
      <c r="B272" s="93" t="s">
        <v>250</v>
      </c>
      <c r="C272" s="28">
        <v>372.82</v>
      </c>
      <c r="D272" s="28">
        <v>372.94</v>
      </c>
      <c r="E272" s="28">
        <v>372.88</v>
      </c>
      <c r="F272" s="28">
        <v>372.88</v>
      </c>
      <c r="G272" s="29">
        <v>12178.4906188802</v>
      </c>
      <c r="H272" s="29">
        <v>9804.6750955082007</v>
      </c>
      <c r="I272" s="27">
        <f t="shared" si="10"/>
        <v>1</v>
      </c>
      <c r="J272" s="27">
        <f t="shared" si="11"/>
        <v>1</v>
      </c>
      <c r="K272" s="27">
        <f t="shared" si="9"/>
        <v>1</v>
      </c>
      <c r="L272" s="25">
        <v>686.45081950000008</v>
      </c>
      <c r="M272" s="25">
        <v>691.064584925644</v>
      </c>
      <c r="N272" s="38">
        <v>0.52021583626959966</v>
      </c>
      <c r="O272" s="38">
        <v>-7.8583035452872707</v>
      </c>
      <c r="P272" s="71">
        <v>-9.9391668903656694</v>
      </c>
      <c r="Q272" s="53">
        <v>43480</v>
      </c>
      <c r="R272" s="23">
        <v>12</v>
      </c>
      <c r="S272" s="24">
        <v>686.45081950000008</v>
      </c>
      <c r="T272" s="24">
        <v>691.064584925644</v>
      </c>
      <c r="U272" s="20">
        <v>0.52021583626959966</v>
      </c>
      <c r="V272" s="20">
        <v>-7.8583035452872707</v>
      </c>
      <c r="W272" s="20">
        <v>-9.9391668903656694</v>
      </c>
      <c r="X272" s="22" t="s">
        <v>17</v>
      </c>
      <c r="Y272" s="23"/>
      <c r="Z272" s="24" t="s">
        <v>17</v>
      </c>
      <c r="AA272" s="24" t="s">
        <v>17</v>
      </c>
      <c r="AB272" s="20" t="s">
        <v>17</v>
      </c>
      <c r="AC272" s="20" t="s">
        <v>17</v>
      </c>
      <c r="AD272" s="20" t="s">
        <v>17</v>
      </c>
      <c r="AE272" s="22" t="s">
        <v>17</v>
      </c>
      <c r="AF272" s="23"/>
      <c r="AG272" s="24" t="s">
        <v>17</v>
      </c>
      <c r="AH272" s="24" t="s">
        <v>17</v>
      </c>
      <c r="AI272" s="20" t="s">
        <v>17</v>
      </c>
      <c r="AJ272" s="20" t="s">
        <v>17</v>
      </c>
      <c r="AK272" s="20" t="s">
        <v>17</v>
      </c>
      <c r="AL272" s="21"/>
      <c r="AM272" s="20"/>
      <c r="AN272" s="24" t="s">
        <v>17</v>
      </c>
      <c r="AO272" s="24" t="s">
        <v>17</v>
      </c>
      <c r="AP272" s="20" t="s">
        <v>17</v>
      </c>
      <c r="AQ272" s="20" t="s">
        <v>17</v>
      </c>
      <c r="AR272" s="20" t="s">
        <v>17</v>
      </c>
      <c r="AS272" s="21"/>
      <c r="AT272" s="20"/>
      <c r="AU272" s="4"/>
      <c r="AV272" s="20"/>
      <c r="AW272" s="20" t="s">
        <v>17</v>
      </c>
      <c r="AX272" s="20" t="s">
        <v>17</v>
      </c>
      <c r="AY272" s="20" t="s">
        <v>17</v>
      </c>
      <c r="AZ272" s="5"/>
      <c r="BA272" s="6"/>
      <c r="BB272" s="4"/>
      <c r="BC272" s="6"/>
      <c r="BD272" s="6"/>
      <c r="BE272" s="6"/>
      <c r="BF272" s="7"/>
    </row>
    <row r="273" spans="1:58" ht="18" customHeight="1">
      <c r="A273" s="106" t="s">
        <v>15</v>
      </c>
      <c r="B273" s="93" t="s">
        <v>251</v>
      </c>
      <c r="C273" s="28">
        <v>373.44</v>
      </c>
      <c r="D273" s="28">
        <v>373.56</v>
      </c>
      <c r="E273" s="28">
        <v>373.5</v>
      </c>
      <c r="F273" s="28">
        <v>373.5</v>
      </c>
      <c r="G273" s="29">
        <v>12201.708978404</v>
      </c>
      <c r="H273" s="29">
        <v>9826.7211865120007</v>
      </c>
      <c r="I273" s="27">
        <f t="shared" si="10"/>
        <v>2</v>
      </c>
      <c r="J273" s="27">
        <f t="shared" si="11"/>
        <v>2</v>
      </c>
      <c r="K273" s="27">
        <f t="shared" si="9"/>
        <v>0</v>
      </c>
      <c r="L273" s="25">
        <v>684.49492375</v>
      </c>
      <c r="M273" s="25">
        <v>689.11119881648722</v>
      </c>
      <c r="N273" s="38">
        <v>0.52198081750221004</v>
      </c>
      <c r="O273" s="38"/>
      <c r="P273" s="71"/>
      <c r="Q273" s="53">
        <v>42625</v>
      </c>
      <c r="R273" s="23">
        <v>3</v>
      </c>
      <c r="S273" s="24">
        <v>683.10161600000004</v>
      </c>
      <c r="T273" s="24">
        <v>687.68556899640623</v>
      </c>
      <c r="U273" s="20">
        <v>0.5193884998229148</v>
      </c>
      <c r="V273" s="20"/>
      <c r="W273" s="20"/>
      <c r="X273" s="22">
        <v>42625</v>
      </c>
      <c r="Y273" s="23">
        <v>3</v>
      </c>
      <c r="Z273" s="24">
        <v>685.88823150000007</v>
      </c>
      <c r="AA273" s="24">
        <v>690.5368286365682</v>
      </c>
      <c r="AB273" s="20">
        <v>0.52457313518150528</v>
      </c>
      <c r="AC273" s="20"/>
      <c r="AD273" s="20"/>
      <c r="AE273" s="22" t="s">
        <v>17</v>
      </c>
      <c r="AF273" s="23"/>
      <c r="AG273" s="24" t="s">
        <v>17</v>
      </c>
      <c r="AH273" s="24" t="s">
        <v>17</v>
      </c>
      <c r="AI273" s="20" t="s">
        <v>17</v>
      </c>
      <c r="AJ273" s="20" t="s">
        <v>17</v>
      </c>
      <c r="AK273" s="20" t="s">
        <v>17</v>
      </c>
      <c r="AL273" s="21"/>
      <c r="AM273" s="20"/>
      <c r="AN273" s="24" t="s">
        <v>17</v>
      </c>
      <c r="AO273" s="24" t="s">
        <v>17</v>
      </c>
      <c r="AP273" s="20" t="s">
        <v>17</v>
      </c>
      <c r="AQ273" s="20" t="s">
        <v>17</v>
      </c>
      <c r="AR273" s="20" t="s">
        <v>17</v>
      </c>
      <c r="AS273" s="21"/>
      <c r="AT273" s="20"/>
      <c r="AU273" s="4"/>
      <c r="AV273" s="20"/>
      <c r="AW273" s="20" t="s">
        <v>17</v>
      </c>
      <c r="AX273" s="20" t="s">
        <v>17</v>
      </c>
      <c r="AY273" s="20" t="s">
        <v>17</v>
      </c>
      <c r="AZ273" s="5"/>
      <c r="BA273" s="6"/>
      <c r="BB273" s="4"/>
      <c r="BC273" s="6"/>
      <c r="BD273" s="6"/>
      <c r="BE273" s="6"/>
      <c r="BF273" s="7"/>
    </row>
    <row r="274" spans="1:58" ht="18" customHeight="1">
      <c r="A274" s="106" t="s">
        <v>15</v>
      </c>
      <c r="B274" s="93" t="s">
        <v>252</v>
      </c>
      <c r="C274" s="28">
        <v>374.46</v>
      </c>
      <c r="D274" s="28">
        <v>374.58</v>
      </c>
      <c r="E274" s="28">
        <v>374.52</v>
      </c>
      <c r="F274" s="28">
        <v>374.52</v>
      </c>
      <c r="G274" s="29">
        <v>12240.738326529699</v>
      </c>
      <c r="H274" s="29">
        <v>9863.1174697045208</v>
      </c>
      <c r="I274" s="27">
        <f t="shared" si="10"/>
        <v>1</v>
      </c>
      <c r="J274" s="27">
        <f t="shared" si="11"/>
        <v>1</v>
      </c>
      <c r="K274" s="27">
        <f t="shared" si="9"/>
        <v>1</v>
      </c>
      <c r="L274" s="25">
        <v>688.2379934999999</v>
      </c>
      <c r="M274" s="25">
        <v>692.93523949494693</v>
      </c>
      <c r="N274" s="38">
        <v>0.5282532131778428</v>
      </c>
      <c r="O274" s="38">
        <v>-8.3677461976905398</v>
      </c>
      <c r="P274" s="71">
        <v>-10.480759050401911</v>
      </c>
      <c r="Q274" s="53">
        <v>43382</v>
      </c>
      <c r="R274" s="23">
        <v>9</v>
      </c>
      <c r="S274" s="24">
        <v>688.2379934999999</v>
      </c>
      <c r="T274" s="24">
        <v>692.93523949494693</v>
      </c>
      <c r="U274" s="20">
        <v>0.5282532131778428</v>
      </c>
      <c r="V274" s="20">
        <v>-8.3677461976905398</v>
      </c>
      <c r="W274" s="20">
        <v>-10.480759050401911</v>
      </c>
      <c r="X274" s="22" t="s">
        <v>17</v>
      </c>
      <c r="Y274" s="23"/>
      <c r="Z274" s="24" t="s">
        <v>17</v>
      </c>
      <c r="AA274" s="24" t="s">
        <v>17</v>
      </c>
      <c r="AB274" s="20" t="s">
        <v>17</v>
      </c>
      <c r="AC274" s="20" t="s">
        <v>17</v>
      </c>
      <c r="AD274" s="20" t="s">
        <v>17</v>
      </c>
      <c r="AE274" s="22" t="s">
        <v>17</v>
      </c>
      <c r="AF274" s="23"/>
      <c r="AG274" s="24" t="s">
        <v>17</v>
      </c>
      <c r="AH274" s="24" t="s">
        <v>17</v>
      </c>
      <c r="AI274" s="20" t="s">
        <v>17</v>
      </c>
      <c r="AJ274" s="20" t="s">
        <v>17</v>
      </c>
      <c r="AK274" s="20" t="s">
        <v>17</v>
      </c>
      <c r="AL274" s="21"/>
      <c r="AM274" s="20"/>
      <c r="AN274" s="24" t="s">
        <v>17</v>
      </c>
      <c r="AO274" s="24" t="s">
        <v>17</v>
      </c>
      <c r="AP274" s="20" t="s">
        <v>17</v>
      </c>
      <c r="AQ274" s="20" t="s">
        <v>17</v>
      </c>
      <c r="AR274" s="20" t="s">
        <v>17</v>
      </c>
      <c r="AS274" s="21"/>
      <c r="AT274" s="20"/>
      <c r="AU274" s="4"/>
      <c r="AV274" s="20"/>
      <c r="AW274" s="20" t="s">
        <v>17</v>
      </c>
      <c r="AX274" s="20" t="s">
        <v>17</v>
      </c>
      <c r="AY274" s="20" t="s">
        <v>17</v>
      </c>
      <c r="AZ274" s="5"/>
      <c r="BA274" s="6"/>
      <c r="BB274" s="4"/>
      <c r="BC274" s="6"/>
      <c r="BD274" s="6"/>
      <c r="BE274" s="6"/>
      <c r="BF274" s="7"/>
    </row>
    <row r="275" spans="1:58" ht="18" customHeight="1">
      <c r="A275" s="106" t="s">
        <v>15</v>
      </c>
      <c r="B275" s="93" t="s">
        <v>253</v>
      </c>
      <c r="C275" s="28">
        <v>375.96</v>
      </c>
      <c r="D275" s="28">
        <v>376.08</v>
      </c>
      <c r="E275" s="28">
        <v>376.02</v>
      </c>
      <c r="F275" s="28">
        <v>376.02</v>
      </c>
      <c r="G275" s="29">
        <v>12300.8164940513</v>
      </c>
      <c r="H275" s="29">
        <v>9919.33671672735</v>
      </c>
      <c r="I275" s="27">
        <f t="shared" si="10"/>
        <v>1</v>
      </c>
      <c r="J275" s="27">
        <f t="shared" si="11"/>
        <v>1</v>
      </c>
      <c r="K275" s="27">
        <f t="shared" si="9"/>
        <v>1</v>
      </c>
      <c r="L275" s="25">
        <v>691.047101</v>
      </c>
      <c r="M275" s="25">
        <v>695.80334773448294</v>
      </c>
      <c r="N275" s="38">
        <v>0.53271412566791021</v>
      </c>
      <c r="O275" s="38">
        <v>-8.0024051508473804</v>
      </c>
      <c r="P275" s="71">
        <v>-10.133261653519021</v>
      </c>
      <c r="Q275" s="53">
        <v>42711</v>
      </c>
      <c r="R275" s="23">
        <v>13</v>
      </c>
      <c r="S275" s="24">
        <v>691.047101</v>
      </c>
      <c r="T275" s="24">
        <v>695.80334773448294</v>
      </c>
      <c r="U275" s="20">
        <v>0.53271412566791021</v>
      </c>
      <c r="V275" s="20">
        <v>-8.0024051508473804</v>
      </c>
      <c r="W275" s="20">
        <v>-10.133261653519021</v>
      </c>
      <c r="X275" s="22" t="s">
        <v>17</v>
      </c>
      <c r="Y275" s="23"/>
      <c r="Z275" s="24" t="s">
        <v>17</v>
      </c>
      <c r="AA275" s="24" t="s">
        <v>17</v>
      </c>
      <c r="AB275" s="20" t="s">
        <v>17</v>
      </c>
      <c r="AC275" s="20" t="s">
        <v>17</v>
      </c>
      <c r="AD275" s="20" t="s">
        <v>17</v>
      </c>
      <c r="AE275" s="22" t="s">
        <v>17</v>
      </c>
      <c r="AF275" s="23"/>
      <c r="AG275" s="24" t="s">
        <v>17</v>
      </c>
      <c r="AH275" s="24" t="s">
        <v>17</v>
      </c>
      <c r="AI275" s="20" t="s">
        <v>17</v>
      </c>
      <c r="AJ275" s="20" t="s">
        <v>17</v>
      </c>
      <c r="AK275" s="20" t="s">
        <v>17</v>
      </c>
      <c r="AL275" s="21"/>
      <c r="AM275" s="20"/>
      <c r="AN275" s="24" t="s">
        <v>17</v>
      </c>
      <c r="AO275" s="24" t="s">
        <v>17</v>
      </c>
      <c r="AP275" s="20" t="s">
        <v>17</v>
      </c>
      <c r="AQ275" s="20" t="s">
        <v>17</v>
      </c>
      <c r="AR275" s="20" t="s">
        <v>17</v>
      </c>
      <c r="AS275" s="21"/>
      <c r="AT275" s="20"/>
      <c r="AU275" s="4"/>
      <c r="AV275" s="20"/>
      <c r="AW275" s="20" t="s">
        <v>17</v>
      </c>
      <c r="AX275" s="20" t="s">
        <v>17</v>
      </c>
      <c r="AY275" s="20" t="s">
        <v>17</v>
      </c>
      <c r="AZ275" s="5"/>
      <c r="BA275" s="6"/>
      <c r="BB275" s="4"/>
      <c r="BC275" s="6"/>
      <c r="BD275" s="6"/>
      <c r="BE275" s="6"/>
      <c r="BF275" s="7"/>
    </row>
    <row r="276" spans="1:58" ht="18" customHeight="1">
      <c r="A276" s="106" t="s">
        <v>15</v>
      </c>
      <c r="B276" s="93" t="s">
        <v>254</v>
      </c>
      <c r="C276" s="28">
        <v>377.84</v>
      </c>
      <c r="D276" s="28">
        <v>377.96</v>
      </c>
      <c r="E276" s="28">
        <v>377.9</v>
      </c>
      <c r="F276" s="28">
        <v>377.9</v>
      </c>
      <c r="G276" s="29">
        <v>12379.113871904399</v>
      </c>
      <c r="H276" s="29">
        <v>9986.4144941879895</v>
      </c>
      <c r="I276" s="27">
        <f t="shared" si="10"/>
        <v>1</v>
      </c>
      <c r="J276" s="27">
        <f t="shared" si="11"/>
        <v>1</v>
      </c>
      <c r="K276" s="27">
        <f t="shared" si="9"/>
        <v>1</v>
      </c>
      <c r="L276" s="25">
        <v>687.30896000000007</v>
      </c>
      <c r="M276" s="25">
        <v>692.02095076186686</v>
      </c>
      <c r="N276" s="38">
        <v>0.53062769227851803</v>
      </c>
      <c r="O276" s="38">
        <v>-7.9137252493519661</v>
      </c>
      <c r="P276" s="71">
        <v>-10.036236018466038</v>
      </c>
      <c r="Q276" s="53">
        <v>42740</v>
      </c>
      <c r="R276" s="23">
        <v>13</v>
      </c>
      <c r="S276" s="24">
        <v>687.30896000000007</v>
      </c>
      <c r="T276" s="24">
        <v>692.02095076186686</v>
      </c>
      <c r="U276" s="20">
        <v>0.53062769227851803</v>
      </c>
      <c r="V276" s="20">
        <v>-7.9137252493519661</v>
      </c>
      <c r="W276" s="20">
        <v>-10.036236018466038</v>
      </c>
      <c r="X276" s="22" t="s">
        <v>17</v>
      </c>
      <c r="Y276" s="23"/>
      <c r="Z276" s="24" t="s">
        <v>17</v>
      </c>
      <c r="AA276" s="24" t="s">
        <v>17</v>
      </c>
      <c r="AB276" s="20" t="s">
        <v>17</v>
      </c>
      <c r="AC276" s="20" t="s">
        <v>17</v>
      </c>
      <c r="AD276" s="20" t="s">
        <v>17</v>
      </c>
      <c r="AE276" s="22" t="s">
        <v>17</v>
      </c>
      <c r="AF276" s="23"/>
      <c r="AG276" s="24" t="s">
        <v>17</v>
      </c>
      <c r="AH276" s="24" t="s">
        <v>17</v>
      </c>
      <c r="AI276" s="20" t="s">
        <v>17</v>
      </c>
      <c r="AJ276" s="20" t="s">
        <v>17</v>
      </c>
      <c r="AK276" s="20" t="s">
        <v>17</v>
      </c>
      <c r="AL276" s="21"/>
      <c r="AM276" s="20"/>
      <c r="AN276" s="24" t="s">
        <v>17</v>
      </c>
      <c r="AO276" s="24" t="s">
        <v>17</v>
      </c>
      <c r="AP276" s="20" t="s">
        <v>17</v>
      </c>
      <c r="AQ276" s="20" t="s">
        <v>17</v>
      </c>
      <c r="AR276" s="20" t="s">
        <v>17</v>
      </c>
      <c r="AS276" s="21"/>
      <c r="AT276" s="20"/>
      <c r="AU276" s="4"/>
      <c r="AV276" s="20"/>
      <c r="AW276" s="20" t="s">
        <v>17</v>
      </c>
      <c r="AX276" s="20" t="s">
        <v>17</v>
      </c>
      <c r="AY276" s="20" t="s">
        <v>17</v>
      </c>
      <c r="AZ276" s="5"/>
      <c r="BA276" s="6"/>
      <c r="BB276" s="4"/>
      <c r="BC276" s="6"/>
      <c r="BD276" s="6"/>
      <c r="BE276" s="6"/>
      <c r="BF276" s="7"/>
    </row>
    <row r="277" spans="1:58" ht="18" customHeight="1">
      <c r="A277" s="106" t="s">
        <v>15</v>
      </c>
      <c r="B277" s="93" t="s">
        <v>255</v>
      </c>
      <c r="C277" s="28">
        <v>379.28</v>
      </c>
      <c r="D277" s="28">
        <v>379.4</v>
      </c>
      <c r="E277" s="28">
        <v>379.34</v>
      </c>
      <c r="F277" s="28">
        <v>379.34</v>
      </c>
      <c r="G277" s="29">
        <v>12437.3410560598</v>
      </c>
      <c r="H277" s="29">
        <v>10046.6829859395</v>
      </c>
      <c r="I277" s="27">
        <f t="shared" si="10"/>
        <v>2</v>
      </c>
      <c r="J277" s="27">
        <f t="shared" si="11"/>
        <v>1</v>
      </c>
      <c r="K277" s="27">
        <f t="shared" si="9"/>
        <v>1</v>
      </c>
      <c r="L277" s="25">
        <v>687.83052774999999</v>
      </c>
      <c r="M277" s="25">
        <v>692.51675130690489</v>
      </c>
      <c r="N277" s="38">
        <v>0.52185510393987222</v>
      </c>
      <c r="O277" s="38">
        <v>-8.4177444853631442</v>
      </c>
      <c r="P277" s="71">
        <v>-10.505164901122633</v>
      </c>
      <c r="Q277" s="53">
        <v>42681</v>
      </c>
      <c r="R277" s="23">
        <v>11</v>
      </c>
      <c r="S277" s="24">
        <v>687.851001</v>
      </c>
      <c r="T277" s="24">
        <v>692.48874553863629</v>
      </c>
      <c r="U277" s="1">
        <v>0.52185510393987222</v>
      </c>
      <c r="V277" s="2">
        <v>-8.4177444853631442</v>
      </c>
      <c r="W277" s="2">
        <v>-10.505164901122633</v>
      </c>
      <c r="X277" s="22">
        <v>43655</v>
      </c>
      <c r="Y277" s="23" t="s">
        <v>88</v>
      </c>
      <c r="Z277" s="24">
        <v>687.81005449999998</v>
      </c>
      <c r="AA277" s="24">
        <v>692.54475707517349</v>
      </c>
      <c r="AB277" s="1"/>
      <c r="AC277" s="2"/>
      <c r="AD277" s="2"/>
      <c r="AE277" s="22" t="s">
        <v>17</v>
      </c>
      <c r="AF277" s="23"/>
      <c r="AG277" s="24" t="s">
        <v>17</v>
      </c>
      <c r="AH277" s="24" t="s">
        <v>17</v>
      </c>
      <c r="AI277" s="1" t="s">
        <v>17</v>
      </c>
      <c r="AJ277" s="2" t="s">
        <v>17</v>
      </c>
      <c r="AK277" s="2" t="s">
        <v>17</v>
      </c>
      <c r="AL277" s="3"/>
      <c r="AM277" s="2"/>
      <c r="AN277" s="24" t="s">
        <v>17</v>
      </c>
      <c r="AO277" s="24" t="s">
        <v>17</v>
      </c>
      <c r="AP277" s="1" t="s">
        <v>17</v>
      </c>
      <c r="AQ277" s="2" t="s">
        <v>17</v>
      </c>
      <c r="AR277" s="2" t="s">
        <v>17</v>
      </c>
      <c r="AS277" s="3"/>
      <c r="AT277" s="2"/>
      <c r="AU277" s="4"/>
      <c r="AV277" s="2"/>
      <c r="AW277" s="1" t="s">
        <v>17</v>
      </c>
      <c r="AX277" s="2" t="s">
        <v>17</v>
      </c>
      <c r="AY277" s="2" t="s">
        <v>17</v>
      </c>
      <c r="AZ277" s="5"/>
      <c r="BA277" s="6"/>
      <c r="BB277" s="4"/>
      <c r="BC277" s="6"/>
      <c r="BD277" s="6"/>
      <c r="BE277" s="6"/>
      <c r="BF277" s="7"/>
    </row>
    <row r="278" spans="1:58" ht="18" customHeight="1">
      <c r="A278" s="106" t="s">
        <v>15</v>
      </c>
      <c r="B278" s="93" t="s">
        <v>256</v>
      </c>
      <c r="C278" s="28">
        <v>380.78</v>
      </c>
      <c r="D278" s="28">
        <v>380.9</v>
      </c>
      <c r="E278" s="28">
        <v>380.84</v>
      </c>
      <c r="F278" s="28">
        <v>380.84</v>
      </c>
      <c r="G278" s="29">
        <v>12500.117513682701</v>
      </c>
      <c r="H278" s="29">
        <v>10108.513363862599</v>
      </c>
      <c r="I278" s="27">
        <f t="shared" si="10"/>
        <v>2</v>
      </c>
      <c r="J278" s="27">
        <f t="shared" si="11"/>
        <v>2</v>
      </c>
      <c r="K278" s="27">
        <f t="shared" si="9"/>
        <v>2</v>
      </c>
      <c r="L278" s="25">
        <v>684.70109275000004</v>
      </c>
      <c r="M278" s="25">
        <v>689.3878389001427</v>
      </c>
      <c r="N278" s="38">
        <v>0.52979341150283243</v>
      </c>
      <c r="O278" s="38">
        <v>-8.105805153993451</v>
      </c>
      <c r="P278" s="71">
        <v>-10.224978800004781</v>
      </c>
      <c r="Q278" s="53">
        <v>42675</v>
      </c>
      <c r="R278" s="23">
        <v>10</v>
      </c>
      <c r="S278" s="24">
        <v>686.68784200000005</v>
      </c>
      <c r="T278" s="24">
        <v>691.39318420109919</v>
      </c>
      <c r="U278" s="20">
        <v>0.53035826552538801</v>
      </c>
      <c r="V278" s="20">
        <v>-8.1662364019706715</v>
      </c>
      <c r="W278" s="20">
        <v>-10.287669464072223</v>
      </c>
      <c r="X278" s="22">
        <v>42675</v>
      </c>
      <c r="Y278" s="23">
        <v>10</v>
      </c>
      <c r="Z278" s="24">
        <v>682.71434350000004</v>
      </c>
      <c r="AA278" s="24">
        <v>687.38249359918632</v>
      </c>
      <c r="AB278" s="20">
        <v>0.52922855748027686</v>
      </c>
      <c r="AC278" s="20">
        <v>-8.0453739060162288</v>
      </c>
      <c r="AD278" s="20">
        <v>-10.162288135937336</v>
      </c>
      <c r="AE278" s="22" t="s">
        <v>17</v>
      </c>
      <c r="AF278" s="23"/>
      <c r="AG278" s="24" t="s">
        <v>17</v>
      </c>
      <c r="AH278" s="24" t="s">
        <v>17</v>
      </c>
      <c r="AI278" s="20" t="s">
        <v>17</v>
      </c>
      <c r="AJ278" s="20" t="s">
        <v>17</v>
      </c>
      <c r="AK278" s="20" t="s">
        <v>17</v>
      </c>
      <c r="AL278" s="21"/>
      <c r="AM278" s="20"/>
      <c r="AN278" s="24" t="s">
        <v>17</v>
      </c>
      <c r="AO278" s="24" t="s">
        <v>17</v>
      </c>
      <c r="AP278" s="20" t="s">
        <v>17</v>
      </c>
      <c r="AQ278" s="20" t="s">
        <v>17</v>
      </c>
      <c r="AR278" s="20" t="s">
        <v>17</v>
      </c>
      <c r="AS278" s="21"/>
      <c r="AT278" s="20"/>
      <c r="AU278" s="4"/>
      <c r="AV278" s="20"/>
      <c r="AW278" s="20" t="s">
        <v>17</v>
      </c>
      <c r="AX278" s="20" t="s">
        <v>17</v>
      </c>
      <c r="AY278" s="20" t="s">
        <v>17</v>
      </c>
      <c r="AZ278" s="5"/>
      <c r="BA278" s="6"/>
      <c r="BB278" s="4"/>
      <c r="BC278" s="6"/>
      <c r="BD278" s="6"/>
      <c r="BE278" s="6"/>
      <c r="BF278" s="7"/>
    </row>
    <row r="279" spans="1:58" ht="18" customHeight="1">
      <c r="A279" s="106" t="s">
        <v>15</v>
      </c>
      <c r="B279" s="93" t="s">
        <v>257</v>
      </c>
      <c r="C279" s="28">
        <v>381.9</v>
      </c>
      <c r="D279" s="28">
        <v>382.02</v>
      </c>
      <c r="E279" s="28">
        <v>381.96</v>
      </c>
      <c r="F279" s="28">
        <v>381.96</v>
      </c>
      <c r="G279" s="29">
        <v>12547.983661856801</v>
      </c>
      <c r="H279" s="29">
        <v>10153.1903218514</v>
      </c>
      <c r="I279" s="27">
        <f t="shared" si="10"/>
        <v>1</v>
      </c>
      <c r="J279" s="27">
        <f t="shared" si="11"/>
        <v>1</v>
      </c>
      <c r="K279" s="27">
        <f t="shared" si="9"/>
        <v>1</v>
      </c>
      <c r="L279" s="25">
        <v>683.83386900000005</v>
      </c>
      <c r="M279" s="25">
        <v>688.5137709411282</v>
      </c>
      <c r="N279" s="38">
        <v>0.52969226721821805</v>
      </c>
      <c r="O279" s="38">
        <v>-8.0304919017228915</v>
      </c>
      <c r="P279" s="71">
        <v>-10.149260970595764</v>
      </c>
      <c r="Q279" s="53">
        <v>43384</v>
      </c>
      <c r="R279" s="23">
        <v>9</v>
      </c>
      <c r="S279" s="24">
        <v>683.83386900000005</v>
      </c>
      <c r="T279" s="24">
        <v>688.5137709411282</v>
      </c>
      <c r="U279" s="20">
        <v>0.52969226721821805</v>
      </c>
      <c r="V279" s="20">
        <v>-8.0304919017228915</v>
      </c>
      <c r="W279" s="20">
        <v>-10.149260970595764</v>
      </c>
      <c r="X279" s="22" t="s">
        <v>17</v>
      </c>
      <c r="Y279" s="23"/>
      <c r="Z279" s="24" t="s">
        <v>17</v>
      </c>
      <c r="AA279" s="24" t="s">
        <v>17</v>
      </c>
      <c r="AB279" s="20" t="s">
        <v>17</v>
      </c>
      <c r="AC279" s="20" t="s">
        <v>17</v>
      </c>
      <c r="AD279" s="20" t="s">
        <v>17</v>
      </c>
      <c r="AE279" s="22" t="s">
        <v>17</v>
      </c>
      <c r="AF279" s="23"/>
      <c r="AG279" s="24" t="s">
        <v>17</v>
      </c>
      <c r="AH279" s="24" t="s">
        <v>17</v>
      </c>
      <c r="AI279" s="20" t="s">
        <v>17</v>
      </c>
      <c r="AJ279" s="20" t="s">
        <v>17</v>
      </c>
      <c r="AK279" s="20" t="s">
        <v>17</v>
      </c>
      <c r="AL279" s="21"/>
      <c r="AM279" s="20"/>
      <c r="AN279" s="24" t="s">
        <v>17</v>
      </c>
      <c r="AO279" s="24" t="s">
        <v>17</v>
      </c>
      <c r="AP279" s="20" t="s">
        <v>17</v>
      </c>
      <c r="AQ279" s="20" t="s">
        <v>17</v>
      </c>
      <c r="AR279" s="20" t="s">
        <v>17</v>
      </c>
      <c r="AS279" s="21"/>
      <c r="AT279" s="20"/>
      <c r="AU279" s="4"/>
      <c r="AV279" s="20"/>
      <c r="AW279" s="20" t="s">
        <v>17</v>
      </c>
      <c r="AX279" s="20" t="s">
        <v>17</v>
      </c>
      <c r="AY279" s="20" t="s">
        <v>17</v>
      </c>
      <c r="AZ279" s="5"/>
      <c r="BA279" s="6"/>
      <c r="BB279" s="4"/>
      <c r="BC279" s="6"/>
      <c r="BD279" s="6"/>
      <c r="BE279" s="6"/>
      <c r="BF279" s="7"/>
    </row>
    <row r="280" spans="1:58" ht="18" customHeight="1">
      <c r="A280" s="106" t="s">
        <v>15</v>
      </c>
      <c r="B280" s="93" t="s">
        <v>258</v>
      </c>
      <c r="C280" s="28">
        <v>383.37</v>
      </c>
      <c r="D280" s="28">
        <v>383.49</v>
      </c>
      <c r="E280" s="28">
        <v>383.43</v>
      </c>
      <c r="F280" s="28">
        <v>383.43</v>
      </c>
      <c r="G280" s="29">
        <v>12612.6913536313</v>
      </c>
      <c r="H280" s="29">
        <v>10205.1376485125</v>
      </c>
      <c r="I280" s="27">
        <f t="shared" si="10"/>
        <v>1</v>
      </c>
      <c r="J280" s="27">
        <f t="shared" si="11"/>
        <v>1</v>
      </c>
      <c r="K280" s="27">
        <f t="shared" si="9"/>
        <v>1</v>
      </c>
      <c r="L280" s="25">
        <v>697.28394100000003</v>
      </c>
      <c r="M280" s="25">
        <v>702.02172344090513</v>
      </c>
      <c r="N280" s="38">
        <v>0.5258997171062596</v>
      </c>
      <c r="O280" s="38">
        <v>-8.9365445199256488</v>
      </c>
      <c r="P280" s="71">
        <v>-11.040143388350687</v>
      </c>
      <c r="Q280" s="53">
        <v>42712</v>
      </c>
      <c r="R280" s="23">
        <v>7</v>
      </c>
      <c r="S280" s="24">
        <v>697.28394100000003</v>
      </c>
      <c r="T280" s="24">
        <v>702.02172344090513</v>
      </c>
      <c r="U280" s="20">
        <v>0.5258997171062596</v>
      </c>
      <c r="V280" s="20">
        <v>-8.9365445199256488</v>
      </c>
      <c r="W280" s="20">
        <v>-11.040143388350687</v>
      </c>
      <c r="X280" s="22" t="s">
        <v>17</v>
      </c>
      <c r="Y280" s="23"/>
      <c r="Z280" s="24" t="s">
        <v>17</v>
      </c>
      <c r="AA280" s="24" t="s">
        <v>17</v>
      </c>
      <c r="AB280" s="20" t="s">
        <v>17</v>
      </c>
      <c r="AC280" s="20" t="s">
        <v>17</v>
      </c>
      <c r="AD280" s="20" t="s">
        <v>17</v>
      </c>
      <c r="AE280" s="22" t="s">
        <v>17</v>
      </c>
      <c r="AF280" s="23"/>
      <c r="AG280" s="24" t="s">
        <v>17</v>
      </c>
      <c r="AH280" s="24" t="s">
        <v>17</v>
      </c>
      <c r="AI280" s="20" t="s">
        <v>17</v>
      </c>
      <c r="AJ280" s="20" t="s">
        <v>17</v>
      </c>
      <c r="AK280" s="20" t="s">
        <v>17</v>
      </c>
      <c r="AL280" s="21"/>
      <c r="AM280" s="20"/>
      <c r="AN280" s="24" t="s">
        <v>17</v>
      </c>
      <c r="AO280" s="24" t="s">
        <v>17</v>
      </c>
      <c r="AP280" s="20" t="s">
        <v>17</v>
      </c>
      <c r="AQ280" s="20" t="s">
        <v>17</v>
      </c>
      <c r="AR280" s="20" t="s">
        <v>17</v>
      </c>
      <c r="AS280" s="21"/>
      <c r="AT280" s="20"/>
      <c r="AU280" s="4"/>
      <c r="AV280" s="20"/>
      <c r="AW280" s="20" t="s">
        <v>17</v>
      </c>
      <c r="AX280" s="20" t="s">
        <v>17</v>
      </c>
      <c r="AY280" s="20" t="s">
        <v>17</v>
      </c>
      <c r="AZ280" s="5"/>
      <c r="BA280" s="6"/>
      <c r="BB280" s="4"/>
      <c r="BC280" s="6"/>
      <c r="BD280" s="6"/>
      <c r="BE280" s="6"/>
      <c r="BF280" s="7"/>
    </row>
    <row r="281" spans="1:58" ht="18" customHeight="1">
      <c r="A281" s="106" t="s">
        <v>15</v>
      </c>
      <c r="B281" s="93" t="s">
        <v>259</v>
      </c>
      <c r="C281" s="28">
        <v>384.74</v>
      </c>
      <c r="D281" s="28">
        <v>384.86</v>
      </c>
      <c r="E281" s="28">
        <v>384.8</v>
      </c>
      <c r="F281" s="28">
        <v>384.8</v>
      </c>
      <c r="G281" s="29">
        <v>12674.8647513866</v>
      </c>
      <c r="H281" s="29">
        <v>10253.612049375</v>
      </c>
      <c r="I281" s="27">
        <f t="shared" si="10"/>
        <v>1</v>
      </c>
      <c r="J281" s="27">
        <f t="shared" si="11"/>
        <v>1</v>
      </c>
      <c r="K281" s="27">
        <f t="shared" si="9"/>
        <v>1</v>
      </c>
      <c r="L281" s="25">
        <v>698.83540900000003</v>
      </c>
      <c r="M281" s="25">
        <v>703.58818780731826</v>
      </c>
      <c r="N281" s="38">
        <v>0.52639309922164479</v>
      </c>
      <c r="O281" s="38">
        <v>-7.917154691566064</v>
      </c>
      <c r="P281" s="71">
        <v>-10.022727088452644</v>
      </c>
      <c r="Q281" s="53">
        <v>42730</v>
      </c>
      <c r="R281" s="23">
        <v>13</v>
      </c>
      <c r="S281" s="24">
        <v>698.83540900000003</v>
      </c>
      <c r="T281" s="24">
        <v>703.58818780731826</v>
      </c>
      <c r="U281" s="20">
        <v>0.52639309922164479</v>
      </c>
      <c r="V281" s="20">
        <v>-7.917154691566064</v>
      </c>
      <c r="W281" s="20">
        <v>-10.022727088452644</v>
      </c>
      <c r="X281" s="22" t="s">
        <v>17</v>
      </c>
      <c r="Y281" s="23"/>
      <c r="Z281" s="24" t="s">
        <v>17</v>
      </c>
      <c r="AA281" s="24" t="s">
        <v>17</v>
      </c>
      <c r="AB281" s="20" t="s">
        <v>17</v>
      </c>
      <c r="AC281" s="20" t="s">
        <v>17</v>
      </c>
      <c r="AD281" s="20" t="s">
        <v>17</v>
      </c>
      <c r="AE281" s="22" t="s">
        <v>17</v>
      </c>
      <c r="AF281" s="23"/>
      <c r="AG281" s="24" t="s">
        <v>17</v>
      </c>
      <c r="AH281" s="24" t="s">
        <v>17</v>
      </c>
      <c r="AI281" s="20" t="s">
        <v>17</v>
      </c>
      <c r="AJ281" s="20" t="s">
        <v>17</v>
      </c>
      <c r="AK281" s="20" t="s">
        <v>17</v>
      </c>
      <c r="AL281" s="21"/>
      <c r="AM281" s="20"/>
      <c r="AN281" s="24" t="s">
        <v>17</v>
      </c>
      <c r="AO281" s="24" t="s">
        <v>17</v>
      </c>
      <c r="AP281" s="20" t="s">
        <v>17</v>
      </c>
      <c r="AQ281" s="20" t="s">
        <v>17</v>
      </c>
      <c r="AR281" s="20" t="s">
        <v>17</v>
      </c>
      <c r="AS281" s="21"/>
      <c r="AT281" s="20"/>
      <c r="AU281" s="4"/>
      <c r="AV281" s="20"/>
      <c r="AW281" s="20" t="s">
        <v>17</v>
      </c>
      <c r="AX281" s="20" t="s">
        <v>17</v>
      </c>
      <c r="AY281" s="20" t="s">
        <v>17</v>
      </c>
      <c r="AZ281" s="5"/>
      <c r="BA281" s="6"/>
      <c r="BB281" s="4"/>
      <c r="BC281" s="6"/>
      <c r="BD281" s="6"/>
      <c r="BE281" s="6"/>
      <c r="BF281" s="7"/>
    </row>
    <row r="282" spans="1:58" ht="18" customHeight="1">
      <c r="A282" s="106" t="s">
        <v>15</v>
      </c>
      <c r="B282" s="93" t="s">
        <v>260</v>
      </c>
      <c r="C282" s="28">
        <v>385.81</v>
      </c>
      <c r="D282" s="28">
        <v>385.93</v>
      </c>
      <c r="E282" s="28">
        <v>385.87</v>
      </c>
      <c r="F282" s="28">
        <v>385.87</v>
      </c>
      <c r="G282" s="29">
        <v>12725.3318768799</v>
      </c>
      <c r="H282" s="29">
        <v>10292.7195223895</v>
      </c>
      <c r="I282" s="27">
        <f t="shared" si="10"/>
        <v>2</v>
      </c>
      <c r="J282" s="27">
        <f t="shared" si="11"/>
        <v>2</v>
      </c>
      <c r="K282" s="27">
        <f t="shared" si="9"/>
        <v>0</v>
      </c>
      <c r="L282" s="25">
        <v>696.06686824999997</v>
      </c>
      <c r="M282" s="25">
        <v>700.74461231315581</v>
      </c>
      <c r="N282" s="38">
        <v>0.5201446314492264</v>
      </c>
      <c r="O282" s="38"/>
      <c r="P282" s="71"/>
      <c r="Q282" s="53">
        <v>42621</v>
      </c>
      <c r="R282" s="23">
        <v>3</v>
      </c>
      <c r="S282" s="24">
        <v>695.38457749999998</v>
      </c>
      <c r="T282" s="24">
        <v>700.07026608695708</v>
      </c>
      <c r="U282" s="20">
        <v>0.52153787560138554</v>
      </c>
      <c r="V282" s="20"/>
      <c r="W282" s="20"/>
      <c r="X282" s="22">
        <v>42621</v>
      </c>
      <c r="Y282" s="23">
        <v>3</v>
      </c>
      <c r="Z282" s="24">
        <v>696.74915899999996</v>
      </c>
      <c r="AA282" s="24">
        <v>701.41895853935466</v>
      </c>
      <c r="AB282" s="20">
        <v>0.51875138729706727</v>
      </c>
      <c r="AC282" s="20"/>
      <c r="AD282" s="20"/>
      <c r="AE282" s="22" t="s">
        <v>17</v>
      </c>
      <c r="AF282" s="23"/>
      <c r="AG282" s="24" t="s">
        <v>17</v>
      </c>
      <c r="AH282" s="24" t="s">
        <v>17</v>
      </c>
      <c r="AI282" s="20" t="s">
        <v>17</v>
      </c>
      <c r="AJ282" s="20" t="s">
        <v>17</v>
      </c>
      <c r="AK282" s="20" t="s">
        <v>17</v>
      </c>
      <c r="AL282" s="21"/>
      <c r="AM282" s="20"/>
      <c r="AN282" s="24" t="s">
        <v>17</v>
      </c>
      <c r="AO282" s="24" t="s">
        <v>17</v>
      </c>
      <c r="AP282" s="20" t="s">
        <v>17</v>
      </c>
      <c r="AQ282" s="20" t="s">
        <v>17</v>
      </c>
      <c r="AR282" s="20" t="s">
        <v>17</v>
      </c>
      <c r="AS282" s="21"/>
      <c r="AT282" s="20"/>
      <c r="AU282" s="4"/>
      <c r="AV282" s="20"/>
      <c r="AW282" s="20" t="s">
        <v>17</v>
      </c>
      <c r="AX282" s="20" t="s">
        <v>17</v>
      </c>
      <c r="AY282" s="20" t="s">
        <v>17</v>
      </c>
      <c r="AZ282" s="5"/>
      <c r="BA282" s="6"/>
      <c r="BB282" s="4"/>
      <c r="BC282" s="6"/>
      <c r="BD282" s="6"/>
      <c r="BE282" s="6"/>
      <c r="BF282" s="7"/>
    </row>
    <row r="283" spans="1:58" ht="18" customHeight="1">
      <c r="A283" s="106" t="s">
        <v>15</v>
      </c>
      <c r="B283" s="93" t="s">
        <v>261</v>
      </c>
      <c r="C283" s="28">
        <v>387.69</v>
      </c>
      <c r="D283" s="28">
        <v>387.81</v>
      </c>
      <c r="E283" s="28">
        <v>387.75</v>
      </c>
      <c r="F283" s="28">
        <v>387.75</v>
      </c>
      <c r="G283" s="29">
        <v>12815.014635924999</v>
      </c>
      <c r="H283" s="29">
        <v>10362.442319309701</v>
      </c>
      <c r="I283" s="27">
        <f t="shared" si="10"/>
        <v>1</v>
      </c>
      <c r="J283" s="27">
        <f t="shared" si="11"/>
        <v>1</v>
      </c>
      <c r="K283" s="27">
        <f t="shared" si="9"/>
        <v>1</v>
      </c>
      <c r="L283" s="25">
        <v>695.09196399999996</v>
      </c>
      <c r="M283" s="25">
        <v>699.70139790069902</v>
      </c>
      <c r="N283" s="38">
        <v>0.51326637085891136</v>
      </c>
      <c r="O283" s="38">
        <v>-10.142631820272641</v>
      </c>
      <c r="P283" s="71">
        <v>-12.195697303708286</v>
      </c>
      <c r="Q283" s="53">
        <v>43486</v>
      </c>
      <c r="R283" s="23">
        <v>11</v>
      </c>
      <c r="S283" s="24">
        <v>695.09196399999996</v>
      </c>
      <c r="T283" s="24">
        <v>699.70139790069902</v>
      </c>
      <c r="U283" s="20">
        <v>0.51326637085891136</v>
      </c>
      <c r="V283" s="20">
        <v>-10.142631820272641</v>
      </c>
      <c r="W283" s="20">
        <v>-12.195697303708286</v>
      </c>
      <c r="X283" s="22" t="s">
        <v>17</v>
      </c>
      <c r="Y283" s="23"/>
      <c r="Z283" s="24" t="s">
        <v>17</v>
      </c>
      <c r="AA283" s="24" t="s">
        <v>17</v>
      </c>
      <c r="AB283" s="20" t="s">
        <v>17</v>
      </c>
      <c r="AC283" s="20" t="s">
        <v>17</v>
      </c>
      <c r="AD283" s="20" t="s">
        <v>17</v>
      </c>
      <c r="AE283" s="22" t="s">
        <v>17</v>
      </c>
      <c r="AF283" s="23"/>
      <c r="AG283" s="24" t="s">
        <v>17</v>
      </c>
      <c r="AH283" s="24" t="s">
        <v>17</v>
      </c>
      <c r="AI283" s="20" t="s">
        <v>17</v>
      </c>
      <c r="AJ283" s="20" t="s">
        <v>17</v>
      </c>
      <c r="AK283" s="20" t="s">
        <v>17</v>
      </c>
      <c r="AL283" s="21"/>
      <c r="AM283" s="20"/>
      <c r="AN283" s="24" t="s">
        <v>17</v>
      </c>
      <c r="AO283" s="24" t="s">
        <v>17</v>
      </c>
      <c r="AP283" s="20" t="s">
        <v>17</v>
      </c>
      <c r="AQ283" s="20" t="s">
        <v>17</v>
      </c>
      <c r="AR283" s="20" t="s">
        <v>17</v>
      </c>
      <c r="AS283" s="21"/>
      <c r="AT283" s="20"/>
      <c r="AU283" s="4"/>
      <c r="AV283" s="20"/>
      <c r="AW283" s="20" t="s">
        <v>17</v>
      </c>
      <c r="AX283" s="20" t="s">
        <v>17</v>
      </c>
      <c r="AY283" s="20" t="s">
        <v>17</v>
      </c>
      <c r="AZ283" s="5"/>
      <c r="BA283" s="6"/>
      <c r="BB283" s="4"/>
      <c r="BC283" s="6"/>
      <c r="BD283" s="6"/>
      <c r="BE283" s="6"/>
      <c r="BF283" s="7"/>
    </row>
    <row r="284" spans="1:58" ht="18" customHeight="1">
      <c r="A284" s="106" t="s">
        <v>15</v>
      </c>
      <c r="B284" s="93" t="s">
        <v>262</v>
      </c>
      <c r="C284" s="28">
        <v>388.81</v>
      </c>
      <c r="D284" s="28">
        <v>388.93</v>
      </c>
      <c r="E284" s="28">
        <v>388.87</v>
      </c>
      <c r="F284" s="28">
        <v>388.87</v>
      </c>
      <c r="G284" s="29">
        <v>12869.412144436699</v>
      </c>
      <c r="H284" s="29">
        <v>10403.687554656701</v>
      </c>
      <c r="I284" s="27">
        <f t="shared" si="10"/>
        <v>1</v>
      </c>
      <c r="J284" s="27">
        <f t="shared" si="11"/>
        <v>1</v>
      </c>
      <c r="K284" s="27">
        <f t="shared" si="9"/>
        <v>1</v>
      </c>
      <c r="L284" s="25">
        <v>693.58074149999993</v>
      </c>
      <c r="M284" s="25">
        <v>698.17146958734781</v>
      </c>
      <c r="N284" s="38">
        <v>0.51229725703771933</v>
      </c>
      <c r="O284" s="38">
        <v>-10.004141548963785</v>
      </c>
      <c r="P284" s="71">
        <v>-12.053330577114663</v>
      </c>
      <c r="Q284" s="53">
        <v>43396</v>
      </c>
      <c r="R284" s="23">
        <v>9</v>
      </c>
      <c r="S284" s="24">
        <v>693.58074149999993</v>
      </c>
      <c r="T284" s="24">
        <v>698.17146958734781</v>
      </c>
      <c r="U284" s="20">
        <v>0.51229725703771933</v>
      </c>
      <c r="V284" s="20">
        <v>-10.004141548963785</v>
      </c>
      <c r="W284" s="20">
        <v>-12.053330577114663</v>
      </c>
      <c r="X284" s="22" t="s">
        <v>17</v>
      </c>
      <c r="Y284" s="23"/>
      <c r="Z284" s="24" t="s">
        <v>17</v>
      </c>
      <c r="AA284" s="24" t="s">
        <v>17</v>
      </c>
      <c r="AB284" s="20" t="s">
        <v>17</v>
      </c>
      <c r="AC284" s="20" t="s">
        <v>17</v>
      </c>
      <c r="AD284" s="20" t="s">
        <v>17</v>
      </c>
      <c r="AE284" s="22" t="s">
        <v>17</v>
      </c>
      <c r="AF284" s="23"/>
      <c r="AG284" s="24" t="s">
        <v>17</v>
      </c>
      <c r="AH284" s="24" t="s">
        <v>17</v>
      </c>
      <c r="AI284" s="20" t="s">
        <v>17</v>
      </c>
      <c r="AJ284" s="20" t="s">
        <v>17</v>
      </c>
      <c r="AK284" s="20" t="s">
        <v>17</v>
      </c>
      <c r="AL284" s="21"/>
      <c r="AM284" s="20"/>
      <c r="AN284" s="24" t="s">
        <v>17</v>
      </c>
      <c r="AO284" s="24" t="s">
        <v>17</v>
      </c>
      <c r="AP284" s="20" t="s">
        <v>17</v>
      </c>
      <c r="AQ284" s="20" t="s">
        <v>17</v>
      </c>
      <c r="AR284" s="20" t="s">
        <v>17</v>
      </c>
      <c r="AS284" s="21"/>
      <c r="AT284" s="20"/>
      <c r="AU284" s="4"/>
      <c r="AV284" s="20"/>
      <c r="AW284" s="20" t="s">
        <v>17</v>
      </c>
      <c r="AX284" s="20" t="s">
        <v>17</v>
      </c>
      <c r="AY284" s="20" t="s">
        <v>17</v>
      </c>
      <c r="AZ284" s="5"/>
      <c r="BA284" s="6"/>
      <c r="BB284" s="4"/>
      <c r="BC284" s="6"/>
      <c r="BD284" s="6"/>
      <c r="BE284" s="6"/>
      <c r="BF284" s="7"/>
    </row>
    <row r="285" spans="1:58" ht="18" customHeight="1">
      <c r="A285" s="106" t="s">
        <v>15</v>
      </c>
      <c r="B285" s="93" t="s">
        <v>263</v>
      </c>
      <c r="C285" s="28">
        <v>390.31</v>
      </c>
      <c r="D285" s="28">
        <v>390.43</v>
      </c>
      <c r="E285" s="28">
        <v>390.37</v>
      </c>
      <c r="F285" s="28">
        <v>390.37</v>
      </c>
      <c r="G285" s="29">
        <v>12942.589505657699</v>
      </c>
      <c r="H285" s="29">
        <v>10456.645640822</v>
      </c>
      <c r="I285" s="27">
        <f t="shared" si="10"/>
        <v>1</v>
      </c>
      <c r="J285" s="27">
        <f t="shared" si="11"/>
        <v>1</v>
      </c>
      <c r="K285" s="27">
        <f t="shared" si="9"/>
        <v>1</v>
      </c>
      <c r="L285" s="25">
        <v>693.34029650000002</v>
      </c>
      <c r="M285" s="25">
        <v>698.01876272305879</v>
      </c>
      <c r="N285" s="38">
        <v>0.52226935403809627</v>
      </c>
      <c r="O285" s="38">
        <v>-6.5540832092667589</v>
      </c>
      <c r="P285" s="71">
        <v>-8.643160625419144</v>
      </c>
      <c r="Q285" s="53">
        <v>42724</v>
      </c>
      <c r="R285" s="23">
        <v>13</v>
      </c>
      <c r="S285" s="24">
        <v>693.34029650000002</v>
      </c>
      <c r="T285" s="24">
        <v>698.01876272305879</v>
      </c>
      <c r="U285" s="20">
        <v>0.52226935403809627</v>
      </c>
      <c r="V285" s="20">
        <v>-6.5540832092667589</v>
      </c>
      <c r="W285" s="20">
        <v>-8.643160625419144</v>
      </c>
      <c r="X285" s="22" t="s">
        <v>17</v>
      </c>
      <c r="Y285" s="23"/>
      <c r="Z285" s="24" t="s">
        <v>17</v>
      </c>
      <c r="AA285" s="24" t="s">
        <v>17</v>
      </c>
      <c r="AB285" s="20" t="s">
        <v>17</v>
      </c>
      <c r="AC285" s="20" t="s">
        <v>17</v>
      </c>
      <c r="AD285" s="20" t="s">
        <v>17</v>
      </c>
      <c r="AE285" s="22" t="s">
        <v>17</v>
      </c>
      <c r="AF285" s="23"/>
      <c r="AG285" s="24" t="s">
        <v>17</v>
      </c>
      <c r="AH285" s="24" t="s">
        <v>17</v>
      </c>
      <c r="AI285" s="20" t="s">
        <v>17</v>
      </c>
      <c r="AJ285" s="20" t="s">
        <v>17</v>
      </c>
      <c r="AK285" s="20" t="s">
        <v>17</v>
      </c>
      <c r="AL285" s="21"/>
      <c r="AM285" s="20"/>
      <c r="AN285" s="24" t="s">
        <v>17</v>
      </c>
      <c r="AO285" s="24" t="s">
        <v>17</v>
      </c>
      <c r="AP285" s="20" t="s">
        <v>17</v>
      </c>
      <c r="AQ285" s="20" t="s">
        <v>17</v>
      </c>
      <c r="AR285" s="20" t="s">
        <v>17</v>
      </c>
      <c r="AS285" s="21"/>
      <c r="AT285" s="20"/>
      <c r="AU285" s="4"/>
      <c r="AV285" s="20"/>
      <c r="AW285" s="20" t="s">
        <v>17</v>
      </c>
      <c r="AX285" s="20" t="s">
        <v>17</v>
      </c>
      <c r="AY285" s="20" t="s">
        <v>17</v>
      </c>
      <c r="AZ285" s="5"/>
      <c r="BA285" s="6"/>
      <c r="BB285" s="4"/>
      <c r="BC285" s="6"/>
      <c r="BD285" s="6"/>
      <c r="BE285" s="6"/>
      <c r="BF285" s="7"/>
    </row>
    <row r="286" spans="1:58" ht="18" customHeight="1">
      <c r="A286" s="106" t="s">
        <v>15</v>
      </c>
      <c r="B286" s="93" t="s">
        <v>264</v>
      </c>
      <c r="C286" s="28">
        <v>391.31</v>
      </c>
      <c r="D286" s="28">
        <v>391.43</v>
      </c>
      <c r="E286" s="28">
        <v>391.37</v>
      </c>
      <c r="F286" s="28">
        <v>391.37</v>
      </c>
      <c r="G286" s="29">
        <v>12990.8729774286</v>
      </c>
      <c r="H286" s="29">
        <v>10490.5317160946</v>
      </c>
      <c r="I286" s="27">
        <f t="shared" si="10"/>
        <v>1</v>
      </c>
      <c r="J286" s="27">
        <f t="shared" si="11"/>
        <v>1</v>
      </c>
      <c r="K286" s="27">
        <f t="shared" si="9"/>
        <v>1</v>
      </c>
      <c r="L286" s="25">
        <v>691.7955280000001</v>
      </c>
      <c r="M286" s="25">
        <v>696.42897089651672</v>
      </c>
      <c r="N286" s="38">
        <v>0.51839827907285141</v>
      </c>
      <c r="O286" s="38">
        <v>-10.890508077675554</v>
      </c>
      <c r="P286" s="71">
        <v>-12.964101193966959</v>
      </c>
      <c r="Q286" s="53">
        <v>42688</v>
      </c>
      <c r="R286" s="23">
        <v>11</v>
      </c>
      <c r="S286" s="24">
        <v>691.7955280000001</v>
      </c>
      <c r="T286" s="24">
        <v>696.42897089651672</v>
      </c>
      <c r="U286" s="20">
        <v>0.51839827907285141</v>
      </c>
      <c r="V286" s="20">
        <v>-10.890508077675554</v>
      </c>
      <c r="W286" s="20">
        <v>-12.964101193966959</v>
      </c>
      <c r="X286" s="22" t="s">
        <v>17</v>
      </c>
      <c r="Y286" s="23"/>
      <c r="Z286" s="24" t="s">
        <v>17</v>
      </c>
      <c r="AA286" s="24" t="s">
        <v>17</v>
      </c>
      <c r="AB286" s="20" t="s">
        <v>17</v>
      </c>
      <c r="AC286" s="20" t="s">
        <v>17</v>
      </c>
      <c r="AD286" s="20" t="s">
        <v>17</v>
      </c>
      <c r="AE286" s="22" t="s">
        <v>17</v>
      </c>
      <c r="AF286" s="23"/>
      <c r="AG286" s="24" t="s">
        <v>17</v>
      </c>
      <c r="AH286" s="24" t="s">
        <v>17</v>
      </c>
      <c r="AI286" s="20" t="s">
        <v>17</v>
      </c>
      <c r="AJ286" s="20" t="s">
        <v>17</v>
      </c>
      <c r="AK286" s="20" t="s">
        <v>17</v>
      </c>
      <c r="AL286" s="21"/>
      <c r="AM286" s="20"/>
      <c r="AN286" s="24" t="s">
        <v>17</v>
      </c>
      <c r="AO286" s="24" t="s">
        <v>17</v>
      </c>
      <c r="AP286" s="20" t="s">
        <v>17</v>
      </c>
      <c r="AQ286" s="20" t="s">
        <v>17</v>
      </c>
      <c r="AR286" s="20" t="s">
        <v>17</v>
      </c>
      <c r="AS286" s="21"/>
      <c r="AT286" s="20"/>
      <c r="AU286" s="4"/>
      <c r="AV286" s="20"/>
      <c r="AW286" s="20" t="s">
        <v>17</v>
      </c>
      <c r="AX286" s="20" t="s">
        <v>17</v>
      </c>
      <c r="AY286" s="20" t="s">
        <v>17</v>
      </c>
      <c r="AZ286" s="5"/>
      <c r="BA286" s="6"/>
      <c r="BB286" s="4"/>
      <c r="BC286" s="6"/>
      <c r="BD286" s="6"/>
      <c r="BE286" s="6"/>
      <c r="BF286" s="7"/>
    </row>
    <row r="287" spans="1:58" ht="18" customHeight="1">
      <c r="A287" s="106" t="s">
        <v>15</v>
      </c>
      <c r="B287" s="93" t="s">
        <v>265</v>
      </c>
      <c r="C287" s="28">
        <v>392.81</v>
      </c>
      <c r="D287" s="28">
        <v>392.93</v>
      </c>
      <c r="E287" s="28">
        <v>392.87</v>
      </c>
      <c r="F287" s="28">
        <v>392.87</v>
      </c>
      <c r="G287" s="29">
        <v>13060.7512398862</v>
      </c>
      <c r="H287" s="29">
        <v>10542.1199445329</v>
      </c>
      <c r="I287" s="27">
        <f t="shared" si="10"/>
        <v>1</v>
      </c>
      <c r="J287" s="27">
        <f t="shared" si="11"/>
        <v>1</v>
      </c>
      <c r="K287" s="27">
        <f t="shared" si="9"/>
        <v>1</v>
      </c>
      <c r="L287" s="25">
        <v>686.124099</v>
      </c>
      <c r="M287" s="25">
        <v>690.68705571662065</v>
      </c>
      <c r="N287" s="38">
        <v>0.51473199239171485</v>
      </c>
      <c r="O287" s="38">
        <v>-8.5679580689141943</v>
      </c>
      <c r="P287" s="71">
        <v>-10.626886038481054</v>
      </c>
      <c r="Q287" s="53">
        <v>43503</v>
      </c>
      <c r="R287" s="23">
        <v>8</v>
      </c>
      <c r="S287" s="24">
        <v>686.124099</v>
      </c>
      <c r="T287" s="24">
        <v>690.68705571662065</v>
      </c>
      <c r="U287" s="20">
        <v>0.51473199239171485</v>
      </c>
      <c r="V287" s="20">
        <v>-8.5679580689141943</v>
      </c>
      <c r="W287" s="20">
        <v>-10.626886038481054</v>
      </c>
      <c r="X287" s="22" t="s">
        <v>17</v>
      </c>
      <c r="Y287" s="23"/>
      <c r="Z287" s="24" t="s">
        <v>17</v>
      </c>
      <c r="AA287" s="24" t="s">
        <v>17</v>
      </c>
      <c r="AB287" s="20" t="s">
        <v>17</v>
      </c>
      <c r="AC287" s="20" t="s">
        <v>17</v>
      </c>
      <c r="AD287" s="20" t="s">
        <v>17</v>
      </c>
      <c r="AE287" s="22" t="s">
        <v>17</v>
      </c>
      <c r="AF287" s="23"/>
      <c r="AG287" s="24" t="s">
        <v>17</v>
      </c>
      <c r="AH287" s="24" t="s">
        <v>17</v>
      </c>
      <c r="AI287" s="20" t="s">
        <v>17</v>
      </c>
      <c r="AJ287" s="20" t="s">
        <v>17</v>
      </c>
      <c r="AK287" s="20" t="s">
        <v>17</v>
      </c>
      <c r="AL287" s="21"/>
      <c r="AM287" s="20"/>
      <c r="AN287" s="24" t="s">
        <v>17</v>
      </c>
      <c r="AO287" s="24" t="s">
        <v>17</v>
      </c>
      <c r="AP287" s="20" t="s">
        <v>17</v>
      </c>
      <c r="AQ287" s="20" t="s">
        <v>17</v>
      </c>
      <c r="AR287" s="20" t="s">
        <v>17</v>
      </c>
      <c r="AS287" s="21"/>
      <c r="AT287" s="20"/>
      <c r="AU287" s="4"/>
      <c r="AV287" s="20"/>
      <c r="AW287" s="20" t="s">
        <v>17</v>
      </c>
      <c r="AX287" s="20" t="s">
        <v>17</v>
      </c>
      <c r="AY287" s="20" t="s">
        <v>17</v>
      </c>
      <c r="AZ287" s="5"/>
      <c r="BA287" s="6"/>
      <c r="BB287" s="4"/>
      <c r="BC287" s="6"/>
      <c r="BD287" s="6"/>
      <c r="BE287" s="6"/>
      <c r="BF287" s="7"/>
    </row>
    <row r="288" spans="1:58" ht="18" customHeight="1">
      <c r="A288" s="106" t="s">
        <v>15</v>
      </c>
      <c r="B288" s="93" t="s">
        <v>266</v>
      </c>
      <c r="C288" s="28">
        <v>394.31</v>
      </c>
      <c r="D288" s="28">
        <v>394.43</v>
      </c>
      <c r="E288" s="28">
        <v>394.37</v>
      </c>
      <c r="F288" s="28">
        <v>394.37</v>
      </c>
      <c r="G288" s="29">
        <v>13128.66873182</v>
      </c>
      <c r="H288" s="29">
        <v>10599.3168709073</v>
      </c>
      <c r="I288" s="27">
        <f t="shared" si="10"/>
        <v>1</v>
      </c>
      <c r="J288" s="27">
        <f t="shared" si="11"/>
        <v>1</v>
      </c>
      <c r="K288" s="27">
        <f t="shared" si="9"/>
        <v>1</v>
      </c>
      <c r="L288" s="25">
        <v>683.13311550000003</v>
      </c>
      <c r="M288" s="25">
        <v>687.72882416155073</v>
      </c>
      <c r="N288" s="38">
        <v>0.52069647436669975</v>
      </c>
      <c r="O288" s="38">
        <v>-9.3426288198454888</v>
      </c>
      <c r="P288" s="71">
        <v>-11.425414717312288</v>
      </c>
      <c r="Q288" s="53">
        <v>42712</v>
      </c>
      <c r="R288" s="23">
        <v>13</v>
      </c>
      <c r="S288" s="24">
        <v>683.13311550000003</v>
      </c>
      <c r="T288" s="24">
        <v>687.72882416155073</v>
      </c>
      <c r="U288" s="20">
        <v>0.52069647436669975</v>
      </c>
      <c r="V288" s="20">
        <v>-9.3426288198454888</v>
      </c>
      <c r="W288" s="20">
        <v>-11.425414717312288</v>
      </c>
      <c r="X288" s="22" t="s">
        <v>17</v>
      </c>
      <c r="Y288" s="23"/>
      <c r="Z288" s="24" t="s">
        <v>17</v>
      </c>
      <c r="AA288" s="24" t="s">
        <v>17</v>
      </c>
      <c r="AB288" s="20" t="s">
        <v>17</v>
      </c>
      <c r="AC288" s="20" t="s">
        <v>17</v>
      </c>
      <c r="AD288" s="20" t="s">
        <v>17</v>
      </c>
      <c r="AE288" s="22" t="s">
        <v>17</v>
      </c>
      <c r="AF288" s="23"/>
      <c r="AG288" s="24" t="s">
        <v>17</v>
      </c>
      <c r="AH288" s="24" t="s">
        <v>17</v>
      </c>
      <c r="AI288" s="20" t="s">
        <v>17</v>
      </c>
      <c r="AJ288" s="20" t="s">
        <v>17</v>
      </c>
      <c r="AK288" s="20" t="s">
        <v>17</v>
      </c>
      <c r="AL288" s="21"/>
      <c r="AM288" s="20"/>
      <c r="AN288" s="24" t="s">
        <v>17</v>
      </c>
      <c r="AO288" s="24" t="s">
        <v>17</v>
      </c>
      <c r="AP288" s="20" t="s">
        <v>17</v>
      </c>
      <c r="AQ288" s="20" t="s">
        <v>17</v>
      </c>
      <c r="AR288" s="20" t="s">
        <v>17</v>
      </c>
      <c r="AS288" s="21"/>
      <c r="AT288" s="20"/>
      <c r="AU288" s="4"/>
      <c r="AV288" s="20"/>
      <c r="AW288" s="20" t="s">
        <v>17</v>
      </c>
      <c r="AX288" s="20" t="s">
        <v>17</v>
      </c>
      <c r="AY288" s="20" t="s">
        <v>17</v>
      </c>
      <c r="AZ288" s="5"/>
      <c r="BA288" s="6"/>
      <c r="BB288" s="4"/>
      <c r="BC288" s="6"/>
      <c r="BD288" s="6"/>
      <c r="BE288" s="6"/>
      <c r="BF288" s="7"/>
    </row>
    <row r="289" spans="1:58" ht="18" customHeight="1">
      <c r="A289" s="106" t="s">
        <v>15</v>
      </c>
      <c r="B289" s="93" t="s">
        <v>267</v>
      </c>
      <c r="C289" s="28">
        <v>396.19</v>
      </c>
      <c r="D289" s="28">
        <v>396.31</v>
      </c>
      <c r="E289" s="28">
        <v>396.25</v>
      </c>
      <c r="F289" s="28">
        <v>396.25</v>
      </c>
      <c r="G289" s="29">
        <v>13217.602486239701</v>
      </c>
      <c r="H289" s="29">
        <v>10665.198487706701</v>
      </c>
      <c r="I289" s="27">
        <f t="shared" si="10"/>
        <v>1</v>
      </c>
      <c r="J289" s="27">
        <f t="shared" si="11"/>
        <v>1</v>
      </c>
      <c r="K289" s="27">
        <f t="shared" si="9"/>
        <v>1</v>
      </c>
      <c r="L289" s="25">
        <v>681.885852</v>
      </c>
      <c r="M289" s="25">
        <v>686.51325568791094</v>
      </c>
      <c r="N289" s="38">
        <v>0.52524653375396468</v>
      </c>
      <c r="O289" s="38">
        <v>-8.4416607554944623</v>
      </c>
      <c r="P289" s="71">
        <v>-10.542646890510321</v>
      </c>
      <c r="Q289" s="53">
        <v>43480</v>
      </c>
      <c r="R289" s="23">
        <v>12</v>
      </c>
      <c r="S289" s="24">
        <v>681.885852</v>
      </c>
      <c r="T289" s="24">
        <v>686.51325568791094</v>
      </c>
      <c r="U289" s="20">
        <v>0.52524653375396468</v>
      </c>
      <c r="V289" s="20">
        <v>-8.4416607554944623</v>
      </c>
      <c r="W289" s="20">
        <v>-10.542646890510321</v>
      </c>
      <c r="X289" s="22" t="s">
        <v>17</v>
      </c>
      <c r="Y289" s="23"/>
      <c r="Z289" s="24" t="s">
        <v>17</v>
      </c>
      <c r="AA289" s="24" t="s">
        <v>17</v>
      </c>
      <c r="AB289" s="20" t="s">
        <v>17</v>
      </c>
      <c r="AC289" s="20" t="s">
        <v>17</v>
      </c>
      <c r="AD289" s="20" t="s">
        <v>17</v>
      </c>
      <c r="AE289" s="22" t="s">
        <v>17</v>
      </c>
      <c r="AF289" s="23"/>
      <c r="AG289" s="24" t="s">
        <v>17</v>
      </c>
      <c r="AH289" s="24" t="s">
        <v>17</v>
      </c>
      <c r="AI289" s="20" t="s">
        <v>17</v>
      </c>
      <c r="AJ289" s="20" t="s">
        <v>17</v>
      </c>
      <c r="AK289" s="20" t="s">
        <v>17</v>
      </c>
      <c r="AL289" s="21"/>
      <c r="AM289" s="20"/>
      <c r="AN289" s="24" t="s">
        <v>17</v>
      </c>
      <c r="AO289" s="24" t="s">
        <v>17</v>
      </c>
      <c r="AP289" s="20" t="s">
        <v>17</v>
      </c>
      <c r="AQ289" s="20" t="s">
        <v>17</v>
      </c>
      <c r="AR289" s="20" t="s">
        <v>17</v>
      </c>
      <c r="AS289" s="21"/>
      <c r="AT289" s="20"/>
      <c r="AU289" s="4"/>
      <c r="AV289" s="20"/>
      <c r="AW289" s="20" t="s">
        <v>17</v>
      </c>
      <c r="AX289" s="20" t="s">
        <v>17</v>
      </c>
      <c r="AY289" s="20" t="s">
        <v>17</v>
      </c>
      <c r="AZ289" s="5"/>
      <c r="BA289" s="6"/>
      <c r="BB289" s="4"/>
      <c r="BC289" s="6"/>
      <c r="BD289" s="6"/>
      <c r="BE289" s="6"/>
      <c r="BF289" s="7"/>
    </row>
    <row r="290" spans="1:58" ht="18" customHeight="1">
      <c r="A290" s="106" t="s">
        <v>15</v>
      </c>
      <c r="B290" s="93" t="s">
        <v>268</v>
      </c>
      <c r="C290" s="28">
        <v>396.84</v>
      </c>
      <c r="D290" s="28">
        <v>396.96</v>
      </c>
      <c r="E290" s="28">
        <v>396.9</v>
      </c>
      <c r="F290" s="28">
        <v>396.9</v>
      </c>
      <c r="G290" s="29">
        <v>13247.6954409257</v>
      </c>
      <c r="H290" s="29">
        <v>10686.8690062433</v>
      </c>
      <c r="I290" s="27">
        <f t="shared" si="10"/>
        <v>1</v>
      </c>
      <c r="J290" s="27">
        <f t="shared" si="11"/>
        <v>1</v>
      </c>
      <c r="K290" s="27">
        <f t="shared" si="9"/>
        <v>1</v>
      </c>
      <c r="L290" s="25">
        <v>675.81058350000001</v>
      </c>
      <c r="M290" s="25">
        <v>680.36878340042313</v>
      </c>
      <c r="N290" s="38">
        <v>0.52204250494392035</v>
      </c>
      <c r="O290" s="38">
        <v>-9.4120235514555404</v>
      </c>
      <c r="P290" s="71">
        <v>-11.500193571231222</v>
      </c>
      <c r="Q290" s="53">
        <v>43514</v>
      </c>
      <c r="R290" s="23">
        <v>11</v>
      </c>
      <c r="S290" s="24">
        <v>675.81058350000001</v>
      </c>
      <c r="T290" s="24">
        <v>680.36878340042313</v>
      </c>
      <c r="U290" s="20">
        <v>0.52204250494392035</v>
      </c>
      <c r="V290" s="20">
        <v>-9.4120235514555404</v>
      </c>
      <c r="W290" s="20">
        <v>-11.500193571231222</v>
      </c>
      <c r="X290" s="22" t="s">
        <v>17</v>
      </c>
      <c r="Y290" s="23"/>
      <c r="Z290" s="24" t="s">
        <v>17</v>
      </c>
      <c r="AA290" s="24" t="s">
        <v>17</v>
      </c>
      <c r="AB290" s="20" t="s">
        <v>17</v>
      </c>
      <c r="AC290" s="20" t="s">
        <v>17</v>
      </c>
      <c r="AD290" s="20" t="s">
        <v>17</v>
      </c>
      <c r="AE290" s="22" t="s">
        <v>17</v>
      </c>
      <c r="AF290" s="23"/>
      <c r="AG290" s="24" t="s">
        <v>17</v>
      </c>
      <c r="AH290" s="24" t="s">
        <v>17</v>
      </c>
      <c r="AI290" s="20" t="s">
        <v>17</v>
      </c>
      <c r="AJ290" s="20" t="s">
        <v>17</v>
      </c>
      <c r="AK290" s="20" t="s">
        <v>17</v>
      </c>
      <c r="AL290" s="21"/>
      <c r="AM290" s="20"/>
      <c r="AN290" s="24" t="s">
        <v>17</v>
      </c>
      <c r="AO290" s="24" t="s">
        <v>17</v>
      </c>
      <c r="AP290" s="20" t="s">
        <v>17</v>
      </c>
      <c r="AQ290" s="20" t="s">
        <v>17</v>
      </c>
      <c r="AR290" s="20" t="s">
        <v>17</v>
      </c>
      <c r="AS290" s="21"/>
      <c r="AT290" s="20"/>
      <c r="AU290" s="4"/>
      <c r="AV290" s="20"/>
      <c r="AW290" s="20" t="s">
        <v>17</v>
      </c>
      <c r="AX290" s="20" t="s">
        <v>17</v>
      </c>
      <c r="AY290" s="20" t="s">
        <v>17</v>
      </c>
      <c r="AZ290" s="5"/>
      <c r="BA290" s="6"/>
      <c r="BB290" s="4"/>
      <c r="BC290" s="6"/>
      <c r="BD290" s="6"/>
      <c r="BE290" s="6"/>
      <c r="BF290" s="7"/>
    </row>
    <row r="291" spans="1:58" ht="18" customHeight="1">
      <c r="A291" s="106" t="s">
        <v>15</v>
      </c>
      <c r="B291" s="93" t="s">
        <v>269</v>
      </c>
      <c r="C291" s="28">
        <v>397.84</v>
      </c>
      <c r="D291" s="28">
        <v>397.96</v>
      </c>
      <c r="E291" s="28">
        <v>397.9</v>
      </c>
      <c r="F291" s="28">
        <v>397.9</v>
      </c>
      <c r="G291" s="29">
        <v>13292.762247024901</v>
      </c>
      <c r="H291" s="29">
        <v>10722.407427377</v>
      </c>
      <c r="I291" s="27">
        <f t="shared" si="10"/>
        <v>2</v>
      </c>
      <c r="J291" s="27">
        <f t="shared" si="11"/>
        <v>2</v>
      </c>
      <c r="K291" s="27">
        <f t="shared" si="9"/>
        <v>2</v>
      </c>
      <c r="L291" s="25">
        <v>678.90463575000001</v>
      </c>
      <c r="M291" s="25">
        <v>683.50124706115503</v>
      </c>
      <c r="N291" s="38">
        <v>0.52404091145263898</v>
      </c>
      <c r="O291" s="38">
        <v>-8.5984931515951644</v>
      </c>
      <c r="P291" s="71">
        <v>-10.69465679740572</v>
      </c>
      <c r="Q291" s="53">
        <v>42628</v>
      </c>
      <c r="R291" s="23">
        <v>5</v>
      </c>
      <c r="S291" s="24">
        <v>678.55970150000007</v>
      </c>
      <c r="T291" s="24">
        <v>683.12689066614712</v>
      </c>
      <c r="U291" s="20">
        <v>0.52095285454978324</v>
      </c>
      <c r="V291" s="20">
        <v>-8.4976751539717057</v>
      </c>
      <c r="W291" s="20">
        <v>-10.581486572170839</v>
      </c>
      <c r="X291" s="22">
        <v>42628</v>
      </c>
      <c r="Y291" s="23">
        <v>5</v>
      </c>
      <c r="Z291" s="24">
        <v>679.24956999999995</v>
      </c>
      <c r="AA291" s="24">
        <v>683.87560345616293</v>
      </c>
      <c r="AB291" s="20">
        <v>0.52712896835549472</v>
      </c>
      <c r="AC291" s="20">
        <v>-8.6993111492186248</v>
      </c>
      <c r="AD291" s="20">
        <v>-10.807827022640604</v>
      </c>
      <c r="AE291" s="22" t="s">
        <v>17</v>
      </c>
      <c r="AF291" s="23"/>
      <c r="AG291" s="24" t="s">
        <v>17</v>
      </c>
      <c r="AH291" s="24" t="s">
        <v>17</v>
      </c>
      <c r="AI291" s="20" t="s">
        <v>17</v>
      </c>
      <c r="AJ291" s="20" t="s">
        <v>17</v>
      </c>
      <c r="AK291" s="20" t="s">
        <v>17</v>
      </c>
      <c r="AL291" s="21"/>
      <c r="AM291" s="20"/>
      <c r="AN291" s="24" t="s">
        <v>17</v>
      </c>
      <c r="AO291" s="24" t="s">
        <v>17</v>
      </c>
      <c r="AP291" s="20" t="s">
        <v>17</v>
      </c>
      <c r="AQ291" s="20" t="s">
        <v>17</v>
      </c>
      <c r="AR291" s="20" t="s">
        <v>17</v>
      </c>
      <c r="AS291" s="21"/>
      <c r="AT291" s="20"/>
      <c r="AU291" s="4"/>
      <c r="AV291" s="20"/>
      <c r="AW291" s="20" t="s">
        <v>17</v>
      </c>
      <c r="AX291" s="20" t="s">
        <v>17</v>
      </c>
      <c r="AY291" s="20" t="s">
        <v>17</v>
      </c>
      <c r="AZ291" s="5"/>
      <c r="BA291" s="6"/>
      <c r="BB291" s="4"/>
      <c r="BC291" s="6"/>
      <c r="BD291" s="6"/>
      <c r="BE291" s="6"/>
      <c r="BF291" s="7"/>
    </row>
    <row r="292" spans="1:58" ht="18" customHeight="1">
      <c r="A292" s="106" t="s">
        <v>15</v>
      </c>
      <c r="B292" s="93" t="s">
        <v>270</v>
      </c>
      <c r="C292" s="28">
        <v>399.72</v>
      </c>
      <c r="D292" s="28">
        <v>399.84</v>
      </c>
      <c r="E292" s="28">
        <v>399.78</v>
      </c>
      <c r="F292" s="28">
        <v>399.78</v>
      </c>
      <c r="G292" s="29">
        <v>13378.877585854099</v>
      </c>
      <c r="H292" s="29">
        <v>10794.528857712799</v>
      </c>
      <c r="I292" s="27">
        <f t="shared" si="10"/>
        <v>1</v>
      </c>
      <c r="J292" s="27">
        <f t="shared" si="11"/>
        <v>1</v>
      </c>
      <c r="K292" s="27">
        <f t="shared" si="9"/>
        <v>1</v>
      </c>
      <c r="L292" s="25">
        <v>680.75208550000002</v>
      </c>
      <c r="M292" s="25">
        <v>685.34567591312907</v>
      </c>
      <c r="N292" s="38">
        <v>0.52227684824002196</v>
      </c>
      <c r="O292" s="38">
        <v>-9.5596016417965899</v>
      </c>
      <c r="P292" s="71">
        <v>-11.648709034756678</v>
      </c>
      <c r="Q292" s="53">
        <v>43480</v>
      </c>
      <c r="R292" s="23">
        <v>12</v>
      </c>
      <c r="S292" s="24">
        <v>680.75208550000002</v>
      </c>
      <c r="T292" s="24">
        <v>685.34567591312907</v>
      </c>
      <c r="U292" s="20">
        <v>0.52227684824002196</v>
      </c>
      <c r="V292" s="20">
        <v>-9.5596016417965899</v>
      </c>
      <c r="W292" s="20">
        <v>-11.648709034756678</v>
      </c>
      <c r="X292" s="22" t="s">
        <v>17</v>
      </c>
      <c r="Y292" s="23"/>
      <c r="Z292" s="24" t="s">
        <v>17</v>
      </c>
      <c r="AA292" s="24" t="s">
        <v>17</v>
      </c>
      <c r="AB292" s="20" t="s">
        <v>17</v>
      </c>
      <c r="AC292" s="20" t="s">
        <v>17</v>
      </c>
      <c r="AD292" s="20" t="s">
        <v>17</v>
      </c>
      <c r="AE292" s="22" t="s">
        <v>17</v>
      </c>
      <c r="AF292" s="23"/>
      <c r="AG292" s="24" t="s">
        <v>17</v>
      </c>
      <c r="AH292" s="24" t="s">
        <v>17</v>
      </c>
      <c r="AI292" s="20" t="s">
        <v>17</v>
      </c>
      <c r="AJ292" s="20" t="s">
        <v>17</v>
      </c>
      <c r="AK292" s="20" t="s">
        <v>17</v>
      </c>
      <c r="AL292" s="21"/>
      <c r="AM292" s="20"/>
      <c r="AN292" s="24" t="s">
        <v>17</v>
      </c>
      <c r="AO292" s="24" t="s">
        <v>17</v>
      </c>
      <c r="AP292" s="20" t="s">
        <v>17</v>
      </c>
      <c r="AQ292" s="20" t="s">
        <v>17</v>
      </c>
      <c r="AR292" s="20" t="s">
        <v>17</v>
      </c>
      <c r="AS292" s="21"/>
      <c r="AT292" s="20"/>
      <c r="AU292" s="4"/>
      <c r="AV292" s="20"/>
      <c r="AW292" s="20" t="s">
        <v>17</v>
      </c>
      <c r="AX292" s="20" t="s">
        <v>17</v>
      </c>
      <c r="AY292" s="20" t="s">
        <v>17</v>
      </c>
      <c r="AZ292" s="5"/>
      <c r="BA292" s="6"/>
      <c r="BB292" s="4"/>
      <c r="BC292" s="6"/>
      <c r="BD292" s="6"/>
      <c r="BE292" s="6"/>
      <c r="BF292" s="7"/>
    </row>
    <row r="293" spans="1:58" ht="18" customHeight="1">
      <c r="A293" s="106" t="s">
        <v>15</v>
      </c>
      <c r="B293" s="93" t="s">
        <v>271</v>
      </c>
      <c r="C293" s="28">
        <v>400.84</v>
      </c>
      <c r="D293" s="28">
        <v>400.96</v>
      </c>
      <c r="E293" s="28">
        <v>400.9</v>
      </c>
      <c r="F293" s="28">
        <v>400.9</v>
      </c>
      <c r="G293" s="29">
        <v>13433.082832631</v>
      </c>
      <c r="H293" s="29">
        <v>10839.105736751</v>
      </c>
      <c r="I293" s="27">
        <f t="shared" si="10"/>
        <v>1</v>
      </c>
      <c r="J293" s="27">
        <f t="shared" si="11"/>
        <v>1</v>
      </c>
      <c r="K293" s="27">
        <f t="shared" si="9"/>
        <v>1</v>
      </c>
      <c r="L293" s="25">
        <v>681.91438949999997</v>
      </c>
      <c r="M293" s="25">
        <v>686.51254267803915</v>
      </c>
      <c r="N293" s="38">
        <v>0.52190452981570878</v>
      </c>
      <c r="O293" s="38">
        <v>-8.6880068893169238</v>
      </c>
      <c r="P293" s="71">
        <v>-10.775625008579759</v>
      </c>
      <c r="Q293" s="53">
        <v>43482</v>
      </c>
      <c r="R293" s="23">
        <v>12</v>
      </c>
      <c r="S293" s="24">
        <v>681.91438949999997</v>
      </c>
      <c r="T293" s="24">
        <v>686.51254267803915</v>
      </c>
      <c r="U293" s="20">
        <v>0.52190452981570878</v>
      </c>
      <c r="V293" s="20">
        <v>-8.6880068893169238</v>
      </c>
      <c r="W293" s="20">
        <v>-10.775625008579759</v>
      </c>
      <c r="X293" s="22" t="s">
        <v>17</v>
      </c>
      <c r="Y293" s="23"/>
      <c r="Z293" s="24" t="s">
        <v>17</v>
      </c>
      <c r="AA293" s="24" t="s">
        <v>17</v>
      </c>
      <c r="AB293" s="20" t="s">
        <v>17</v>
      </c>
      <c r="AC293" s="20" t="s">
        <v>17</v>
      </c>
      <c r="AD293" s="20" t="s">
        <v>17</v>
      </c>
      <c r="AE293" s="22" t="s">
        <v>17</v>
      </c>
      <c r="AF293" s="23"/>
      <c r="AG293" s="24" t="s">
        <v>17</v>
      </c>
      <c r="AH293" s="24" t="s">
        <v>17</v>
      </c>
      <c r="AI293" s="20" t="s">
        <v>17</v>
      </c>
      <c r="AJ293" s="20" t="s">
        <v>17</v>
      </c>
      <c r="AK293" s="20" t="s">
        <v>17</v>
      </c>
      <c r="AL293" s="21"/>
      <c r="AM293" s="20"/>
      <c r="AN293" s="24" t="s">
        <v>17</v>
      </c>
      <c r="AO293" s="24" t="s">
        <v>17</v>
      </c>
      <c r="AP293" s="20" t="s">
        <v>17</v>
      </c>
      <c r="AQ293" s="20" t="s">
        <v>17</v>
      </c>
      <c r="AR293" s="20" t="s">
        <v>17</v>
      </c>
      <c r="AS293" s="21"/>
      <c r="AT293" s="20"/>
      <c r="AU293" s="4"/>
      <c r="AV293" s="20"/>
      <c r="AW293" s="20" t="s">
        <v>17</v>
      </c>
      <c r="AX293" s="20" t="s">
        <v>17</v>
      </c>
      <c r="AY293" s="20" t="s">
        <v>17</v>
      </c>
      <c r="AZ293" s="5"/>
      <c r="BA293" s="6"/>
      <c r="BB293" s="4"/>
      <c r="BC293" s="6"/>
      <c r="BD293" s="6"/>
      <c r="BE293" s="6"/>
      <c r="BF293" s="7"/>
    </row>
    <row r="294" spans="1:58" ht="18" customHeight="1">
      <c r="A294" s="106" t="s">
        <v>15</v>
      </c>
      <c r="B294" s="93" t="s">
        <v>272</v>
      </c>
      <c r="C294" s="28">
        <v>402.72</v>
      </c>
      <c r="D294" s="28">
        <v>402.84</v>
      </c>
      <c r="E294" s="28">
        <v>402.78</v>
      </c>
      <c r="F294" s="28">
        <v>402.78</v>
      </c>
      <c r="G294" s="29">
        <v>13524.868253008801</v>
      </c>
      <c r="H294" s="29">
        <v>10909.9962080153</v>
      </c>
      <c r="I294" s="27">
        <f t="shared" si="10"/>
        <v>1</v>
      </c>
      <c r="J294" s="27">
        <f t="shared" si="11"/>
        <v>1</v>
      </c>
      <c r="K294" s="27">
        <f t="shared" si="9"/>
        <v>1</v>
      </c>
      <c r="L294" s="25">
        <v>680.16446100000007</v>
      </c>
      <c r="M294" s="25">
        <v>684.73181960753141</v>
      </c>
      <c r="N294" s="38">
        <v>0.51974301570734127</v>
      </c>
      <c r="O294" s="38">
        <v>-8.1128690471424783</v>
      </c>
      <c r="P294" s="71">
        <v>-10.191841109971843</v>
      </c>
      <c r="Q294" s="53">
        <v>43514</v>
      </c>
      <c r="R294" s="23">
        <v>11</v>
      </c>
      <c r="S294" s="24">
        <v>680.16446100000007</v>
      </c>
      <c r="T294" s="24">
        <v>684.73181960753141</v>
      </c>
      <c r="U294" s="20">
        <v>0.51974301570734127</v>
      </c>
      <c r="V294" s="20">
        <v>-8.1128690471424783</v>
      </c>
      <c r="W294" s="20">
        <v>-10.191841109971843</v>
      </c>
      <c r="X294" s="22" t="s">
        <v>17</v>
      </c>
      <c r="Y294" s="23"/>
      <c r="Z294" s="24" t="s">
        <v>17</v>
      </c>
      <c r="AA294" s="24" t="s">
        <v>17</v>
      </c>
      <c r="AB294" s="20" t="s">
        <v>17</v>
      </c>
      <c r="AC294" s="20" t="s">
        <v>17</v>
      </c>
      <c r="AD294" s="20" t="s">
        <v>17</v>
      </c>
      <c r="AE294" s="22" t="s">
        <v>17</v>
      </c>
      <c r="AF294" s="23"/>
      <c r="AG294" s="24" t="s">
        <v>17</v>
      </c>
      <c r="AH294" s="24" t="s">
        <v>17</v>
      </c>
      <c r="AI294" s="20" t="s">
        <v>17</v>
      </c>
      <c r="AJ294" s="20" t="s">
        <v>17</v>
      </c>
      <c r="AK294" s="20" t="s">
        <v>17</v>
      </c>
      <c r="AL294" s="21"/>
      <c r="AM294" s="20"/>
      <c r="AN294" s="24" t="s">
        <v>17</v>
      </c>
      <c r="AO294" s="24" t="s">
        <v>17</v>
      </c>
      <c r="AP294" s="20" t="s">
        <v>17</v>
      </c>
      <c r="AQ294" s="20" t="s">
        <v>17</v>
      </c>
      <c r="AR294" s="20" t="s">
        <v>17</v>
      </c>
      <c r="AS294" s="21"/>
      <c r="AT294" s="20"/>
      <c r="AU294" s="4"/>
      <c r="AV294" s="20"/>
      <c r="AW294" s="20" t="s">
        <v>17</v>
      </c>
      <c r="AX294" s="20" t="s">
        <v>17</v>
      </c>
      <c r="AY294" s="20" t="s">
        <v>17</v>
      </c>
      <c r="AZ294" s="5"/>
      <c r="BA294" s="6"/>
      <c r="BB294" s="4"/>
      <c r="BC294" s="6"/>
      <c r="BD294" s="6"/>
      <c r="BE294" s="6"/>
      <c r="BF294" s="7"/>
    </row>
    <row r="295" spans="1:58" ht="18" customHeight="1">
      <c r="A295" s="106" t="s">
        <v>15</v>
      </c>
      <c r="B295" s="93" t="s">
        <v>273</v>
      </c>
      <c r="C295" s="28">
        <v>403.84</v>
      </c>
      <c r="D295" s="28">
        <v>403.96</v>
      </c>
      <c r="E295" s="28">
        <v>403.9</v>
      </c>
      <c r="F295" s="28">
        <v>403.9</v>
      </c>
      <c r="G295" s="29">
        <v>13576.7122725852</v>
      </c>
      <c r="H295" s="29">
        <v>10955.625749829</v>
      </c>
      <c r="I295" s="27">
        <f t="shared" si="10"/>
        <v>1</v>
      </c>
      <c r="J295" s="27">
        <f t="shared" si="11"/>
        <v>1</v>
      </c>
      <c r="K295" s="27">
        <f t="shared" ref="K295:K358" si="12">COUNT(V295,AC295,AJ295,AQ295,AX295,BF295)</f>
        <v>1</v>
      </c>
      <c r="L295" s="25">
        <v>683.05310450000002</v>
      </c>
      <c r="M295" s="25">
        <v>687.69974150934684</v>
      </c>
      <c r="N295" s="38">
        <v>0.52652835479327642</v>
      </c>
      <c r="O295" s="38">
        <v>-6.5036240938145529</v>
      </c>
      <c r="P295" s="71">
        <v>-8.6097375129876585</v>
      </c>
      <c r="Q295" s="53">
        <v>43412</v>
      </c>
      <c r="R295" s="23">
        <v>12</v>
      </c>
      <c r="S295" s="24">
        <v>683.05310450000002</v>
      </c>
      <c r="T295" s="24">
        <v>687.69974150934684</v>
      </c>
      <c r="U295" s="20">
        <v>0.52652835479327642</v>
      </c>
      <c r="V295" s="20">
        <v>-6.5036240938145529</v>
      </c>
      <c r="W295" s="20">
        <v>-8.6097375129876585</v>
      </c>
      <c r="X295" s="22" t="s">
        <v>17</v>
      </c>
      <c r="Y295" s="23"/>
      <c r="Z295" s="24" t="s">
        <v>17</v>
      </c>
      <c r="AA295" s="24" t="s">
        <v>17</v>
      </c>
      <c r="AB295" s="20" t="s">
        <v>17</v>
      </c>
      <c r="AC295" s="20" t="s">
        <v>17</v>
      </c>
      <c r="AD295" s="20" t="s">
        <v>17</v>
      </c>
      <c r="AE295" s="22" t="s">
        <v>17</v>
      </c>
      <c r="AF295" s="23"/>
      <c r="AG295" s="24" t="s">
        <v>17</v>
      </c>
      <c r="AH295" s="24" t="s">
        <v>17</v>
      </c>
      <c r="AI295" s="20" t="s">
        <v>17</v>
      </c>
      <c r="AJ295" s="20" t="s">
        <v>17</v>
      </c>
      <c r="AK295" s="20" t="s">
        <v>17</v>
      </c>
      <c r="AL295" s="21"/>
      <c r="AM295" s="20"/>
      <c r="AN295" s="24" t="s">
        <v>17</v>
      </c>
      <c r="AO295" s="24" t="s">
        <v>17</v>
      </c>
      <c r="AP295" s="20" t="s">
        <v>17</v>
      </c>
      <c r="AQ295" s="20" t="s">
        <v>17</v>
      </c>
      <c r="AR295" s="20" t="s">
        <v>17</v>
      </c>
      <c r="AS295" s="21"/>
      <c r="AT295" s="20"/>
      <c r="AU295" s="4"/>
      <c r="AV295" s="20"/>
      <c r="AW295" s="20" t="s">
        <v>17</v>
      </c>
      <c r="AX295" s="20" t="s">
        <v>17</v>
      </c>
      <c r="AY295" s="20" t="s">
        <v>17</v>
      </c>
      <c r="AZ295" s="5"/>
      <c r="BA295" s="6"/>
      <c r="BB295" s="4"/>
      <c r="BC295" s="6"/>
      <c r="BD295" s="6"/>
      <c r="BE295" s="6"/>
      <c r="BF295" s="7"/>
    </row>
    <row r="296" spans="1:58" ht="18" customHeight="1">
      <c r="A296" s="106" t="s">
        <v>15</v>
      </c>
      <c r="B296" s="93" t="s">
        <v>274</v>
      </c>
      <c r="C296" s="28">
        <v>404.84</v>
      </c>
      <c r="D296" s="28">
        <v>404.96</v>
      </c>
      <c r="E296" s="28">
        <v>404.9</v>
      </c>
      <c r="F296" s="28">
        <v>404.9</v>
      </c>
      <c r="G296" s="29">
        <v>13624.247496355199</v>
      </c>
      <c r="H296" s="29">
        <v>10998.159341967599</v>
      </c>
      <c r="I296" s="27">
        <f t="shared" ref="I296:I359" si="13">COUNT(T296,AA296,AH296,AO296,AV296,BC296)</f>
        <v>1</v>
      </c>
      <c r="J296" s="27">
        <f t="shared" ref="J296:J359" si="14">COUNT(U296,AB296,AI296,AP296,AW296,BD296)</f>
        <v>1</v>
      </c>
      <c r="K296" s="27">
        <f t="shared" si="12"/>
        <v>1</v>
      </c>
      <c r="L296" s="25">
        <v>684.54592150000008</v>
      </c>
      <c r="M296" s="25">
        <v>689.15936771251756</v>
      </c>
      <c r="N296" s="38">
        <v>0.52162735765537427</v>
      </c>
      <c r="O296" s="38">
        <v>-9.8786715125104294</v>
      </c>
      <c r="P296" s="71">
        <v>-11.965180943131926</v>
      </c>
      <c r="Q296" s="53">
        <v>43482</v>
      </c>
      <c r="R296" s="23">
        <v>11</v>
      </c>
      <c r="S296" s="24">
        <v>684.54592150000008</v>
      </c>
      <c r="T296" s="24">
        <v>689.15936771251756</v>
      </c>
      <c r="U296" s="20">
        <v>0.52162735765537427</v>
      </c>
      <c r="V296" s="20">
        <v>-9.8786715125104294</v>
      </c>
      <c r="W296" s="20">
        <v>-11.965180943131926</v>
      </c>
      <c r="X296" s="22" t="s">
        <v>17</v>
      </c>
      <c r="Y296" s="23"/>
      <c r="Z296" s="24" t="s">
        <v>17</v>
      </c>
      <c r="AA296" s="24" t="s">
        <v>17</v>
      </c>
      <c r="AB296" s="20" t="s">
        <v>17</v>
      </c>
      <c r="AC296" s="20" t="s">
        <v>17</v>
      </c>
      <c r="AD296" s="20" t="s">
        <v>17</v>
      </c>
      <c r="AE296" s="22" t="s">
        <v>17</v>
      </c>
      <c r="AF296" s="23"/>
      <c r="AG296" s="24" t="s">
        <v>17</v>
      </c>
      <c r="AH296" s="24" t="s">
        <v>17</v>
      </c>
      <c r="AI296" s="20" t="s">
        <v>17</v>
      </c>
      <c r="AJ296" s="20" t="s">
        <v>17</v>
      </c>
      <c r="AK296" s="20" t="s">
        <v>17</v>
      </c>
      <c r="AL296" s="21"/>
      <c r="AM296" s="20"/>
      <c r="AN296" s="24" t="s">
        <v>17</v>
      </c>
      <c r="AO296" s="24" t="s">
        <v>17</v>
      </c>
      <c r="AP296" s="20" t="s">
        <v>17</v>
      </c>
      <c r="AQ296" s="20" t="s">
        <v>17</v>
      </c>
      <c r="AR296" s="20" t="s">
        <v>17</v>
      </c>
      <c r="AS296" s="21"/>
      <c r="AT296" s="20"/>
      <c r="AU296" s="4"/>
      <c r="AV296" s="20"/>
      <c r="AW296" s="20" t="s">
        <v>17</v>
      </c>
      <c r="AX296" s="20" t="s">
        <v>17</v>
      </c>
      <c r="AY296" s="20" t="s">
        <v>17</v>
      </c>
      <c r="AZ296" s="5"/>
      <c r="BA296" s="6"/>
      <c r="BB296" s="4"/>
      <c r="BC296" s="6"/>
      <c r="BD296" s="6"/>
      <c r="BE296" s="6"/>
      <c r="BF296" s="7"/>
    </row>
    <row r="297" spans="1:58" ht="18" customHeight="1">
      <c r="A297" s="106" t="s">
        <v>15</v>
      </c>
      <c r="B297" s="93" t="s">
        <v>275</v>
      </c>
      <c r="C297" s="28">
        <v>406.84</v>
      </c>
      <c r="D297" s="28">
        <v>406.96</v>
      </c>
      <c r="E297" s="28">
        <v>406.9</v>
      </c>
      <c r="F297" s="28">
        <v>406.9</v>
      </c>
      <c r="G297" s="29">
        <v>13726.144066360501</v>
      </c>
      <c r="H297" s="29">
        <v>11072.246550153201</v>
      </c>
      <c r="I297" s="27">
        <f t="shared" si="13"/>
        <v>1</v>
      </c>
      <c r="J297" s="27">
        <f t="shared" si="14"/>
        <v>1</v>
      </c>
      <c r="K297" s="27">
        <f t="shared" si="12"/>
        <v>1</v>
      </c>
      <c r="L297" s="25">
        <v>686.43442249999998</v>
      </c>
      <c r="M297" s="25">
        <v>690.97412648950888</v>
      </c>
      <c r="N297" s="38">
        <v>0.51187741510116957</v>
      </c>
      <c r="O297" s="38">
        <v>-11.232830577188157</v>
      </c>
      <c r="P297" s="71">
        <v>-13.280340237592835</v>
      </c>
      <c r="Q297" s="53">
        <v>43305</v>
      </c>
      <c r="R297" s="23">
        <v>9</v>
      </c>
      <c r="S297" s="24">
        <v>686.43442249999998</v>
      </c>
      <c r="T297" s="24">
        <v>690.97412648950888</v>
      </c>
      <c r="U297" s="20">
        <v>0.51187741510116957</v>
      </c>
      <c r="V297" s="20">
        <v>-11.232830577188157</v>
      </c>
      <c r="W297" s="20">
        <v>-13.280340237592835</v>
      </c>
      <c r="X297" s="22" t="s">
        <v>17</v>
      </c>
      <c r="Y297" s="23"/>
      <c r="Z297" s="24" t="s">
        <v>17</v>
      </c>
      <c r="AA297" s="24" t="s">
        <v>17</v>
      </c>
      <c r="AB297" s="20" t="s">
        <v>17</v>
      </c>
      <c r="AC297" s="20" t="s">
        <v>17</v>
      </c>
      <c r="AD297" s="20" t="s">
        <v>17</v>
      </c>
      <c r="AE297" s="22" t="s">
        <v>17</v>
      </c>
      <c r="AF297" s="23"/>
      <c r="AG297" s="24" t="s">
        <v>17</v>
      </c>
      <c r="AH297" s="24" t="s">
        <v>17</v>
      </c>
      <c r="AI297" s="20" t="s">
        <v>17</v>
      </c>
      <c r="AJ297" s="20" t="s">
        <v>17</v>
      </c>
      <c r="AK297" s="20" t="s">
        <v>17</v>
      </c>
      <c r="AL297" s="21"/>
      <c r="AM297" s="20"/>
      <c r="AN297" s="24" t="s">
        <v>17</v>
      </c>
      <c r="AO297" s="24" t="s">
        <v>17</v>
      </c>
      <c r="AP297" s="20" t="s">
        <v>17</v>
      </c>
      <c r="AQ297" s="20" t="s">
        <v>17</v>
      </c>
      <c r="AR297" s="20" t="s">
        <v>17</v>
      </c>
      <c r="AS297" s="21"/>
      <c r="AT297" s="20"/>
      <c r="AU297" s="4"/>
      <c r="AV297" s="20"/>
      <c r="AW297" s="20" t="s">
        <v>17</v>
      </c>
      <c r="AX297" s="20" t="s">
        <v>17</v>
      </c>
      <c r="AY297" s="20" t="s">
        <v>17</v>
      </c>
      <c r="AZ297" s="5"/>
      <c r="BA297" s="6"/>
      <c r="BB297" s="4"/>
      <c r="BC297" s="6"/>
      <c r="BD297" s="6"/>
      <c r="BE297" s="6"/>
      <c r="BF297" s="7"/>
    </row>
    <row r="298" spans="1:58" ht="18" customHeight="1">
      <c r="A298" s="106" t="s">
        <v>15</v>
      </c>
      <c r="B298" s="93" t="s">
        <v>276</v>
      </c>
      <c r="C298" s="28">
        <v>408.22</v>
      </c>
      <c r="D298" s="28">
        <v>408.34</v>
      </c>
      <c r="E298" s="28">
        <v>408.28</v>
      </c>
      <c r="F298" s="28">
        <v>408.28</v>
      </c>
      <c r="G298" s="29">
        <v>13795.1445996374</v>
      </c>
      <c r="H298" s="29">
        <v>11122.908120297699</v>
      </c>
      <c r="I298" s="27">
        <f t="shared" si="13"/>
        <v>1</v>
      </c>
      <c r="J298" s="27">
        <f t="shared" si="14"/>
        <v>1</v>
      </c>
      <c r="K298" s="27">
        <f t="shared" si="12"/>
        <v>1</v>
      </c>
      <c r="L298" s="25">
        <v>687.18397400000003</v>
      </c>
      <c r="M298" s="25">
        <v>691.796706214501</v>
      </c>
      <c r="N298" s="38">
        <v>0.51954444621760132</v>
      </c>
      <c r="O298" s="38">
        <v>-8.7800633717234344</v>
      </c>
      <c r="P298" s="71">
        <v>-10.85824115659384</v>
      </c>
      <c r="Q298" s="53">
        <v>43424</v>
      </c>
      <c r="R298" s="23">
        <v>12</v>
      </c>
      <c r="S298" s="24">
        <v>687.18397400000003</v>
      </c>
      <c r="T298" s="24">
        <v>691.796706214501</v>
      </c>
      <c r="U298" s="20">
        <v>0.51954444621760132</v>
      </c>
      <c r="V298" s="20">
        <v>-8.7800633717234344</v>
      </c>
      <c r="W298" s="20">
        <v>-10.85824115659384</v>
      </c>
      <c r="X298" s="22" t="s">
        <v>17</v>
      </c>
      <c r="Y298" s="23"/>
      <c r="Z298" s="24" t="s">
        <v>17</v>
      </c>
      <c r="AA298" s="24" t="s">
        <v>17</v>
      </c>
      <c r="AB298" s="20" t="s">
        <v>17</v>
      </c>
      <c r="AC298" s="20" t="s">
        <v>17</v>
      </c>
      <c r="AD298" s="20" t="s">
        <v>17</v>
      </c>
      <c r="AE298" s="22" t="s">
        <v>17</v>
      </c>
      <c r="AF298" s="23"/>
      <c r="AG298" s="24" t="s">
        <v>17</v>
      </c>
      <c r="AH298" s="24" t="s">
        <v>17</v>
      </c>
      <c r="AI298" s="20" t="s">
        <v>17</v>
      </c>
      <c r="AJ298" s="20" t="s">
        <v>17</v>
      </c>
      <c r="AK298" s="20" t="s">
        <v>17</v>
      </c>
      <c r="AL298" s="21"/>
      <c r="AM298" s="20"/>
      <c r="AN298" s="24" t="s">
        <v>17</v>
      </c>
      <c r="AO298" s="24" t="s">
        <v>17</v>
      </c>
      <c r="AP298" s="20" t="s">
        <v>17</v>
      </c>
      <c r="AQ298" s="20" t="s">
        <v>17</v>
      </c>
      <c r="AR298" s="20" t="s">
        <v>17</v>
      </c>
      <c r="AS298" s="21"/>
      <c r="AT298" s="20"/>
      <c r="AU298" s="4"/>
      <c r="AV298" s="20"/>
      <c r="AW298" s="20" t="s">
        <v>17</v>
      </c>
      <c r="AX298" s="20" t="s">
        <v>17</v>
      </c>
      <c r="AY298" s="20" t="s">
        <v>17</v>
      </c>
      <c r="AZ298" s="5"/>
      <c r="BA298" s="6"/>
      <c r="BB298" s="4"/>
      <c r="BC298" s="6"/>
      <c r="BD298" s="6"/>
      <c r="BE298" s="6"/>
      <c r="BF298" s="7"/>
    </row>
    <row r="299" spans="1:58" ht="18" customHeight="1">
      <c r="A299" s="106" t="s">
        <v>15</v>
      </c>
      <c r="B299" s="93" t="s">
        <v>277</v>
      </c>
      <c r="C299" s="28">
        <v>409.34</v>
      </c>
      <c r="D299" s="28">
        <v>409.46</v>
      </c>
      <c r="E299" s="28">
        <v>409.4</v>
      </c>
      <c r="F299" s="28">
        <v>409.4</v>
      </c>
      <c r="G299" s="29">
        <v>13851.146368497601</v>
      </c>
      <c r="H299" s="29">
        <v>11161.984357387</v>
      </c>
      <c r="I299" s="27">
        <f t="shared" si="13"/>
        <v>2</v>
      </c>
      <c r="J299" s="27">
        <f t="shared" si="14"/>
        <v>2</v>
      </c>
      <c r="K299" s="27">
        <f t="shared" si="12"/>
        <v>2</v>
      </c>
      <c r="L299" s="25">
        <v>690.90043799999989</v>
      </c>
      <c r="M299" s="25">
        <v>695.51848643384528</v>
      </c>
      <c r="N299" s="38">
        <v>0.51735263331476045</v>
      </c>
      <c r="O299" s="38">
        <v>-10.009906527426837</v>
      </c>
      <c r="P299" s="71">
        <v>-12.079317060685879</v>
      </c>
      <c r="Q299" s="53">
        <v>43251</v>
      </c>
      <c r="R299" s="23">
        <v>8</v>
      </c>
      <c r="S299" s="24">
        <v>689.61873649999995</v>
      </c>
      <c r="T299" s="24">
        <v>694.26353939434046</v>
      </c>
      <c r="U299" s="20">
        <v>0.52130960044327601</v>
      </c>
      <c r="V299" s="20">
        <v>-9.9756922468768892</v>
      </c>
      <c r="W299" s="20">
        <v>-12.060930648649993</v>
      </c>
      <c r="X299" s="22">
        <v>43251</v>
      </c>
      <c r="Y299" s="23">
        <v>10</v>
      </c>
      <c r="Z299" s="24">
        <v>692.18213949999995</v>
      </c>
      <c r="AA299" s="24">
        <v>696.77343347335022</v>
      </c>
      <c r="AB299" s="20">
        <v>0.51339566618624488</v>
      </c>
      <c r="AC299" s="20">
        <v>-10.044120807976785</v>
      </c>
      <c r="AD299" s="20">
        <v>-12.097703472721765</v>
      </c>
      <c r="AE299" s="22" t="s">
        <v>17</v>
      </c>
      <c r="AF299" s="23"/>
      <c r="AG299" s="24" t="s">
        <v>17</v>
      </c>
      <c r="AH299" s="24" t="s">
        <v>17</v>
      </c>
      <c r="AI299" s="20" t="s">
        <v>17</v>
      </c>
      <c r="AJ299" s="20" t="s">
        <v>17</v>
      </c>
      <c r="AK299" s="20" t="s">
        <v>17</v>
      </c>
      <c r="AL299" s="21"/>
      <c r="AM299" s="20"/>
      <c r="AN299" s="24" t="s">
        <v>17</v>
      </c>
      <c r="AO299" s="24" t="s">
        <v>17</v>
      </c>
      <c r="AP299" s="20" t="s">
        <v>17</v>
      </c>
      <c r="AQ299" s="20" t="s">
        <v>17</v>
      </c>
      <c r="AR299" s="20" t="s">
        <v>17</v>
      </c>
      <c r="AS299" s="21"/>
      <c r="AT299" s="20"/>
      <c r="AU299" s="4"/>
      <c r="AV299" s="20"/>
      <c r="AW299" s="20" t="s">
        <v>17</v>
      </c>
      <c r="AX299" s="20" t="s">
        <v>17</v>
      </c>
      <c r="AY299" s="20" t="s">
        <v>17</v>
      </c>
      <c r="AZ299" s="5"/>
      <c r="BA299" s="6"/>
      <c r="BB299" s="4"/>
      <c r="BC299" s="6"/>
      <c r="BD299" s="6"/>
      <c r="BE299" s="6"/>
      <c r="BF299" s="7"/>
    </row>
    <row r="300" spans="1:58" ht="18" customHeight="1">
      <c r="A300" s="106" t="s">
        <v>15</v>
      </c>
      <c r="B300" s="93" t="s">
        <v>278</v>
      </c>
      <c r="C300" s="28">
        <v>410.34</v>
      </c>
      <c r="D300" s="28">
        <v>410.46</v>
      </c>
      <c r="E300" s="28">
        <v>410.4</v>
      </c>
      <c r="F300" s="28">
        <v>410.4</v>
      </c>
      <c r="G300" s="29">
        <v>13901.397966913801</v>
      </c>
      <c r="H300" s="29">
        <v>11196.8231399088</v>
      </c>
      <c r="I300" s="27">
        <f t="shared" si="13"/>
        <v>1</v>
      </c>
      <c r="J300" s="27">
        <f t="shared" si="14"/>
        <v>1</v>
      </c>
      <c r="K300" s="27">
        <f t="shared" si="12"/>
        <v>1</v>
      </c>
      <c r="L300" s="25">
        <v>675.17162350000001</v>
      </c>
      <c r="M300" s="25">
        <v>679.67434915381227</v>
      </c>
      <c r="N300" s="38">
        <v>0.51617716949214909</v>
      </c>
      <c r="O300" s="38">
        <v>-7.4772879843147955</v>
      </c>
      <c r="P300" s="71">
        <v>-9.5419966622833918</v>
      </c>
      <c r="Q300" s="53">
        <v>43402</v>
      </c>
      <c r="R300" s="23">
        <v>11</v>
      </c>
      <c r="S300" s="24">
        <v>675.17162350000001</v>
      </c>
      <c r="T300" s="24">
        <v>679.67434915381227</v>
      </c>
      <c r="U300" s="20">
        <v>0.51617716949214909</v>
      </c>
      <c r="V300" s="20">
        <v>-7.4772879843147955</v>
      </c>
      <c r="W300" s="20">
        <v>-9.5419966622833918</v>
      </c>
      <c r="X300" s="22" t="s">
        <v>17</v>
      </c>
      <c r="Y300" s="23"/>
      <c r="Z300" s="24" t="s">
        <v>17</v>
      </c>
      <c r="AA300" s="24" t="s">
        <v>17</v>
      </c>
      <c r="AB300" s="20" t="s">
        <v>17</v>
      </c>
      <c r="AC300" s="20" t="s">
        <v>17</v>
      </c>
      <c r="AD300" s="20" t="s">
        <v>17</v>
      </c>
      <c r="AE300" s="22" t="s">
        <v>17</v>
      </c>
      <c r="AF300" s="23"/>
      <c r="AG300" s="24" t="s">
        <v>17</v>
      </c>
      <c r="AH300" s="24" t="s">
        <v>17</v>
      </c>
      <c r="AI300" s="20" t="s">
        <v>17</v>
      </c>
      <c r="AJ300" s="20" t="s">
        <v>17</v>
      </c>
      <c r="AK300" s="20" t="s">
        <v>17</v>
      </c>
      <c r="AL300" s="21"/>
      <c r="AM300" s="20"/>
      <c r="AN300" s="24" t="s">
        <v>17</v>
      </c>
      <c r="AO300" s="24" t="s">
        <v>17</v>
      </c>
      <c r="AP300" s="20" t="s">
        <v>17</v>
      </c>
      <c r="AQ300" s="20" t="s">
        <v>17</v>
      </c>
      <c r="AR300" s="20" t="s">
        <v>17</v>
      </c>
      <c r="AS300" s="21"/>
      <c r="AT300" s="20"/>
      <c r="AU300" s="4"/>
      <c r="AV300" s="20"/>
      <c r="AW300" s="20" t="s">
        <v>17</v>
      </c>
      <c r="AX300" s="20" t="s">
        <v>17</v>
      </c>
      <c r="AY300" s="20" t="s">
        <v>17</v>
      </c>
      <c r="AZ300" s="5"/>
      <c r="BA300" s="6"/>
      <c r="BB300" s="4"/>
      <c r="BC300" s="6"/>
      <c r="BD300" s="6"/>
      <c r="BE300" s="6"/>
      <c r="BF300" s="7"/>
    </row>
    <row r="301" spans="1:58" ht="18" customHeight="1">
      <c r="A301" s="106" t="s">
        <v>15</v>
      </c>
      <c r="B301" s="93" t="s">
        <v>279</v>
      </c>
      <c r="C301" s="28">
        <v>411.84</v>
      </c>
      <c r="D301" s="28">
        <v>411.96</v>
      </c>
      <c r="E301" s="28">
        <v>411.9</v>
      </c>
      <c r="F301" s="28">
        <v>411.9</v>
      </c>
      <c r="G301" s="29">
        <v>13976.216095080899</v>
      </c>
      <c r="H301" s="29">
        <v>11250.1791133488</v>
      </c>
      <c r="I301" s="27">
        <f t="shared" si="13"/>
        <v>1</v>
      </c>
      <c r="J301" s="27">
        <f t="shared" si="14"/>
        <v>1</v>
      </c>
      <c r="K301" s="27">
        <f t="shared" si="12"/>
        <v>1</v>
      </c>
      <c r="L301" s="25">
        <v>663.215506</v>
      </c>
      <c r="M301" s="25">
        <v>667.65621550511435</v>
      </c>
      <c r="N301" s="38">
        <v>0.51824506954534222</v>
      </c>
      <c r="O301" s="38">
        <v>-6.1581382176129074</v>
      </c>
      <c r="P301" s="71">
        <v>-8.2311184957942771</v>
      </c>
      <c r="Q301" s="53">
        <v>43402</v>
      </c>
      <c r="R301" s="23">
        <v>11</v>
      </c>
      <c r="S301" s="24">
        <v>663.215506</v>
      </c>
      <c r="T301" s="24">
        <v>667.65621550511435</v>
      </c>
      <c r="U301" s="20">
        <v>0.51824506954534222</v>
      </c>
      <c r="V301" s="20">
        <v>-6.1581382176129074</v>
      </c>
      <c r="W301" s="20">
        <v>-8.2311184957942771</v>
      </c>
      <c r="X301" s="22" t="s">
        <v>17</v>
      </c>
      <c r="Y301" s="23"/>
      <c r="Z301" s="24" t="s">
        <v>17</v>
      </c>
      <c r="AA301" s="24" t="s">
        <v>17</v>
      </c>
      <c r="AB301" s="20" t="s">
        <v>17</v>
      </c>
      <c r="AC301" s="20" t="s">
        <v>17</v>
      </c>
      <c r="AD301" s="20" t="s">
        <v>17</v>
      </c>
      <c r="AE301" s="22" t="s">
        <v>17</v>
      </c>
      <c r="AF301" s="23"/>
      <c r="AG301" s="24" t="s">
        <v>17</v>
      </c>
      <c r="AH301" s="24" t="s">
        <v>17</v>
      </c>
      <c r="AI301" s="20" t="s">
        <v>17</v>
      </c>
      <c r="AJ301" s="20" t="s">
        <v>17</v>
      </c>
      <c r="AK301" s="20" t="s">
        <v>17</v>
      </c>
      <c r="AL301" s="21"/>
      <c r="AM301" s="20"/>
      <c r="AN301" s="24" t="s">
        <v>17</v>
      </c>
      <c r="AO301" s="24" t="s">
        <v>17</v>
      </c>
      <c r="AP301" s="20" t="s">
        <v>17</v>
      </c>
      <c r="AQ301" s="20" t="s">
        <v>17</v>
      </c>
      <c r="AR301" s="20" t="s">
        <v>17</v>
      </c>
      <c r="AS301" s="21"/>
      <c r="AT301" s="20"/>
      <c r="AU301" s="4"/>
      <c r="AV301" s="20"/>
      <c r="AW301" s="20" t="s">
        <v>17</v>
      </c>
      <c r="AX301" s="20" t="s">
        <v>17</v>
      </c>
      <c r="AY301" s="20" t="s">
        <v>17</v>
      </c>
      <c r="AZ301" s="5"/>
      <c r="BA301" s="6"/>
      <c r="BB301" s="4"/>
      <c r="BC301" s="6"/>
      <c r="BD301" s="6"/>
      <c r="BE301" s="6"/>
      <c r="BF301" s="7"/>
    </row>
    <row r="302" spans="1:58" ht="18" customHeight="1">
      <c r="A302" s="106" t="s">
        <v>15</v>
      </c>
      <c r="B302" s="93" t="s">
        <v>280</v>
      </c>
      <c r="C302" s="28">
        <v>413.36</v>
      </c>
      <c r="D302" s="28">
        <v>413.48</v>
      </c>
      <c r="E302" s="28">
        <v>413.42</v>
      </c>
      <c r="F302" s="28">
        <v>413.42</v>
      </c>
      <c r="G302" s="29">
        <v>14051.042303980799</v>
      </c>
      <c r="H302" s="29">
        <v>11303.989662575999</v>
      </c>
      <c r="I302" s="27">
        <f t="shared" si="13"/>
        <v>1</v>
      </c>
      <c r="J302" s="27">
        <f t="shared" si="14"/>
        <v>1</v>
      </c>
      <c r="K302" s="27">
        <f t="shared" si="12"/>
        <v>1</v>
      </c>
      <c r="L302" s="25">
        <v>655.96745299999998</v>
      </c>
      <c r="M302" s="25">
        <v>660.37849771093136</v>
      </c>
      <c r="N302" s="38">
        <v>0.52047114192577126</v>
      </c>
      <c r="O302" s="38">
        <v>-10.218714740313217</v>
      </c>
      <c r="P302" s="71">
        <v>-12.300599308016302</v>
      </c>
      <c r="Q302" s="53">
        <v>43508</v>
      </c>
      <c r="R302" s="23">
        <v>8</v>
      </c>
      <c r="S302" s="24">
        <v>655.96745299999998</v>
      </c>
      <c r="T302" s="24">
        <v>660.37849771093136</v>
      </c>
      <c r="U302" s="20">
        <v>0.52047114192577126</v>
      </c>
      <c r="V302" s="20">
        <v>-10.218714740313217</v>
      </c>
      <c r="W302" s="20">
        <v>-12.300599308016302</v>
      </c>
      <c r="X302" s="22" t="s">
        <v>17</v>
      </c>
      <c r="Y302" s="23"/>
      <c r="Z302" s="24" t="s">
        <v>17</v>
      </c>
      <c r="AA302" s="24" t="s">
        <v>17</v>
      </c>
      <c r="AB302" s="20" t="s">
        <v>17</v>
      </c>
      <c r="AC302" s="20" t="s">
        <v>17</v>
      </c>
      <c r="AD302" s="20" t="s">
        <v>17</v>
      </c>
      <c r="AE302" s="22" t="s">
        <v>17</v>
      </c>
      <c r="AF302" s="23"/>
      <c r="AG302" s="24" t="s">
        <v>17</v>
      </c>
      <c r="AH302" s="24" t="s">
        <v>17</v>
      </c>
      <c r="AI302" s="20" t="s">
        <v>17</v>
      </c>
      <c r="AJ302" s="20" t="s">
        <v>17</v>
      </c>
      <c r="AK302" s="20" t="s">
        <v>17</v>
      </c>
      <c r="AL302" s="21"/>
      <c r="AM302" s="20"/>
      <c r="AN302" s="24" t="s">
        <v>17</v>
      </c>
      <c r="AO302" s="24" t="s">
        <v>17</v>
      </c>
      <c r="AP302" s="20" t="s">
        <v>17</v>
      </c>
      <c r="AQ302" s="20" t="s">
        <v>17</v>
      </c>
      <c r="AR302" s="20" t="s">
        <v>17</v>
      </c>
      <c r="AS302" s="21"/>
      <c r="AT302" s="20"/>
      <c r="AU302" s="4"/>
      <c r="AV302" s="20"/>
      <c r="AW302" s="20" t="s">
        <v>17</v>
      </c>
      <c r="AX302" s="20" t="s">
        <v>17</v>
      </c>
      <c r="AY302" s="20" t="s">
        <v>17</v>
      </c>
      <c r="AZ302" s="5"/>
      <c r="BA302" s="6"/>
      <c r="BB302" s="4"/>
      <c r="BC302" s="6"/>
      <c r="BD302" s="6"/>
      <c r="BE302" s="6"/>
      <c r="BF302" s="7"/>
    </row>
    <row r="303" spans="1:58" ht="18" customHeight="1">
      <c r="A303" s="106" t="s">
        <v>15</v>
      </c>
      <c r="B303" s="93" t="s">
        <v>281</v>
      </c>
      <c r="C303" s="28">
        <v>414.24</v>
      </c>
      <c r="D303" s="28">
        <v>414.36</v>
      </c>
      <c r="E303" s="28">
        <v>414.3</v>
      </c>
      <c r="F303" s="28">
        <v>414.3</v>
      </c>
      <c r="G303" s="29">
        <v>14094.089644297201</v>
      </c>
      <c r="H303" s="29">
        <v>11334.7105649921</v>
      </c>
      <c r="I303" s="27">
        <f t="shared" si="13"/>
        <v>1</v>
      </c>
      <c r="J303" s="27">
        <f t="shared" si="14"/>
        <v>1</v>
      </c>
      <c r="K303" s="27">
        <f t="shared" si="12"/>
        <v>1</v>
      </c>
      <c r="L303" s="25">
        <v>658.34283849999997</v>
      </c>
      <c r="M303" s="25">
        <v>662.82005471031994</v>
      </c>
      <c r="N303" s="38">
        <v>0.52637279870504372</v>
      </c>
      <c r="O303" s="38">
        <v>-9.2831834351496667</v>
      </c>
      <c r="P303" s="71">
        <v>-11.388674629969842</v>
      </c>
      <c r="Q303" s="53">
        <v>43402</v>
      </c>
      <c r="R303" s="23">
        <v>11</v>
      </c>
      <c r="S303" s="24">
        <v>658.34283849999997</v>
      </c>
      <c r="T303" s="24">
        <v>662.82005471031994</v>
      </c>
      <c r="U303" s="20">
        <v>0.52637279870504372</v>
      </c>
      <c r="V303" s="20">
        <v>-9.2831834351496667</v>
      </c>
      <c r="W303" s="20">
        <v>-11.388674629969842</v>
      </c>
      <c r="X303" s="22" t="s">
        <v>17</v>
      </c>
      <c r="Y303" s="23"/>
      <c r="Z303" s="24" t="s">
        <v>17</v>
      </c>
      <c r="AA303" s="24" t="s">
        <v>17</v>
      </c>
      <c r="AB303" s="20" t="s">
        <v>17</v>
      </c>
      <c r="AC303" s="20" t="s">
        <v>17</v>
      </c>
      <c r="AD303" s="20" t="s">
        <v>17</v>
      </c>
      <c r="AE303" s="22" t="s">
        <v>17</v>
      </c>
      <c r="AF303" s="23"/>
      <c r="AG303" s="24" t="s">
        <v>17</v>
      </c>
      <c r="AH303" s="24" t="s">
        <v>17</v>
      </c>
      <c r="AI303" s="20" t="s">
        <v>17</v>
      </c>
      <c r="AJ303" s="20" t="s">
        <v>17</v>
      </c>
      <c r="AK303" s="20" t="s">
        <v>17</v>
      </c>
      <c r="AL303" s="21"/>
      <c r="AM303" s="20"/>
      <c r="AN303" s="24" t="s">
        <v>17</v>
      </c>
      <c r="AO303" s="24" t="s">
        <v>17</v>
      </c>
      <c r="AP303" s="20" t="s">
        <v>17</v>
      </c>
      <c r="AQ303" s="20" t="s">
        <v>17</v>
      </c>
      <c r="AR303" s="20" t="s">
        <v>17</v>
      </c>
      <c r="AS303" s="21"/>
      <c r="AT303" s="20"/>
      <c r="AU303" s="4"/>
      <c r="AV303" s="20"/>
      <c r="AW303" s="20" t="s">
        <v>17</v>
      </c>
      <c r="AX303" s="20" t="s">
        <v>17</v>
      </c>
      <c r="AY303" s="20" t="s">
        <v>17</v>
      </c>
      <c r="AZ303" s="5"/>
      <c r="BA303" s="6"/>
      <c r="BB303" s="4"/>
      <c r="BC303" s="6"/>
      <c r="BD303" s="6"/>
      <c r="BE303" s="6"/>
      <c r="BF303" s="7"/>
    </row>
    <row r="304" spans="1:58" ht="18" customHeight="1">
      <c r="A304" s="106" t="s">
        <v>15</v>
      </c>
      <c r="B304" s="93" t="s">
        <v>282</v>
      </c>
      <c r="C304" s="28">
        <v>416.23</v>
      </c>
      <c r="D304" s="28">
        <v>416.35</v>
      </c>
      <c r="E304" s="28">
        <v>416.29</v>
      </c>
      <c r="F304" s="28">
        <v>416.29</v>
      </c>
      <c r="G304" s="29">
        <v>14189.784207896</v>
      </c>
      <c r="H304" s="29">
        <v>11405.1471971419</v>
      </c>
      <c r="I304" s="27">
        <f t="shared" si="13"/>
        <v>1</v>
      </c>
      <c r="J304" s="27">
        <f t="shared" si="14"/>
        <v>1</v>
      </c>
      <c r="K304" s="27">
        <f t="shared" si="12"/>
        <v>1</v>
      </c>
      <c r="L304" s="25">
        <v>671.18031999999994</v>
      </c>
      <c r="M304" s="25">
        <v>675.82180779166924</v>
      </c>
      <c r="N304" s="38">
        <v>0.53524853215147772</v>
      </c>
      <c r="O304" s="38">
        <v>-10.23635308252635</v>
      </c>
      <c r="P304" s="71">
        <v>-12.37734721113226</v>
      </c>
      <c r="Q304" s="53">
        <v>43402</v>
      </c>
      <c r="R304" s="23">
        <v>11</v>
      </c>
      <c r="S304" s="24">
        <v>671.18031999999994</v>
      </c>
      <c r="T304" s="24">
        <v>675.82180779166924</v>
      </c>
      <c r="U304" s="20">
        <v>0.53524853215147772</v>
      </c>
      <c r="V304" s="20">
        <v>-10.23635308252635</v>
      </c>
      <c r="W304" s="20">
        <v>-12.37734721113226</v>
      </c>
      <c r="X304" s="22" t="s">
        <v>17</v>
      </c>
      <c r="Y304" s="23"/>
      <c r="Z304" s="24" t="s">
        <v>17</v>
      </c>
      <c r="AA304" s="24" t="s">
        <v>17</v>
      </c>
      <c r="AB304" s="20" t="s">
        <v>17</v>
      </c>
      <c r="AC304" s="20" t="s">
        <v>17</v>
      </c>
      <c r="AD304" s="20" t="s">
        <v>17</v>
      </c>
      <c r="AE304" s="22" t="s">
        <v>17</v>
      </c>
      <c r="AF304" s="23"/>
      <c r="AG304" s="24" t="s">
        <v>17</v>
      </c>
      <c r="AH304" s="24" t="s">
        <v>17</v>
      </c>
      <c r="AI304" s="20" t="s">
        <v>17</v>
      </c>
      <c r="AJ304" s="20" t="s">
        <v>17</v>
      </c>
      <c r="AK304" s="20" t="s">
        <v>17</v>
      </c>
      <c r="AL304" s="21"/>
      <c r="AM304" s="20"/>
      <c r="AN304" s="24" t="s">
        <v>17</v>
      </c>
      <c r="AO304" s="24" t="s">
        <v>17</v>
      </c>
      <c r="AP304" s="20" t="s">
        <v>17</v>
      </c>
      <c r="AQ304" s="20" t="s">
        <v>17</v>
      </c>
      <c r="AR304" s="20" t="s">
        <v>17</v>
      </c>
      <c r="AS304" s="21"/>
      <c r="AT304" s="20"/>
      <c r="AU304" s="4"/>
      <c r="AV304" s="20"/>
      <c r="AW304" s="20" t="s">
        <v>17</v>
      </c>
      <c r="AX304" s="20" t="s">
        <v>17</v>
      </c>
      <c r="AY304" s="20" t="s">
        <v>17</v>
      </c>
      <c r="AZ304" s="5"/>
      <c r="BA304" s="6"/>
      <c r="BB304" s="4"/>
      <c r="BC304" s="6"/>
      <c r="BD304" s="6"/>
      <c r="BE304" s="6"/>
      <c r="BF304" s="7"/>
    </row>
    <row r="305" spans="1:58" ht="18" customHeight="1">
      <c r="A305" s="106" t="s">
        <v>15</v>
      </c>
      <c r="B305" s="93" t="s">
        <v>283</v>
      </c>
      <c r="C305" s="28">
        <v>418.35</v>
      </c>
      <c r="D305" s="28">
        <v>418.47</v>
      </c>
      <c r="E305" s="28">
        <v>418.41</v>
      </c>
      <c r="F305" s="28">
        <v>418.41</v>
      </c>
      <c r="G305" s="29">
        <v>14289.911864900499</v>
      </c>
      <c r="H305" s="29">
        <v>11482.606102944699</v>
      </c>
      <c r="I305" s="27">
        <f t="shared" si="13"/>
        <v>1</v>
      </c>
      <c r="J305" s="27">
        <f t="shared" si="14"/>
        <v>1</v>
      </c>
      <c r="K305" s="27">
        <f t="shared" si="12"/>
        <v>1</v>
      </c>
      <c r="L305" s="25">
        <v>653.80389149999996</v>
      </c>
      <c r="M305" s="25">
        <v>658.30122511597267</v>
      </c>
      <c r="N305" s="38">
        <v>0.53240863456927023</v>
      </c>
      <c r="O305" s="38">
        <v>-8.5334503136794702</v>
      </c>
      <c r="P305" s="71">
        <v>-10.663084851956551</v>
      </c>
      <c r="Q305" s="53">
        <v>43405</v>
      </c>
      <c r="R305" s="23">
        <v>12</v>
      </c>
      <c r="S305" s="24"/>
      <c r="T305" s="24"/>
      <c r="U305" s="20">
        <v>0.53240863456927023</v>
      </c>
      <c r="V305" s="20">
        <v>-8.5334503136794702</v>
      </c>
      <c r="W305" s="20">
        <v>-10.663084851956551</v>
      </c>
      <c r="X305" s="22">
        <v>43409</v>
      </c>
      <c r="Y305" s="23">
        <v>3</v>
      </c>
      <c r="Z305" s="24">
        <v>653.80389149999996</v>
      </c>
      <c r="AA305" s="24">
        <v>658.30122511597267</v>
      </c>
      <c r="AB305" s="20"/>
      <c r="AC305" s="20"/>
      <c r="AD305" s="20"/>
      <c r="AE305" s="22" t="s">
        <v>17</v>
      </c>
      <c r="AF305" s="23"/>
      <c r="AG305" s="24" t="s">
        <v>17</v>
      </c>
      <c r="AH305" s="24" t="s">
        <v>17</v>
      </c>
      <c r="AI305" s="20" t="s">
        <v>17</v>
      </c>
      <c r="AJ305" s="20" t="s">
        <v>17</v>
      </c>
      <c r="AK305" s="20" t="s">
        <v>17</v>
      </c>
      <c r="AL305" s="21"/>
      <c r="AM305" s="20"/>
      <c r="AN305" s="24" t="s">
        <v>17</v>
      </c>
      <c r="AO305" s="24" t="s">
        <v>17</v>
      </c>
      <c r="AP305" s="20" t="s">
        <v>17</v>
      </c>
      <c r="AQ305" s="20" t="s">
        <v>17</v>
      </c>
      <c r="AR305" s="20" t="s">
        <v>17</v>
      </c>
      <c r="AS305" s="21"/>
      <c r="AT305" s="20"/>
      <c r="AU305" s="4"/>
      <c r="AV305" s="20"/>
      <c r="AW305" s="20" t="s">
        <v>17</v>
      </c>
      <c r="AX305" s="20" t="s">
        <v>17</v>
      </c>
      <c r="AY305" s="20" t="s">
        <v>17</v>
      </c>
      <c r="AZ305" s="5"/>
      <c r="BA305" s="6"/>
      <c r="BB305" s="4"/>
      <c r="BC305" s="6"/>
      <c r="BD305" s="6"/>
      <c r="BE305" s="6"/>
      <c r="BF305" s="7"/>
    </row>
    <row r="306" spans="1:58" ht="18" customHeight="1">
      <c r="A306" s="106" t="s">
        <v>15</v>
      </c>
      <c r="B306" s="93" t="s">
        <v>284</v>
      </c>
      <c r="C306" s="28">
        <v>419.73</v>
      </c>
      <c r="D306" s="28">
        <v>419.85</v>
      </c>
      <c r="E306" s="28">
        <v>419.79</v>
      </c>
      <c r="F306" s="28">
        <v>419.79</v>
      </c>
      <c r="G306" s="29">
        <v>14355.4078375806</v>
      </c>
      <c r="H306" s="29">
        <v>11534.5102244721</v>
      </c>
      <c r="I306" s="27">
        <f t="shared" si="13"/>
        <v>1</v>
      </c>
      <c r="J306" s="27">
        <f t="shared" si="14"/>
        <v>1</v>
      </c>
      <c r="K306" s="27">
        <f t="shared" si="12"/>
        <v>1</v>
      </c>
      <c r="L306" s="25">
        <v>598.8459775</v>
      </c>
      <c r="M306" s="25">
        <v>602.97019237743757</v>
      </c>
      <c r="N306" s="38">
        <v>0.53304470567350215</v>
      </c>
      <c r="O306" s="38">
        <v>-9.0546293242298468</v>
      </c>
      <c r="P306" s="71">
        <v>-11.186808146923855</v>
      </c>
      <c r="Q306" s="53">
        <v>43412</v>
      </c>
      <c r="R306" s="23">
        <v>12</v>
      </c>
      <c r="S306" s="24">
        <v>598.8459775</v>
      </c>
      <c r="T306" s="24">
        <v>602.97019237743757</v>
      </c>
      <c r="U306" s="20">
        <v>0.53304470567350215</v>
      </c>
      <c r="V306" s="20">
        <v>-9.0546293242298468</v>
      </c>
      <c r="W306" s="20">
        <v>-11.186808146923855</v>
      </c>
      <c r="X306" s="22" t="s">
        <v>17</v>
      </c>
      <c r="Y306" s="23"/>
      <c r="Z306" s="24" t="s">
        <v>17</v>
      </c>
      <c r="AA306" s="24" t="s">
        <v>17</v>
      </c>
      <c r="AB306" s="20" t="s">
        <v>17</v>
      </c>
      <c r="AC306" s="20" t="s">
        <v>17</v>
      </c>
      <c r="AD306" s="20" t="s">
        <v>17</v>
      </c>
      <c r="AE306" s="22" t="s">
        <v>17</v>
      </c>
      <c r="AF306" s="23"/>
      <c r="AG306" s="24" t="s">
        <v>17</v>
      </c>
      <c r="AH306" s="24" t="s">
        <v>17</v>
      </c>
      <c r="AI306" s="20" t="s">
        <v>17</v>
      </c>
      <c r="AJ306" s="20" t="s">
        <v>17</v>
      </c>
      <c r="AK306" s="20" t="s">
        <v>17</v>
      </c>
      <c r="AL306" s="21"/>
      <c r="AM306" s="20"/>
      <c r="AN306" s="24" t="s">
        <v>17</v>
      </c>
      <c r="AO306" s="24" t="s">
        <v>17</v>
      </c>
      <c r="AP306" s="20" t="s">
        <v>17</v>
      </c>
      <c r="AQ306" s="20" t="s">
        <v>17</v>
      </c>
      <c r="AR306" s="20" t="s">
        <v>17</v>
      </c>
      <c r="AS306" s="21"/>
      <c r="AT306" s="20"/>
      <c r="AU306" s="4"/>
      <c r="AV306" s="20"/>
      <c r="AW306" s="20" t="s">
        <v>17</v>
      </c>
      <c r="AX306" s="20" t="s">
        <v>17</v>
      </c>
      <c r="AY306" s="20" t="s">
        <v>17</v>
      </c>
      <c r="AZ306" s="5"/>
      <c r="BA306" s="6"/>
      <c r="BB306" s="4"/>
      <c r="BC306" s="6"/>
      <c r="BD306" s="6"/>
      <c r="BE306" s="6"/>
      <c r="BF306" s="7"/>
    </row>
    <row r="307" spans="1:58" ht="18" customHeight="1">
      <c r="A307" s="106" t="s">
        <v>15</v>
      </c>
      <c r="B307" s="93" t="s">
        <v>285</v>
      </c>
      <c r="C307" s="28">
        <v>420.73</v>
      </c>
      <c r="D307" s="28">
        <v>420.85</v>
      </c>
      <c r="E307" s="28">
        <v>420.79</v>
      </c>
      <c r="F307" s="28">
        <v>420.79</v>
      </c>
      <c r="G307" s="29">
        <v>14404.494647793201</v>
      </c>
      <c r="H307" s="29">
        <v>11568.8531331335</v>
      </c>
      <c r="I307" s="27">
        <f t="shared" si="13"/>
        <v>1</v>
      </c>
      <c r="J307" s="27">
        <f t="shared" si="14"/>
        <v>1</v>
      </c>
      <c r="K307" s="27">
        <f t="shared" si="12"/>
        <v>1</v>
      </c>
      <c r="L307" s="25">
        <v>523.63486799999998</v>
      </c>
      <c r="M307" s="25">
        <v>527.23375833286036</v>
      </c>
      <c r="N307" s="38">
        <v>0.53195824107787892</v>
      </c>
      <c r="O307" s="38">
        <v>-8.7807300199409521</v>
      </c>
      <c r="P307" s="71">
        <v>-10.908562984252468</v>
      </c>
      <c r="Q307" s="53">
        <v>43405</v>
      </c>
      <c r="R307" s="23">
        <v>11</v>
      </c>
      <c r="S307" s="24"/>
      <c r="T307" s="24"/>
      <c r="U307" s="20">
        <v>0.53195824107787892</v>
      </c>
      <c r="V307" s="20">
        <v>-8.7807300199409521</v>
      </c>
      <c r="W307" s="20">
        <v>-10.908562984252468</v>
      </c>
      <c r="X307" s="22">
        <v>43409</v>
      </c>
      <c r="Y307" s="23">
        <v>3</v>
      </c>
      <c r="Z307" s="24">
        <v>523.63486799999998</v>
      </c>
      <c r="AA307" s="24">
        <v>527.23375833286036</v>
      </c>
      <c r="AB307" s="20"/>
      <c r="AC307" s="20"/>
      <c r="AD307" s="20"/>
      <c r="AE307" s="22" t="s">
        <v>17</v>
      </c>
      <c r="AF307" s="23"/>
      <c r="AG307" s="24" t="s">
        <v>17</v>
      </c>
      <c r="AH307" s="24" t="s">
        <v>17</v>
      </c>
      <c r="AI307" s="20" t="s">
        <v>17</v>
      </c>
      <c r="AJ307" s="20" t="s">
        <v>17</v>
      </c>
      <c r="AK307" s="20" t="s">
        <v>17</v>
      </c>
      <c r="AL307" s="21"/>
      <c r="AM307" s="20"/>
      <c r="AN307" s="24" t="s">
        <v>17</v>
      </c>
      <c r="AO307" s="24" t="s">
        <v>17</v>
      </c>
      <c r="AP307" s="20" t="s">
        <v>17</v>
      </c>
      <c r="AQ307" s="20" t="s">
        <v>17</v>
      </c>
      <c r="AR307" s="20" t="s">
        <v>17</v>
      </c>
      <c r="AS307" s="21"/>
      <c r="AT307" s="20"/>
      <c r="AU307" s="4"/>
      <c r="AV307" s="20"/>
      <c r="AW307" s="20" t="s">
        <v>17</v>
      </c>
      <c r="AX307" s="20" t="s">
        <v>17</v>
      </c>
      <c r="AY307" s="20" t="s">
        <v>17</v>
      </c>
      <c r="AZ307" s="5"/>
      <c r="BA307" s="6"/>
      <c r="BB307" s="4"/>
      <c r="BC307" s="6"/>
      <c r="BD307" s="6"/>
      <c r="BE307" s="6"/>
      <c r="BF307" s="7"/>
    </row>
    <row r="308" spans="1:58" ht="18" customHeight="1">
      <c r="A308" s="106" t="s">
        <v>15</v>
      </c>
      <c r="B308" s="93" t="s">
        <v>286</v>
      </c>
      <c r="C308" s="28">
        <v>422.23</v>
      </c>
      <c r="D308" s="28">
        <v>422.35</v>
      </c>
      <c r="E308" s="28">
        <v>422.29</v>
      </c>
      <c r="F308" s="28">
        <v>422.29</v>
      </c>
      <c r="G308" s="29">
        <v>14475.8953566736</v>
      </c>
      <c r="H308" s="29">
        <v>11621.9487424738</v>
      </c>
      <c r="I308" s="27">
        <f t="shared" si="13"/>
        <v>2</v>
      </c>
      <c r="J308" s="27">
        <f t="shared" si="14"/>
        <v>2</v>
      </c>
      <c r="K308" s="27">
        <f t="shared" si="12"/>
        <v>2</v>
      </c>
      <c r="L308" s="25">
        <v>479.07186475000003</v>
      </c>
      <c r="M308" s="25">
        <v>482.37108167520898</v>
      </c>
      <c r="N308" s="38">
        <v>0.53302321677117792</v>
      </c>
      <c r="O308" s="38">
        <v>-2.8172029432145251</v>
      </c>
      <c r="P308" s="71">
        <v>-4.9492958102992368</v>
      </c>
      <c r="Q308" s="53">
        <v>43249</v>
      </c>
      <c r="R308" s="23">
        <v>6</v>
      </c>
      <c r="S308" s="24">
        <v>481.491153</v>
      </c>
      <c r="T308" s="24">
        <v>484.80938639745216</v>
      </c>
      <c r="U308" s="20">
        <v>0.53340379927835357</v>
      </c>
      <c r="V308" s="20">
        <v>-2.9587452521283586</v>
      </c>
      <c r="W308" s="20">
        <v>-5.0923604492417729</v>
      </c>
      <c r="X308" s="22">
        <v>43249</v>
      </c>
      <c r="Y308" s="23">
        <v>10</v>
      </c>
      <c r="Z308" s="24">
        <v>476.65257650000001</v>
      </c>
      <c r="AA308" s="24">
        <v>479.93277695296587</v>
      </c>
      <c r="AB308" s="20">
        <v>0.53264263426400227</v>
      </c>
      <c r="AC308" s="20">
        <v>-2.6756606343006917</v>
      </c>
      <c r="AD308" s="20">
        <v>-4.8062311713567007</v>
      </c>
      <c r="AE308" s="22" t="s">
        <v>17</v>
      </c>
      <c r="AF308" s="23"/>
      <c r="AG308" s="24" t="s">
        <v>17</v>
      </c>
      <c r="AH308" s="24" t="s">
        <v>17</v>
      </c>
      <c r="AI308" s="20" t="s">
        <v>17</v>
      </c>
      <c r="AJ308" s="20" t="s">
        <v>17</v>
      </c>
      <c r="AK308" s="20" t="s">
        <v>17</v>
      </c>
      <c r="AL308" s="21"/>
      <c r="AM308" s="20"/>
      <c r="AN308" s="24" t="s">
        <v>17</v>
      </c>
      <c r="AO308" s="24" t="s">
        <v>17</v>
      </c>
      <c r="AP308" s="20" t="s">
        <v>17</v>
      </c>
      <c r="AQ308" s="20" t="s">
        <v>17</v>
      </c>
      <c r="AR308" s="20" t="s">
        <v>17</v>
      </c>
      <c r="AS308" s="21"/>
      <c r="AT308" s="20"/>
      <c r="AU308" s="4"/>
      <c r="AV308" s="20"/>
      <c r="AW308" s="20" t="s">
        <v>17</v>
      </c>
      <c r="AX308" s="20" t="s">
        <v>17</v>
      </c>
      <c r="AY308" s="20" t="s">
        <v>17</v>
      </c>
      <c r="AZ308" s="5"/>
      <c r="BA308" s="6"/>
      <c r="BB308" s="4"/>
      <c r="BC308" s="6"/>
      <c r="BD308" s="6"/>
      <c r="BE308" s="6"/>
      <c r="BF308" s="7"/>
    </row>
    <row r="309" spans="1:58" ht="18" customHeight="1">
      <c r="A309" s="106" t="s">
        <v>15</v>
      </c>
      <c r="B309" s="93" t="s">
        <v>287</v>
      </c>
      <c r="C309" s="28">
        <v>423.72500000000002</v>
      </c>
      <c r="D309" s="28">
        <v>423.8</v>
      </c>
      <c r="E309" s="28">
        <v>423.76250000000005</v>
      </c>
      <c r="F309" s="28">
        <v>423.76250000000005</v>
      </c>
      <c r="G309" s="29">
        <v>14543.1538818602</v>
      </c>
      <c r="H309" s="29">
        <v>11689.0193601109</v>
      </c>
      <c r="I309" s="27">
        <f t="shared" si="13"/>
        <v>1</v>
      </c>
      <c r="J309" s="27">
        <f t="shared" si="14"/>
        <v>1</v>
      </c>
      <c r="K309" s="27">
        <f t="shared" si="12"/>
        <v>1</v>
      </c>
      <c r="L309" s="25">
        <v>482.91199549999999</v>
      </c>
      <c r="M309" s="25">
        <v>486.26724171852385</v>
      </c>
      <c r="N309" s="38">
        <v>0.53776667836347158</v>
      </c>
      <c r="O309" s="38">
        <v>-8.4645935056011368</v>
      </c>
      <c r="P309" s="71">
        <v>-10.615660219055023</v>
      </c>
      <c r="Q309" s="53">
        <v>43405</v>
      </c>
      <c r="R309" s="23">
        <v>12</v>
      </c>
      <c r="S309" s="24">
        <v>482.91199549999999</v>
      </c>
      <c r="T309" s="24">
        <v>486.26724171852385</v>
      </c>
      <c r="U309" s="20">
        <v>0.53776667836347158</v>
      </c>
      <c r="V309" s="20">
        <v>-8.4645935056011368</v>
      </c>
      <c r="W309" s="20">
        <v>-10.615660219055023</v>
      </c>
      <c r="X309" s="22" t="s">
        <v>17</v>
      </c>
      <c r="Y309" s="23"/>
      <c r="Z309" s="24" t="s">
        <v>17</v>
      </c>
      <c r="AA309" s="24" t="s">
        <v>17</v>
      </c>
      <c r="AB309" s="20" t="s">
        <v>17</v>
      </c>
      <c r="AC309" s="20" t="s">
        <v>17</v>
      </c>
      <c r="AD309" s="20" t="s">
        <v>17</v>
      </c>
      <c r="AE309" s="22" t="s">
        <v>17</v>
      </c>
      <c r="AF309" s="23"/>
      <c r="AG309" s="24" t="s">
        <v>17</v>
      </c>
      <c r="AH309" s="24" t="s">
        <v>17</v>
      </c>
      <c r="AI309" s="20" t="s">
        <v>17</v>
      </c>
      <c r="AJ309" s="20" t="s">
        <v>17</v>
      </c>
      <c r="AK309" s="20" t="s">
        <v>17</v>
      </c>
      <c r="AL309" s="21"/>
      <c r="AM309" s="20"/>
      <c r="AN309" s="24" t="s">
        <v>17</v>
      </c>
      <c r="AO309" s="24" t="s">
        <v>17</v>
      </c>
      <c r="AP309" s="20" t="s">
        <v>17</v>
      </c>
      <c r="AQ309" s="20" t="s">
        <v>17</v>
      </c>
      <c r="AR309" s="20" t="s">
        <v>17</v>
      </c>
      <c r="AS309" s="21"/>
      <c r="AT309" s="20"/>
      <c r="AU309" s="4"/>
      <c r="AV309" s="20"/>
      <c r="AW309" s="20" t="s">
        <v>17</v>
      </c>
      <c r="AX309" s="20" t="s">
        <v>17</v>
      </c>
      <c r="AY309" s="20" t="s">
        <v>17</v>
      </c>
      <c r="AZ309" s="5"/>
      <c r="BA309" s="6"/>
      <c r="BB309" s="4"/>
      <c r="BC309" s="6"/>
      <c r="BD309" s="6"/>
      <c r="BE309" s="6"/>
      <c r="BF309" s="7"/>
    </row>
    <row r="310" spans="1:58" ht="18" customHeight="1">
      <c r="A310" s="106" t="s">
        <v>15</v>
      </c>
      <c r="B310" s="93" t="s">
        <v>288</v>
      </c>
      <c r="C310" s="28">
        <v>424.73</v>
      </c>
      <c r="D310" s="28">
        <v>424.85</v>
      </c>
      <c r="E310" s="28">
        <v>424.79</v>
      </c>
      <c r="F310" s="28">
        <v>424.79</v>
      </c>
      <c r="G310" s="29">
        <v>14591.702157490699</v>
      </c>
      <c r="H310" s="29">
        <v>11740.279405814799</v>
      </c>
      <c r="I310" s="27">
        <f t="shared" si="13"/>
        <v>2</v>
      </c>
      <c r="J310" s="27">
        <f t="shared" si="14"/>
        <v>1</v>
      </c>
      <c r="K310" s="27">
        <f t="shared" si="12"/>
        <v>1</v>
      </c>
      <c r="L310" s="25">
        <v>483.03995900000007</v>
      </c>
      <c r="M310" s="25">
        <v>486.37281645533255</v>
      </c>
      <c r="N310" s="38">
        <v>0.53403677800889504</v>
      </c>
      <c r="O310" s="38">
        <v>-9.7111654146740953</v>
      </c>
      <c r="P310" s="71">
        <v>-11.847312526709675</v>
      </c>
      <c r="Q310" s="53">
        <v>43405</v>
      </c>
      <c r="R310" s="23">
        <v>12</v>
      </c>
      <c r="S310" s="24">
        <v>483.41603300000003</v>
      </c>
      <c r="T310" s="24">
        <v>486.75148527385903</v>
      </c>
      <c r="U310" s="20">
        <v>0.53403677800889504</v>
      </c>
      <c r="V310" s="20">
        <v>-9.7111654146740953</v>
      </c>
      <c r="W310" s="20">
        <v>-11.847312526709675</v>
      </c>
      <c r="X310" s="22">
        <v>43409</v>
      </c>
      <c r="Y310" s="23">
        <v>3</v>
      </c>
      <c r="Z310" s="24">
        <v>482.66388500000005</v>
      </c>
      <c r="AA310" s="24">
        <v>485.99414763680602</v>
      </c>
      <c r="AB310" s="20"/>
      <c r="AC310" s="20"/>
      <c r="AD310" s="20"/>
      <c r="AE310" s="22" t="s">
        <v>17</v>
      </c>
      <c r="AF310" s="23"/>
      <c r="AG310" s="24" t="s">
        <v>17</v>
      </c>
      <c r="AH310" s="24" t="s">
        <v>17</v>
      </c>
      <c r="AI310" s="20" t="s">
        <v>17</v>
      </c>
      <c r="AJ310" s="20" t="s">
        <v>17</v>
      </c>
      <c r="AK310" s="20" t="s">
        <v>17</v>
      </c>
      <c r="AL310" s="21"/>
      <c r="AM310" s="20"/>
      <c r="AN310" s="24" t="s">
        <v>17</v>
      </c>
      <c r="AO310" s="24" t="s">
        <v>17</v>
      </c>
      <c r="AP310" s="20" t="s">
        <v>17</v>
      </c>
      <c r="AQ310" s="20" t="s">
        <v>17</v>
      </c>
      <c r="AR310" s="20" t="s">
        <v>17</v>
      </c>
      <c r="AS310" s="21"/>
      <c r="AT310" s="20"/>
      <c r="AU310" s="4"/>
      <c r="AV310" s="20"/>
      <c r="AW310" s="20" t="s">
        <v>17</v>
      </c>
      <c r="AX310" s="20" t="s">
        <v>17</v>
      </c>
      <c r="AY310" s="20" t="s">
        <v>17</v>
      </c>
      <c r="AZ310" s="5"/>
      <c r="BA310" s="6"/>
      <c r="BB310" s="4"/>
      <c r="BC310" s="6"/>
      <c r="BD310" s="6"/>
      <c r="BE310" s="6"/>
      <c r="BF310" s="7"/>
    </row>
    <row r="311" spans="1:58" ht="18" customHeight="1">
      <c r="A311" s="106" t="s">
        <v>15</v>
      </c>
      <c r="B311" s="93" t="s">
        <v>289</v>
      </c>
      <c r="C311" s="28">
        <v>426.22</v>
      </c>
      <c r="D311" s="28">
        <v>426.35</v>
      </c>
      <c r="E311" s="28">
        <v>426.28500000000003</v>
      </c>
      <c r="F311" s="28">
        <v>426.28500000000003</v>
      </c>
      <c r="G311" s="29">
        <v>14665.4610624832</v>
      </c>
      <c r="H311" s="29">
        <v>11803.2012780655</v>
      </c>
      <c r="I311" s="27">
        <f t="shared" si="13"/>
        <v>1</v>
      </c>
      <c r="J311" s="27">
        <f t="shared" si="14"/>
        <v>1</v>
      </c>
      <c r="K311" s="27">
        <f t="shared" si="12"/>
        <v>1</v>
      </c>
      <c r="L311" s="25">
        <v>479.88406050000003</v>
      </c>
      <c r="M311" s="25">
        <v>483.16736116743982</v>
      </c>
      <c r="N311" s="38">
        <v>0.52955590646530659</v>
      </c>
      <c r="O311" s="38">
        <v>-8.8899614294490892</v>
      </c>
      <c r="P311" s="71">
        <v>-11.008185055310316</v>
      </c>
      <c r="Q311" s="53">
        <v>43508</v>
      </c>
      <c r="R311" s="23">
        <v>8</v>
      </c>
      <c r="S311" s="24">
        <v>479.88406050000003</v>
      </c>
      <c r="T311" s="24">
        <v>483.16736116743982</v>
      </c>
      <c r="U311" s="20">
        <v>0.52955590646530659</v>
      </c>
      <c r="V311" s="20">
        <v>-8.8899614294490892</v>
      </c>
      <c r="W311" s="20">
        <v>-11.008185055310316</v>
      </c>
      <c r="X311" s="22" t="s">
        <v>17</v>
      </c>
      <c r="Y311" s="23"/>
      <c r="Z311" s="24" t="s">
        <v>17</v>
      </c>
      <c r="AA311" s="24" t="s">
        <v>17</v>
      </c>
      <c r="AB311" s="20" t="s">
        <v>17</v>
      </c>
      <c r="AC311" s="20" t="s">
        <v>17</v>
      </c>
      <c r="AD311" s="20" t="s">
        <v>17</v>
      </c>
      <c r="AE311" s="22" t="s">
        <v>17</v>
      </c>
      <c r="AF311" s="23"/>
      <c r="AG311" s="24" t="s">
        <v>17</v>
      </c>
      <c r="AH311" s="24" t="s">
        <v>17</v>
      </c>
      <c r="AI311" s="20" t="s">
        <v>17</v>
      </c>
      <c r="AJ311" s="20" t="s">
        <v>17</v>
      </c>
      <c r="AK311" s="20" t="s">
        <v>17</v>
      </c>
      <c r="AL311" s="21"/>
      <c r="AM311" s="20"/>
      <c r="AN311" s="24" t="s">
        <v>17</v>
      </c>
      <c r="AO311" s="24" t="s">
        <v>17</v>
      </c>
      <c r="AP311" s="20" t="s">
        <v>17</v>
      </c>
      <c r="AQ311" s="20" t="s">
        <v>17</v>
      </c>
      <c r="AR311" s="20" t="s">
        <v>17</v>
      </c>
      <c r="AS311" s="21"/>
      <c r="AT311" s="20"/>
      <c r="AU311" s="4"/>
      <c r="AV311" s="20"/>
      <c r="AW311" s="20" t="s">
        <v>17</v>
      </c>
      <c r="AX311" s="20" t="s">
        <v>17</v>
      </c>
      <c r="AY311" s="20" t="s">
        <v>17</v>
      </c>
      <c r="AZ311" s="5"/>
      <c r="BA311" s="6"/>
      <c r="BB311" s="4"/>
      <c r="BC311" s="6"/>
      <c r="BD311" s="6"/>
      <c r="BE311" s="6"/>
      <c r="BF311" s="7"/>
    </row>
    <row r="312" spans="1:58" ht="18" customHeight="1">
      <c r="A312" s="106" t="s">
        <v>15</v>
      </c>
      <c r="B312" s="93" t="s">
        <v>290</v>
      </c>
      <c r="C312" s="28">
        <v>426.85</v>
      </c>
      <c r="D312" s="28">
        <v>426.97</v>
      </c>
      <c r="E312" s="28">
        <v>426.91</v>
      </c>
      <c r="F312" s="28">
        <v>426.91</v>
      </c>
      <c r="G312" s="29">
        <v>14695.347175163501</v>
      </c>
      <c r="H312" s="29">
        <v>11827.304682804801</v>
      </c>
      <c r="I312" s="27">
        <f t="shared" si="13"/>
        <v>1</v>
      </c>
      <c r="J312" s="27">
        <f t="shared" si="14"/>
        <v>1</v>
      </c>
      <c r="K312" s="27">
        <f t="shared" si="12"/>
        <v>1</v>
      </c>
      <c r="L312" s="25">
        <v>478.28297250000003</v>
      </c>
      <c r="M312" s="25">
        <v>481.55068333110177</v>
      </c>
      <c r="N312" s="38">
        <v>0.52880576880021124</v>
      </c>
      <c r="O312" s="38">
        <v>-7.7196091477791384</v>
      </c>
      <c r="P312" s="71">
        <v>-9.8348322229799834</v>
      </c>
      <c r="Q312" s="53">
        <v>43418</v>
      </c>
      <c r="R312" s="23">
        <v>12</v>
      </c>
      <c r="S312" s="24">
        <v>478.28297250000003</v>
      </c>
      <c r="T312" s="24">
        <v>481.55068333110177</v>
      </c>
      <c r="U312" s="20">
        <v>0.52880576880021124</v>
      </c>
      <c r="V312" s="20">
        <v>-7.7196091477791384</v>
      </c>
      <c r="W312" s="20">
        <v>-9.8348322229799834</v>
      </c>
      <c r="X312" s="22" t="s">
        <v>17</v>
      </c>
      <c r="Y312" s="23"/>
      <c r="Z312" s="24" t="s">
        <v>17</v>
      </c>
      <c r="AA312" s="24" t="s">
        <v>17</v>
      </c>
      <c r="AB312" s="20" t="s">
        <v>17</v>
      </c>
      <c r="AC312" s="20" t="s">
        <v>17</v>
      </c>
      <c r="AD312" s="20" t="s">
        <v>17</v>
      </c>
      <c r="AE312" s="22" t="s">
        <v>17</v>
      </c>
      <c r="AF312" s="23"/>
      <c r="AG312" s="24" t="s">
        <v>17</v>
      </c>
      <c r="AH312" s="24" t="s">
        <v>17</v>
      </c>
      <c r="AI312" s="20" t="s">
        <v>17</v>
      </c>
      <c r="AJ312" s="20" t="s">
        <v>17</v>
      </c>
      <c r="AK312" s="20" t="s">
        <v>17</v>
      </c>
      <c r="AL312" s="21"/>
      <c r="AM312" s="20"/>
      <c r="AN312" s="24" t="s">
        <v>17</v>
      </c>
      <c r="AO312" s="24" t="s">
        <v>17</v>
      </c>
      <c r="AP312" s="20" t="s">
        <v>17</v>
      </c>
      <c r="AQ312" s="20" t="s">
        <v>17</v>
      </c>
      <c r="AR312" s="20" t="s">
        <v>17</v>
      </c>
      <c r="AS312" s="21"/>
      <c r="AT312" s="20"/>
      <c r="AU312" s="4"/>
      <c r="AV312" s="20"/>
      <c r="AW312" s="20" t="s">
        <v>17</v>
      </c>
      <c r="AX312" s="20" t="s">
        <v>17</v>
      </c>
      <c r="AY312" s="20" t="s">
        <v>17</v>
      </c>
      <c r="AZ312" s="5"/>
      <c r="BA312" s="6"/>
      <c r="BB312" s="4"/>
      <c r="BC312" s="6"/>
      <c r="BD312" s="6"/>
      <c r="BE312" s="6"/>
      <c r="BF312" s="7"/>
    </row>
    <row r="313" spans="1:58" ht="18" customHeight="1">
      <c r="A313" s="106" t="s">
        <v>15</v>
      </c>
      <c r="B313" s="93" t="s">
        <v>291</v>
      </c>
      <c r="C313" s="28">
        <v>428.35</v>
      </c>
      <c r="D313" s="28">
        <v>428.47</v>
      </c>
      <c r="E313" s="28">
        <v>428.41</v>
      </c>
      <c r="F313" s="28">
        <v>428.41</v>
      </c>
      <c r="G313" s="29">
        <v>14765.6096712124</v>
      </c>
      <c r="H313" s="29">
        <v>11888.6600180601</v>
      </c>
      <c r="I313" s="27">
        <f t="shared" si="13"/>
        <v>1</v>
      </c>
      <c r="J313" s="27">
        <f t="shared" si="14"/>
        <v>1</v>
      </c>
      <c r="K313" s="27">
        <f t="shared" si="12"/>
        <v>1</v>
      </c>
      <c r="L313" s="25">
        <v>476.63990850000005</v>
      </c>
      <c r="M313" s="25">
        <v>479.85074362276123</v>
      </c>
      <c r="N313" s="38">
        <v>0.52139287108921017</v>
      </c>
      <c r="O313" s="38">
        <v>-7.8694226992376271</v>
      </c>
      <c r="P313" s="71">
        <v>-9.9549941835944686</v>
      </c>
      <c r="Q313" s="53">
        <v>43412</v>
      </c>
      <c r="R313" s="23">
        <v>12</v>
      </c>
      <c r="S313" s="24">
        <v>476.63990850000005</v>
      </c>
      <c r="T313" s="24">
        <v>479.85074362276123</v>
      </c>
      <c r="U313" s="20">
        <v>0.52139287108921017</v>
      </c>
      <c r="V313" s="20">
        <v>-7.8694226992376271</v>
      </c>
      <c r="W313" s="20">
        <v>-9.9549941835944686</v>
      </c>
      <c r="X313" s="22" t="s">
        <v>17</v>
      </c>
      <c r="Y313" s="23"/>
      <c r="Z313" s="24" t="s">
        <v>17</v>
      </c>
      <c r="AA313" s="24" t="s">
        <v>17</v>
      </c>
      <c r="AB313" s="20" t="s">
        <v>17</v>
      </c>
      <c r="AC313" s="20" t="s">
        <v>17</v>
      </c>
      <c r="AD313" s="20" t="s">
        <v>17</v>
      </c>
      <c r="AE313" s="22" t="s">
        <v>17</v>
      </c>
      <c r="AF313" s="23"/>
      <c r="AG313" s="24" t="s">
        <v>17</v>
      </c>
      <c r="AH313" s="24" t="s">
        <v>17</v>
      </c>
      <c r="AI313" s="20" t="s">
        <v>17</v>
      </c>
      <c r="AJ313" s="20" t="s">
        <v>17</v>
      </c>
      <c r="AK313" s="20" t="s">
        <v>17</v>
      </c>
      <c r="AL313" s="22" t="s">
        <v>17</v>
      </c>
      <c r="AM313" s="4" t="s">
        <v>17</v>
      </c>
      <c r="AN313" s="24" t="s">
        <v>17</v>
      </c>
      <c r="AO313" s="24" t="s">
        <v>17</v>
      </c>
      <c r="AP313" s="20" t="s">
        <v>17</v>
      </c>
      <c r="AQ313" s="20" t="s">
        <v>17</v>
      </c>
      <c r="AR313" s="20" t="s">
        <v>17</v>
      </c>
      <c r="AS313" s="21"/>
      <c r="AT313" s="20"/>
      <c r="AU313" s="4"/>
      <c r="AV313" s="20"/>
      <c r="AW313" s="20" t="s">
        <v>17</v>
      </c>
      <c r="AX313" s="20" t="s">
        <v>17</v>
      </c>
      <c r="AY313" s="20" t="s">
        <v>17</v>
      </c>
      <c r="AZ313" s="5"/>
      <c r="BA313" s="6"/>
      <c r="BB313" s="4"/>
      <c r="BC313" s="6"/>
      <c r="BD313" s="6"/>
      <c r="BE313" s="6"/>
      <c r="BF313" s="7"/>
    </row>
    <row r="314" spans="1:58" ht="18" customHeight="1">
      <c r="A314" s="106" t="s">
        <v>15</v>
      </c>
      <c r="B314" s="93" t="s">
        <v>292</v>
      </c>
      <c r="C314" s="28">
        <v>429.35</v>
      </c>
      <c r="D314" s="28">
        <v>429.47</v>
      </c>
      <c r="E314" s="28">
        <v>429.41</v>
      </c>
      <c r="F314" s="28">
        <v>429.41</v>
      </c>
      <c r="G314" s="29">
        <v>14811.1610945518</v>
      </c>
      <c r="H314" s="29">
        <v>11932.7112303463</v>
      </c>
      <c r="I314" s="27">
        <f t="shared" si="13"/>
        <v>1</v>
      </c>
      <c r="J314" s="27">
        <f t="shared" si="14"/>
        <v>1</v>
      </c>
      <c r="K314" s="27">
        <f t="shared" si="12"/>
        <v>1</v>
      </c>
      <c r="L314" s="25">
        <v>477.83430199999998</v>
      </c>
      <c r="M314" s="25">
        <v>480.97401375446452</v>
      </c>
      <c r="N314" s="38">
        <v>0.50856906815699432</v>
      </c>
      <c r="O314" s="38">
        <v>-9.0648780806029663</v>
      </c>
      <c r="P314" s="71">
        <v>-11.099154353230944</v>
      </c>
      <c r="Q314" s="53">
        <v>43424</v>
      </c>
      <c r="R314" s="23">
        <v>12</v>
      </c>
      <c r="S314" s="24">
        <v>477.83430199999998</v>
      </c>
      <c r="T314" s="24">
        <v>480.97401375446452</v>
      </c>
      <c r="U314" s="20">
        <v>0.50856906815699432</v>
      </c>
      <c r="V314" s="20">
        <v>-9.0648780806029663</v>
      </c>
      <c r="W314" s="20">
        <v>-11.099154353230944</v>
      </c>
      <c r="X314" s="22" t="s">
        <v>17</v>
      </c>
      <c r="Y314" s="23"/>
      <c r="Z314" s="24" t="s">
        <v>17</v>
      </c>
      <c r="AA314" s="24" t="s">
        <v>17</v>
      </c>
      <c r="AB314" s="20" t="s">
        <v>17</v>
      </c>
      <c r="AC314" s="20" t="s">
        <v>17</v>
      </c>
      <c r="AD314" s="20" t="s">
        <v>17</v>
      </c>
      <c r="AE314" s="22" t="s">
        <v>17</v>
      </c>
      <c r="AF314" s="23"/>
      <c r="AG314" s="24" t="s">
        <v>17</v>
      </c>
      <c r="AH314" s="24" t="s">
        <v>17</v>
      </c>
      <c r="AI314" s="20" t="s">
        <v>17</v>
      </c>
      <c r="AJ314" s="20" t="s">
        <v>17</v>
      </c>
      <c r="AK314" s="20" t="s">
        <v>17</v>
      </c>
      <c r="AL314" s="22" t="s">
        <v>17</v>
      </c>
      <c r="AM314" s="4" t="s">
        <v>17</v>
      </c>
      <c r="AN314" s="24" t="s">
        <v>17</v>
      </c>
      <c r="AO314" s="24" t="s">
        <v>17</v>
      </c>
      <c r="AP314" s="20" t="s">
        <v>17</v>
      </c>
      <c r="AQ314" s="20" t="s">
        <v>17</v>
      </c>
      <c r="AR314" s="20" t="s">
        <v>17</v>
      </c>
      <c r="AS314" s="21"/>
      <c r="AT314" s="20"/>
      <c r="AU314" s="4"/>
      <c r="AV314" s="20"/>
      <c r="AW314" s="20" t="s">
        <v>17</v>
      </c>
      <c r="AX314" s="20" t="s">
        <v>17</v>
      </c>
      <c r="AY314" s="20" t="s">
        <v>17</v>
      </c>
      <c r="AZ314" s="5"/>
      <c r="BA314" s="6"/>
      <c r="BB314" s="4"/>
      <c r="BC314" s="6"/>
      <c r="BD314" s="6"/>
      <c r="BE314" s="6"/>
      <c r="BF314" s="7"/>
    </row>
    <row r="315" spans="1:58" ht="18" customHeight="1">
      <c r="A315" s="106" t="s">
        <v>15</v>
      </c>
      <c r="B315" s="93" t="s">
        <v>293</v>
      </c>
      <c r="C315" s="28">
        <v>431.23</v>
      </c>
      <c r="D315" s="28">
        <v>431.35</v>
      </c>
      <c r="E315" s="28">
        <v>431.29</v>
      </c>
      <c r="F315" s="28">
        <v>431.29</v>
      </c>
      <c r="G315" s="29">
        <v>14894.305938666899</v>
      </c>
      <c r="H315" s="29">
        <v>12021.2212073917</v>
      </c>
      <c r="I315" s="27">
        <f t="shared" si="13"/>
        <v>1</v>
      </c>
      <c r="J315" s="27">
        <f t="shared" si="14"/>
        <v>1</v>
      </c>
      <c r="K315" s="27">
        <f t="shared" si="12"/>
        <v>1</v>
      </c>
      <c r="L315" s="25">
        <v>473.34500249999996</v>
      </c>
      <c r="M315" s="25">
        <v>476.45811171167156</v>
      </c>
      <c r="N315" s="38">
        <v>0.50904250406991203</v>
      </c>
      <c r="O315" s="38">
        <v>-7.1362083327829451</v>
      </c>
      <c r="P315" s="71">
        <v>-9.1723783490625941</v>
      </c>
      <c r="Q315" s="53">
        <v>43431</v>
      </c>
      <c r="R315" s="23">
        <v>12</v>
      </c>
      <c r="S315" s="24">
        <v>473.34500249999996</v>
      </c>
      <c r="T315" s="24">
        <v>476.45811171167156</v>
      </c>
      <c r="U315" s="20">
        <v>0.50904250406991203</v>
      </c>
      <c r="V315" s="20">
        <v>-7.1362083327829451</v>
      </c>
      <c r="W315" s="20">
        <v>-9.1723783490625941</v>
      </c>
      <c r="X315" s="22" t="s">
        <v>17</v>
      </c>
      <c r="Y315" s="23"/>
      <c r="Z315" s="24" t="s">
        <v>17</v>
      </c>
      <c r="AA315" s="24" t="s">
        <v>17</v>
      </c>
      <c r="AB315" s="20" t="s">
        <v>17</v>
      </c>
      <c r="AC315" s="20" t="s">
        <v>17</v>
      </c>
      <c r="AD315" s="20" t="s">
        <v>17</v>
      </c>
      <c r="AE315" s="22" t="s">
        <v>17</v>
      </c>
      <c r="AF315" s="23"/>
      <c r="AG315" s="24" t="s">
        <v>17</v>
      </c>
      <c r="AH315" s="24" t="s">
        <v>17</v>
      </c>
      <c r="AI315" s="20" t="s">
        <v>17</v>
      </c>
      <c r="AJ315" s="20" t="s">
        <v>17</v>
      </c>
      <c r="AK315" s="20" t="s">
        <v>17</v>
      </c>
      <c r="AL315" s="22" t="s">
        <v>17</v>
      </c>
      <c r="AM315" s="4" t="s">
        <v>17</v>
      </c>
      <c r="AN315" s="24" t="s">
        <v>17</v>
      </c>
      <c r="AO315" s="24" t="s">
        <v>17</v>
      </c>
      <c r="AP315" s="20" t="s">
        <v>17</v>
      </c>
      <c r="AQ315" s="20" t="s">
        <v>17</v>
      </c>
      <c r="AR315" s="20" t="s">
        <v>17</v>
      </c>
      <c r="AS315" s="21"/>
      <c r="AT315" s="20"/>
      <c r="AU315" s="4"/>
      <c r="AV315" s="20"/>
      <c r="AW315" s="20" t="s">
        <v>17</v>
      </c>
      <c r="AX315" s="20" t="s">
        <v>17</v>
      </c>
      <c r="AY315" s="20" t="s">
        <v>17</v>
      </c>
      <c r="AZ315" s="5"/>
      <c r="BA315" s="6"/>
      <c r="BB315" s="4"/>
      <c r="BC315" s="6"/>
      <c r="BD315" s="6"/>
      <c r="BE315" s="6"/>
      <c r="BF315" s="7"/>
    </row>
    <row r="316" spans="1:58" ht="18" customHeight="1">
      <c r="A316" s="106" t="s">
        <v>15</v>
      </c>
      <c r="B316" s="93" t="s">
        <v>294</v>
      </c>
      <c r="C316" s="28">
        <v>432.23</v>
      </c>
      <c r="D316" s="28">
        <v>432.35</v>
      </c>
      <c r="E316" s="28">
        <v>432.29</v>
      </c>
      <c r="F316" s="28">
        <v>432.29</v>
      </c>
      <c r="G316" s="29">
        <v>14939.7506568515</v>
      </c>
      <c r="H316" s="29">
        <v>12069.5482185908</v>
      </c>
      <c r="I316" s="27">
        <f t="shared" si="13"/>
        <v>2</v>
      </c>
      <c r="J316" s="27">
        <f t="shared" si="14"/>
        <v>2</v>
      </c>
      <c r="K316" s="27">
        <f t="shared" si="12"/>
        <v>2</v>
      </c>
      <c r="L316" s="25">
        <v>474.20415924999998</v>
      </c>
      <c r="M316" s="25">
        <v>477.38663734526807</v>
      </c>
      <c r="N316" s="38">
        <v>0.51944389922553569</v>
      </c>
      <c r="O316" s="38">
        <v>-9.2675648129429966</v>
      </c>
      <c r="P316" s="71">
        <v>-11.345340409845139</v>
      </c>
      <c r="Q316" s="53">
        <v>43251</v>
      </c>
      <c r="R316" s="23">
        <v>8</v>
      </c>
      <c r="S316" s="24">
        <v>472.53659749999997</v>
      </c>
      <c r="T316" s="24">
        <v>475.71017504372469</v>
      </c>
      <c r="U316" s="20">
        <v>0.51981780484378071</v>
      </c>
      <c r="V316" s="20">
        <v>-9.3847922224352676</v>
      </c>
      <c r="W316" s="20">
        <v>-11.46406344181039</v>
      </c>
      <c r="X316" s="22">
        <v>43251</v>
      </c>
      <c r="Y316" s="23">
        <v>10</v>
      </c>
      <c r="Z316" s="24">
        <v>475.87172099999998</v>
      </c>
      <c r="AA316" s="24">
        <v>479.06309964681145</v>
      </c>
      <c r="AB316" s="20">
        <v>0.51906999360729067</v>
      </c>
      <c r="AC316" s="20">
        <v>-9.1503374034507257</v>
      </c>
      <c r="AD316" s="20">
        <v>-11.226617377879888</v>
      </c>
      <c r="AE316" s="22" t="s">
        <v>17</v>
      </c>
      <c r="AF316" s="23"/>
      <c r="AG316" s="24" t="s">
        <v>17</v>
      </c>
      <c r="AH316" s="24" t="s">
        <v>17</v>
      </c>
      <c r="AI316" s="20" t="s">
        <v>17</v>
      </c>
      <c r="AJ316" s="20" t="s">
        <v>17</v>
      </c>
      <c r="AK316" s="20" t="s">
        <v>17</v>
      </c>
      <c r="AL316" s="22" t="s">
        <v>17</v>
      </c>
      <c r="AM316" s="4" t="s">
        <v>17</v>
      </c>
      <c r="AN316" s="24" t="s">
        <v>17</v>
      </c>
      <c r="AO316" s="24" t="s">
        <v>17</v>
      </c>
      <c r="AP316" s="20" t="s">
        <v>17</v>
      </c>
      <c r="AQ316" s="20" t="s">
        <v>17</v>
      </c>
      <c r="AR316" s="20" t="s">
        <v>17</v>
      </c>
      <c r="AS316" s="21"/>
      <c r="AT316" s="20"/>
      <c r="AU316" s="4"/>
      <c r="AV316" s="20"/>
      <c r="AW316" s="20" t="s">
        <v>17</v>
      </c>
      <c r="AX316" s="20" t="s">
        <v>17</v>
      </c>
      <c r="AY316" s="20" t="s">
        <v>17</v>
      </c>
      <c r="AZ316" s="5"/>
      <c r="BA316" s="6"/>
      <c r="BB316" s="4"/>
      <c r="BC316" s="6"/>
      <c r="BD316" s="6"/>
      <c r="BE316" s="6"/>
      <c r="BF316" s="7"/>
    </row>
    <row r="317" spans="1:58" ht="18" customHeight="1">
      <c r="A317" s="106" t="s">
        <v>15</v>
      </c>
      <c r="B317" s="93" t="s">
        <v>295</v>
      </c>
      <c r="C317" s="28">
        <v>432.85</v>
      </c>
      <c r="D317" s="28">
        <v>432.97</v>
      </c>
      <c r="E317" s="28">
        <v>432.91</v>
      </c>
      <c r="F317" s="28">
        <v>432.91</v>
      </c>
      <c r="G317" s="29">
        <v>14968.7627410716</v>
      </c>
      <c r="H317" s="29">
        <v>12098.4741335655</v>
      </c>
      <c r="I317" s="27">
        <f t="shared" si="13"/>
        <v>1</v>
      </c>
      <c r="J317" s="27">
        <f t="shared" si="14"/>
        <v>1</v>
      </c>
      <c r="K317" s="27">
        <f t="shared" si="12"/>
        <v>1</v>
      </c>
      <c r="L317" s="25">
        <v>476.83805949999999</v>
      </c>
      <c r="M317" s="25">
        <v>480.00117139431285</v>
      </c>
      <c r="N317" s="38">
        <v>0.51342986818903036</v>
      </c>
      <c r="O317" s="38">
        <v>-8.6151887157008833</v>
      </c>
      <c r="P317" s="71">
        <v>-10.668908188457005</v>
      </c>
      <c r="Q317" s="53">
        <v>43482</v>
      </c>
      <c r="R317" s="23">
        <v>11</v>
      </c>
      <c r="S317" s="24">
        <v>476.83805949999999</v>
      </c>
      <c r="T317" s="24">
        <v>480.00117139431285</v>
      </c>
      <c r="U317" s="20">
        <v>0.51342986818903036</v>
      </c>
      <c r="V317" s="20">
        <v>-8.6151887157008833</v>
      </c>
      <c r="W317" s="20">
        <v>-10.668908188457005</v>
      </c>
      <c r="X317" s="22" t="s">
        <v>17</v>
      </c>
      <c r="Y317" s="23"/>
      <c r="Z317" s="24" t="s">
        <v>17</v>
      </c>
      <c r="AA317" s="24" t="s">
        <v>17</v>
      </c>
      <c r="AB317" s="20" t="s">
        <v>17</v>
      </c>
      <c r="AC317" s="20" t="s">
        <v>17</v>
      </c>
      <c r="AD317" s="20" t="s">
        <v>17</v>
      </c>
      <c r="AE317" s="22" t="s">
        <v>17</v>
      </c>
      <c r="AF317" s="23"/>
      <c r="AG317" s="24" t="s">
        <v>17</v>
      </c>
      <c r="AH317" s="24" t="s">
        <v>17</v>
      </c>
      <c r="AI317" s="20" t="s">
        <v>17</v>
      </c>
      <c r="AJ317" s="20" t="s">
        <v>17</v>
      </c>
      <c r="AK317" s="20" t="s">
        <v>17</v>
      </c>
      <c r="AL317" s="22" t="s">
        <v>17</v>
      </c>
      <c r="AM317" s="4" t="s">
        <v>17</v>
      </c>
      <c r="AN317" s="24" t="s">
        <v>17</v>
      </c>
      <c r="AO317" s="24" t="s">
        <v>17</v>
      </c>
      <c r="AP317" s="20" t="s">
        <v>17</v>
      </c>
      <c r="AQ317" s="20" t="s">
        <v>17</v>
      </c>
      <c r="AR317" s="20" t="s">
        <v>17</v>
      </c>
      <c r="AS317" s="21"/>
      <c r="AT317" s="20"/>
      <c r="AU317" s="4"/>
      <c r="AV317" s="20"/>
      <c r="AW317" s="20" t="s">
        <v>17</v>
      </c>
      <c r="AX317" s="20" t="s">
        <v>17</v>
      </c>
      <c r="AY317" s="20" t="s">
        <v>17</v>
      </c>
      <c r="AZ317" s="5"/>
      <c r="BA317" s="6"/>
      <c r="BB317" s="4"/>
      <c r="BC317" s="6"/>
      <c r="BD317" s="6"/>
      <c r="BE317" s="6"/>
      <c r="BF317" s="7"/>
    </row>
    <row r="318" spans="1:58" ht="18" customHeight="1">
      <c r="A318" s="106" t="s">
        <v>15</v>
      </c>
      <c r="B318" s="93" t="s">
        <v>296</v>
      </c>
      <c r="C318" s="28">
        <v>433.85</v>
      </c>
      <c r="D318" s="28">
        <v>433.97</v>
      </c>
      <c r="E318" s="28">
        <v>433.91</v>
      </c>
      <c r="F318" s="28">
        <v>433.91</v>
      </c>
      <c r="G318" s="29">
        <v>15017.039063587499</v>
      </c>
      <c r="H318" s="29">
        <v>12144.658555910801</v>
      </c>
      <c r="I318" s="27">
        <f t="shared" si="13"/>
        <v>1</v>
      </c>
      <c r="J318" s="27">
        <f t="shared" si="14"/>
        <v>1</v>
      </c>
      <c r="K318" s="27">
        <f t="shared" si="12"/>
        <v>1</v>
      </c>
      <c r="L318" s="25">
        <v>473.69335150000001</v>
      </c>
      <c r="M318" s="25">
        <v>476.8599750029083</v>
      </c>
      <c r="N318" s="38">
        <v>0.51741215617950864</v>
      </c>
      <c r="O318" s="38">
        <v>-6.4362694986087599</v>
      </c>
      <c r="P318" s="71">
        <v>-8.5059181233267935</v>
      </c>
      <c r="Q318" s="53">
        <v>43431</v>
      </c>
      <c r="R318" s="23">
        <v>12</v>
      </c>
      <c r="S318" s="24">
        <v>473.69335150000001</v>
      </c>
      <c r="T318" s="24">
        <v>476.8599750029083</v>
      </c>
      <c r="U318" s="20">
        <v>0.51741215617950864</v>
      </c>
      <c r="V318" s="20">
        <v>-6.4362694986087599</v>
      </c>
      <c r="W318" s="20">
        <v>-8.5059181233267935</v>
      </c>
      <c r="X318" s="22" t="s">
        <v>17</v>
      </c>
      <c r="Y318" s="23"/>
      <c r="Z318" s="24" t="s">
        <v>17</v>
      </c>
      <c r="AA318" s="24" t="s">
        <v>17</v>
      </c>
      <c r="AB318" s="20" t="s">
        <v>17</v>
      </c>
      <c r="AC318" s="20" t="s">
        <v>17</v>
      </c>
      <c r="AD318" s="20" t="s">
        <v>17</v>
      </c>
      <c r="AE318" s="22" t="s">
        <v>17</v>
      </c>
      <c r="AF318" s="23"/>
      <c r="AG318" s="24" t="s">
        <v>17</v>
      </c>
      <c r="AH318" s="24" t="s">
        <v>17</v>
      </c>
      <c r="AI318" s="20" t="s">
        <v>17</v>
      </c>
      <c r="AJ318" s="20" t="s">
        <v>17</v>
      </c>
      <c r="AK318" s="20" t="s">
        <v>17</v>
      </c>
      <c r="AL318" s="22" t="s">
        <v>17</v>
      </c>
      <c r="AM318" s="4" t="s">
        <v>17</v>
      </c>
      <c r="AN318" s="24" t="s">
        <v>17</v>
      </c>
      <c r="AO318" s="24" t="s">
        <v>17</v>
      </c>
      <c r="AP318" s="20" t="s">
        <v>17</v>
      </c>
      <c r="AQ318" s="20" t="s">
        <v>17</v>
      </c>
      <c r="AR318" s="20" t="s">
        <v>17</v>
      </c>
      <c r="AS318" s="21"/>
      <c r="AT318" s="20"/>
      <c r="AU318" s="4"/>
      <c r="AV318" s="20"/>
      <c r="AW318" s="20" t="s">
        <v>17</v>
      </c>
      <c r="AX318" s="20" t="s">
        <v>17</v>
      </c>
      <c r="AY318" s="20" t="s">
        <v>17</v>
      </c>
      <c r="AZ318" s="5"/>
      <c r="BA318" s="6"/>
      <c r="BB318" s="4"/>
      <c r="BC318" s="6"/>
      <c r="BD318" s="6"/>
      <c r="BE318" s="6"/>
      <c r="BF318" s="7"/>
    </row>
    <row r="319" spans="1:58" ht="18" customHeight="1">
      <c r="A319" s="106" t="s">
        <v>15</v>
      </c>
      <c r="B319" s="93" t="s">
        <v>297</v>
      </c>
      <c r="C319" s="28">
        <v>435.35</v>
      </c>
      <c r="D319" s="28">
        <v>435.47</v>
      </c>
      <c r="E319" s="28">
        <v>435.41</v>
      </c>
      <c r="F319" s="28">
        <v>435.41</v>
      </c>
      <c r="G319" s="29">
        <v>15090.269095722801</v>
      </c>
      <c r="H319" s="29">
        <v>12212.685173502001</v>
      </c>
      <c r="I319" s="27">
        <f t="shared" si="13"/>
        <v>1</v>
      </c>
      <c r="J319" s="27">
        <f t="shared" si="14"/>
        <v>1</v>
      </c>
      <c r="K319" s="27">
        <f t="shared" si="12"/>
        <v>1</v>
      </c>
      <c r="L319" s="25">
        <v>477.19781649999999</v>
      </c>
      <c r="M319" s="25">
        <v>480.36966410367694</v>
      </c>
      <c r="N319" s="38">
        <v>0.51445968955365906</v>
      </c>
      <c r="O319" s="38">
        <v>-7.7559956087961401</v>
      </c>
      <c r="P319" s="71">
        <v>-9.8138343670107773</v>
      </c>
      <c r="Q319" s="53">
        <v>43482</v>
      </c>
      <c r="R319" s="23">
        <v>9</v>
      </c>
      <c r="S319" s="24">
        <v>477.19781649999999</v>
      </c>
      <c r="T319" s="24">
        <v>480.36966410367694</v>
      </c>
      <c r="U319" s="20">
        <v>0.51445968955365906</v>
      </c>
      <c r="V319" s="20">
        <v>-7.7559956087961401</v>
      </c>
      <c r="W319" s="20">
        <v>-9.8138343670107773</v>
      </c>
      <c r="X319" s="22" t="s">
        <v>17</v>
      </c>
      <c r="Y319" s="23"/>
      <c r="Z319" s="24" t="s">
        <v>17</v>
      </c>
      <c r="AA319" s="24" t="s">
        <v>17</v>
      </c>
      <c r="AB319" s="20" t="s">
        <v>17</v>
      </c>
      <c r="AC319" s="20" t="s">
        <v>17</v>
      </c>
      <c r="AD319" s="20" t="s">
        <v>17</v>
      </c>
      <c r="AE319" s="22" t="s">
        <v>17</v>
      </c>
      <c r="AF319" s="23"/>
      <c r="AG319" s="24" t="s">
        <v>17</v>
      </c>
      <c r="AH319" s="24" t="s">
        <v>17</v>
      </c>
      <c r="AI319" s="20" t="s">
        <v>17</v>
      </c>
      <c r="AJ319" s="20" t="s">
        <v>17</v>
      </c>
      <c r="AK319" s="20" t="s">
        <v>17</v>
      </c>
      <c r="AL319" s="22" t="s">
        <v>17</v>
      </c>
      <c r="AM319" s="4" t="s">
        <v>17</v>
      </c>
      <c r="AN319" s="24" t="s">
        <v>17</v>
      </c>
      <c r="AO319" s="24" t="s">
        <v>17</v>
      </c>
      <c r="AP319" s="20" t="s">
        <v>17</v>
      </c>
      <c r="AQ319" s="20" t="s">
        <v>17</v>
      </c>
      <c r="AR319" s="20" t="s">
        <v>17</v>
      </c>
      <c r="AS319" s="21"/>
      <c r="AT319" s="20"/>
      <c r="AU319" s="4"/>
      <c r="AV319" s="20"/>
      <c r="AW319" s="20" t="s">
        <v>17</v>
      </c>
      <c r="AX319" s="20" t="s">
        <v>17</v>
      </c>
      <c r="AY319" s="20" t="s">
        <v>17</v>
      </c>
      <c r="AZ319" s="5"/>
      <c r="BA319" s="6"/>
      <c r="BB319" s="4"/>
      <c r="BC319" s="6"/>
      <c r="BD319" s="6"/>
      <c r="BE319" s="6"/>
      <c r="BF319" s="7"/>
    </row>
    <row r="320" spans="1:58" ht="18" customHeight="1">
      <c r="A320" s="106" t="s">
        <v>15</v>
      </c>
      <c r="B320" s="93" t="s">
        <v>298</v>
      </c>
      <c r="C320" s="28">
        <v>437.23</v>
      </c>
      <c r="D320" s="28">
        <v>437.35</v>
      </c>
      <c r="E320" s="28">
        <v>437.29</v>
      </c>
      <c r="F320" s="28">
        <v>437.29</v>
      </c>
      <c r="G320" s="29">
        <v>15182.621035853999</v>
      </c>
      <c r="H320" s="29">
        <v>12298.1795046118</v>
      </c>
      <c r="I320" s="27">
        <f t="shared" si="13"/>
        <v>1</v>
      </c>
      <c r="J320" s="27">
        <f t="shared" si="14"/>
        <v>1</v>
      </c>
      <c r="K320" s="27">
        <f t="shared" si="12"/>
        <v>1</v>
      </c>
      <c r="L320" s="25">
        <v>473.73761450000001</v>
      </c>
      <c r="M320" s="25">
        <v>476.84511770942606</v>
      </c>
      <c r="N320" s="38">
        <v>0.5077047228196907</v>
      </c>
      <c r="O320" s="38">
        <v>-9.5338595768144074</v>
      </c>
      <c r="P320" s="71">
        <v>-11.56467846809317</v>
      </c>
      <c r="Q320" s="53">
        <v>43418</v>
      </c>
      <c r="R320" s="23">
        <v>12</v>
      </c>
      <c r="S320" s="24">
        <v>473.73761450000001</v>
      </c>
      <c r="T320" s="24">
        <v>476.84511770942606</v>
      </c>
      <c r="U320" s="20">
        <v>0.5077047228196907</v>
      </c>
      <c r="V320" s="20">
        <v>-9.5338595768144074</v>
      </c>
      <c r="W320" s="20">
        <v>-11.56467846809317</v>
      </c>
      <c r="X320" s="22" t="s">
        <v>17</v>
      </c>
      <c r="Y320" s="23"/>
      <c r="Z320" s="24" t="s">
        <v>17</v>
      </c>
      <c r="AA320" s="24" t="s">
        <v>17</v>
      </c>
      <c r="AB320" s="20" t="s">
        <v>17</v>
      </c>
      <c r="AC320" s="20" t="s">
        <v>17</v>
      </c>
      <c r="AD320" s="20" t="s">
        <v>17</v>
      </c>
      <c r="AE320" s="22" t="s">
        <v>17</v>
      </c>
      <c r="AF320" s="23"/>
      <c r="AG320" s="24" t="s">
        <v>17</v>
      </c>
      <c r="AH320" s="24" t="s">
        <v>17</v>
      </c>
      <c r="AI320" s="20" t="s">
        <v>17</v>
      </c>
      <c r="AJ320" s="20" t="s">
        <v>17</v>
      </c>
      <c r="AK320" s="20" t="s">
        <v>17</v>
      </c>
      <c r="AL320" s="22" t="s">
        <v>17</v>
      </c>
      <c r="AM320" s="4" t="s">
        <v>17</v>
      </c>
      <c r="AN320" s="24" t="s">
        <v>17</v>
      </c>
      <c r="AO320" s="24" t="s">
        <v>17</v>
      </c>
      <c r="AP320" s="20" t="s">
        <v>17</v>
      </c>
      <c r="AQ320" s="20" t="s">
        <v>17</v>
      </c>
      <c r="AR320" s="20" t="s">
        <v>17</v>
      </c>
      <c r="AS320" s="21"/>
      <c r="AT320" s="20"/>
      <c r="AU320" s="4"/>
      <c r="AV320" s="20"/>
      <c r="AW320" s="20" t="s">
        <v>17</v>
      </c>
      <c r="AX320" s="20" t="s">
        <v>17</v>
      </c>
      <c r="AY320" s="20" t="s">
        <v>17</v>
      </c>
      <c r="AZ320" s="5"/>
      <c r="BA320" s="6"/>
      <c r="BB320" s="4"/>
      <c r="BC320" s="6"/>
      <c r="BD320" s="6"/>
      <c r="BE320" s="6"/>
      <c r="BF320" s="7"/>
    </row>
    <row r="321" spans="1:58" ht="18" customHeight="1">
      <c r="A321" s="106" t="s">
        <v>15</v>
      </c>
      <c r="B321" s="93" t="s">
        <v>299</v>
      </c>
      <c r="C321" s="28">
        <v>437.85</v>
      </c>
      <c r="D321" s="28">
        <v>437.97</v>
      </c>
      <c r="E321" s="28">
        <v>437.91</v>
      </c>
      <c r="F321" s="28">
        <v>437.91</v>
      </c>
      <c r="G321" s="29">
        <v>15213.0796828243</v>
      </c>
      <c r="H321" s="29">
        <v>12325.6199907221</v>
      </c>
      <c r="I321" s="27">
        <f t="shared" si="13"/>
        <v>1</v>
      </c>
      <c r="J321" s="27">
        <f t="shared" si="14"/>
        <v>0</v>
      </c>
      <c r="K321" s="27">
        <f t="shared" si="12"/>
        <v>0</v>
      </c>
      <c r="L321" s="25">
        <v>474.71959100000004</v>
      </c>
      <c r="M321" s="25">
        <v>477.83183320719309</v>
      </c>
      <c r="N321" s="38"/>
      <c r="O321" s="38"/>
      <c r="P321" s="71"/>
      <c r="Q321" s="53">
        <v>43431</v>
      </c>
      <c r="R321" s="23">
        <v>12</v>
      </c>
      <c r="S321" s="24">
        <v>474.71959100000004</v>
      </c>
      <c r="T321" s="24">
        <v>477.83183320719309</v>
      </c>
      <c r="U321" s="20"/>
      <c r="V321" s="20"/>
      <c r="W321" s="20"/>
      <c r="X321" s="22" t="s">
        <v>17</v>
      </c>
      <c r="Y321" s="23"/>
      <c r="Z321" s="24" t="s">
        <v>17</v>
      </c>
      <c r="AA321" s="24" t="s">
        <v>17</v>
      </c>
      <c r="AB321" s="20" t="s">
        <v>17</v>
      </c>
      <c r="AC321" s="20" t="s">
        <v>17</v>
      </c>
      <c r="AD321" s="20" t="s">
        <v>17</v>
      </c>
      <c r="AE321" s="22" t="s">
        <v>17</v>
      </c>
      <c r="AF321" s="23"/>
      <c r="AG321" s="24" t="s">
        <v>17</v>
      </c>
      <c r="AH321" s="24" t="s">
        <v>17</v>
      </c>
      <c r="AI321" s="20" t="s">
        <v>17</v>
      </c>
      <c r="AJ321" s="20" t="s">
        <v>17</v>
      </c>
      <c r="AK321" s="20" t="s">
        <v>17</v>
      </c>
      <c r="AL321" s="22" t="s">
        <v>17</v>
      </c>
      <c r="AM321" s="4" t="s">
        <v>17</v>
      </c>
      <c r="AN321" s="24" t="s">
        <v>17</v>
      </c>
      <c r="AO321" s="24" t="s">
        <v>17</v>
      </c>
      <c r="AP321" s="20" t="s">
        <v>17</v>
      </c>
      <c r="AQ321" s="20" t="s">
        <v>17</v>
      </c>
      <c r="AR321" s="20" t="s">
        <v>17</v>
      </c>
      <c r="AS321" s="21"/>
      <c r="AT321" s="20"/>
      <c r="AU321" s="4"/>
      <c r="AV321" s="20"/>
      <c r="AW321" s="20" t="s">
        <v>17</v>
      </c>
      <c r="AX321" s="20" t="s">
        <v>17</v>
      </c>
      <c r="AY321" s="20" t="s">
        <v>17</v>
      </c>
      <c r="AZ321" s="5"/>
      <c r="BA321" s="6"/>
      <c r="BB321" s="4"/>
      <c r="BC321" s="6"/>
      <c r="BD321" s="6"/>
      <c r="BE321" s="6"/>
      <c r="BF321" s="7"/>
    </row>
    <row r="322" spans="1:58" ht="18" customHeight="1">
      <c r="A322" s="106" t="s">
        <v>15</v>
      </c>
      <c r="B322" s="93" t="s">
        <v>300</v>
      </c>
      <c r="C322" s="28">
        <v>439.35</v>
      </c>
      <c r="D322" s="28">
        <v>439.47</v>
      </c>
      <c r="E322" s="28">
        <v>439.41</v>
      </c>
      <c r="F322" s="28">
        <v>439.41</v>
      </c>
      <c r="G322" s="29">
        <v>15286.375453700901</v>
      </c>
      <c r="H322" s="29">
        <v>12392.0986221081</v>
      </c>
      <c r="I322" s="27">
        <f t="shared" si="13"/>
        <v>1</v>
      </c>
      <c r="J322" s="27">
        <f t="shared" si="14"/>
        <v>1</v>
      </c>
      <c r="K322" s="27">
        <f t="shared" si="12"/>
        <v>1</v>
      </c>
      <c r="L322" s="25">
        <v>484.5593265</v>
      </c>
      <c r="M322" s="25">
        <v>487.7471498257176</v>
      </c>
      <c r="N322" s="38">
        <v>0.5091957538168046</v>
      </c>
      <c r="O322" s="38">
        <v>-7.7081333975229649</v>
      </c>
      <c r="P322" s="71">
        <v>-9.7449164127901824</v>
      </c>
      <c r="Q322" s="53">
        <v>43496</v>
      </c>
      <c r="R322" s="23">
        <v>11</v>
      </c>
      <c r="S322" s="24">
        <v>484.5593265</v>
      </c>
      <c r="T322" s="24">
        <v>487.7471498257176</v>
      </c>
      <c r="U322" s="20">
        <v>0.5091957538168046</v>
      </c>
      <c r="V322" s="20">
        <v>-7.7081333975229649</v>
      </c>
      <c r="W322" s="20">
        <v>-9.7449164127901824</v>
      </c>
      <c r="X322" s="22" t="s">
        <v>17</v>
      </c>
      <c r="Y322" s="23"/>
      <c r="Z322" s="24" t="s">
        <v>17</v>
      </c>
      <c r="AA322" s="24" t="s">
        <v>17</v>
      </c>
      <c r="AB322" s="20" t="s">
        <v>17</v>
      </c>
      <c r="AC322" s="20" t="s">
        <v>17</v>
      </c>
      <c r="AD322" s="20" t="s">
        <v>17</v>
      </c>
      <c r="AE322" s="22" t="s">
        <v>17</v>
      </c>
      <c r="AF322" s="23"/>
      <c r="AG322" s="24" t="s">
        <v>17</v>
      </c>
      <c r="AH322" s="24" t="s">
        <v>17</v>
      </c>
      <c r="AI322" s="20" t="s">
        <v>17</v>
      </c>
      <c r="AJ322" s="20" t="s">
        <v>17</v>
      </c>
      <c r="AK322" s="20" t="s">
        <v>17</v>
      </c>
      <c r="AL322" s="22" t="s">
        <v>17</v>
      </c>
      <c r="AM322" s="4" t="s">
        <v>17</v>
      </c>
      <c r="AN322" s="24" t="s">
        <v>17</v>
      </c>
      <c r="AO322" s="24" t="s">
        <v>17</v>
      </c>
      <c r="AP322" s="20" t="s">
        <v>17</v>
      </c>
      <c r="AQ322" s="20" t="s">
        <v>17</v>
      </c>
      <c r="AR322" s="20" t="s">
        <v>17</v>
      </c>
      <c r="AS322" s="21"/>
      <c r="AT322" s="20"/>
      <c r="AU322" s="4"/>
      <c r="AV322" s="20"/>
      <c r="AW322" s="20" t="s">
        <v>17</v>
      </c>
      <c r="AX322" s="20" t="s">
        <v>17</v>
      </c>
      <c r="AY322" s="20" t="s">
        <v>17</v>
      </c>
      <c r="AZ322" s="5"/>
      <c r="BA322" s="6"/>
      <c r="BB322" s="4"/>
      <c r="BC322" s="6"/>
      <c r="BD322" s="6"/>
      <c r="BE322" s="6"/>
      <c r="BF322" s="7"/>
    </row>
    <row r="323" spans="1:58" ht="18" customHeight="1">
      <c r="A323" s="106" t="s">
        <v>15</v>
      </c>
      <c r="B323" s="93" t="s">
        <v>301</v>
      </c>
      <c r="C323" s="28">
        <v>440.85</v>
      </c>
      <c r="D323" s="28">
        <v>440.97</v>
      </c>
      <c r="E323" s="28">
        <v>440.91</v>
      </c>
      <c r="F323" s="28">
        <v>440.91</v>
      </c>
      <c r="G323" s="29">
        <v>15358.9985822621</v>
      </c>
      <c r="H323" s="29">
        <v>12460.4737261958</v>
      </c>
      <c r="I323" s="27">
        <f t="shared" si="13"/>
        <v>1</v>
      </c>
      <c r="J323" s="27">
        <f t="shared" si="14"/>
        <v>1</v>
      </c>
      <c r="K323" s="27">
        <f t="shared" si="12"/>
        <v>1</v>
      </c>
      <c r="L323" s="25">
        <v>489.03239199999996</v>
      </c>
      <c r="M323" s="25">
        <v>492.20160916701633</v>
      </c>
      <c r="N323" s="38">
        <v>0.50159345347311479</v>
      </c>
      <c r="O323" s="38">
        <v>-8.8931818732975731</v>
      </c>
      <c r="P323" s="71">
        <v>-10.899555687190032</v>
      </c>
      <c r="Q323" s="53">
        <v>43486</v>
      </c>
      <c r="R323" s="23">
        <v>11</v>
      </c>
      <c r="S323" s="24">
        <v>489.03239199999996</v>
      </c>
      <c r="T323" s="24">
        <v>492.20160916701633</v>
      </c>
      <c r="U323" s="20">
        <v>0.50159345347311479</v>
      </c>
      <c r="V323" s="20">
        <v>-8.8931818732975731</v>
      </c>
      <c r="W323" s="20">
        <v>-10.899555687190032</v>
      </c>
      <c r="X323" s="22" t="s">
        <v>17</v>
      </c>
      <c r="Y323" s="23"/>
      <c r="Z323" s="24" t="s">
        <v>17</v>
      </c>
      <c r="AA323" s="24" t="s">
        <v>17</v>
      </c>
      <c r="AB323" s="20" t="s">
        <v>17</v>
      </c>
      <c r="AC323" s="20" t="s">
        <v>17</v>
      </c>
      <c r="AD323" s="20" t="s">
        <v>17</v>
      </c>
      <c r="AE323" s="22" t="s">
        <v>17</v>
      </c>
      <c r="AF323" s="23"/>
      <c r="AG323" s="24" t="s">
        <v>17</v>
      </c>
      <c r="AH323" s="24" t="s">
        <v>17</v>
      </c>
      <c r="AI323" s="20" t="s">
        <v>17</v>
      </c>
      <c r="AJ323" s="20" t="s">
        <v>17</v>
      </c>
      <c r="AK323" s="20" t="s">
        <v>17</v>
      </c>
      <c r="AL323" s="22" t="s">
        <v>17</v>
      </c>
      <c r="AM323" s="4" t="s">
        <v>17</v>
      </c>
      <c r="AN323" s="24" t="s">
        <v>17</v>
      </c>
      <c r="AO323" s="24" t="s">
        <v>17</v>
      </c>
      <c r="AP323" s="20" t="s">
        <v>17</v>
      </c>
      <c r="AQ323" s="20" t="s">
        <v>17</v>
      </c>
      <c r="AR323" s="20" t="s">
        <v>17</v>
      </c>
      <c r="AS323" s="21"/>
      <c r="AT323" s="20"/>
      <c r="AU323" s="4"/>
      <c r="AV323" s="20"/>
      <c r="AW323" s="20" t="s">
        <v>17</v>
      </c>
      <c r="AX323" s="20" t="s">
        <v>17</v>
      </c>
      <c r="AY323" s="20" t="s">
        <v>17</v>
      </c>
      <c r="AZ323" s="5"/>
      <c r="BA323" s="6"/>
      <c r="BB323" s="4"/>
      <c r="BC323" s="6"/>
      <c r="BD323" s="6"/>
      <c r="BE323" s="6"/>
      <c r="BF323" s="7"/>
    </row>
    <row r="324" spans="1:58" ht="18" customHeight="1">
      <c r="A324" s="106" t="s">
        <v>15</v>
      </c>
      <c r="B324" s="93" t="s">
        <v>302</v>
      </c>
      <c r="C324" s="28">
        <v>442.23</v>
      </c>
      <c r="D324" s="28">
        <v>442.35</v>
      </c>
      <c r="E324" s="28">
        <v>442.29</v>
      </c>
      <c r="F324" s="28">
        <v>442.29</v>
      </c>
      <c r="G324" s="29">
        <v>15427.2879466575</v>
      </c>
      <c r="H324" s="29">
        <v>12526.4492161785</v>
      </c>
      <c r="I324" s="27">
        <f t="shared" si="13"/>
        <v>1</v>
      </c>
      <c r="J324" s="27">
        <f t="shared" si="14"/>
        <v>1</v>
      </c>
      <c r="K324" s="27">
        <f t="shared" si="12"/>
        <v>1</v>
      </c>
      <c r="L324" s="25">
        <v>488.34226799999999</v>
      </c>
      <c r="M324" s="25">
        <v>491.54381991999639</v>
      </c>
      <c r="N324" s="38">
        <v>0.5074271724163637</v>
      </c>
      <c r="O324" s="38">
        <v>-7.6759913533606117</v>
      </c>
      <c r="P324" s="71">
        <v>-9.7057000430260665</v>
      </c>
      <c r="Q324" s="53">
        <v>43412</v>
      </c>
      <c r="R324" s="23">
        <v>12</v>
      </c>
      <c r="S324" s="24">
        <v>488.34226799999999</v>
      </c>
      <c r="T324" s="24">
        <v>491.54381991999639</v>
      </c>
      <c r="U324" s="20">
        <v>0.5074271724163637</v>
      </c>
      <c r="V324" s="20">
        <v>-7.6759913533606117</v>
      </c>
      <c r="W324" s="20">
        <v>-9.7057000430260665</v>
      </c>
      <c r="X324" s="22" t="s">
        <v>17</v>
      </c>
      <c r="Y324" s="23"/>
      <c r="Z324" s="24" t="s">
        <v>17</v>
      </c>
      <c r="AA324" s="24" t="s">
        <v>17</v>
      </c>
      <c r="AB324" s="20" t="s">
        <v>17</v>
      </c>
      <c r="AC324" s="20" t="s">
        <v>17</v>
      </c>
      <c r="AD324" s="20" t="s">
        <v>17</v>
      </c>
      <c r="AE324" s="22" t="s">
        <v>17</v>
      </c>
      <c r="AF324" s="23"/>
      <c r="AG324" s="24" t="s">
        <v>17</v>
      </c>
      <c r="AH324" s="24" t="s">
        <v>17</v>
      </c>
      <c r="AI324" s="20" t="s">
        <v>17</v>
      </c>
      <c r="AJ324" s="20" t="s">
        <v>17</v>
      </c>
      <c r="AK324" s="20" t="s">
        <v>17</v>
      </c>
      <c r="AL324" s="22" t="s">
        <v>17</v>
      </c>
      <c r="AM324" s="4" t="s">
        <v>17</v>
      </c>
      <c r="AN324" s="24" t="s">
        <v>17</v>
      </c>
      <c r="AO324" s="24" t="s">
        <v>17</v>
      </c>
      <c r="AP324" s="20" t="s">
        <v>17</v>
      </c>
      <c r="AQ324" s="20" t="s">
        <v>17</v>
      </c>
      <c r="AR324" s="20" t="s">
        <v>17</v>
      </c>
      <c r="AS324" s="21"/>
      <c r="AT324" s="20"/>
      <c r="AU324" s="4"/>
      <c r="AV324" s="20"/>
      <c r="AW324" s="20" t="s">
        <v>17</v>
      </c>
      <c r="AX324" s="20" t="s">
        <v>17</v>
      </c>
      <c r="AY324" s="20" t="s">
        <v>17</v>
      </c>
      <c r="AZ324" s="5"/>
      <c r="BA324" s="6"/>
      <c r="BB324" s="4"/>
      <c r="BC324" s="6"/>
      <c r="BD324" s="6"/>
      <c r="BE324" s="6"/>
      <c r="BF324" s="7"/>
    </row>
    <row r="325" spans="1:58" ht="18" customHeight="1">
      <c r="A325" s="106" t="s">
        <v>15</v>
      </c>
      <c r="B325" s="93" t="s">
        <v>303</v>
      </c>
      <c r="C325" s="28">
        <v>443.73</v>
      </c>
      <c r="D325" s="28">
        <v>443.85</v>
      </c>
      <c r="E325" s="28">
        <v>443.79</v>
      </c>
      <c r="F325" s="28">
        <v>443.79</v>
      </c>
      <c r="G325" s="29">
        <v>15504.474795767799</v>
      </c>
      <c r="H325" s="29">
        <v>12599.6623198426</v>
      </c>
      <c r="I325" s="27">
        <f t="shared" si="13"/>
        <v>2</v>
      </c>
      <c r="J325" s="27">
        <f t="shared" si="14"/>
        <v>2</v>
      </c>
      <c r="K325" s="27">
        <f t="shared" si="12"/>
        <v>2</v>
      </c>
      <c r="L325" s="25">
        <v>506.41758249999998</v>
      </c>
      <c r="M325" s="25">
        <v>509.71827364516412</v>
      </c>
      <c r="N325" s="38">
        <v>0.50446826687500224</v>
      </c>
      <c r="O325" s="38">
        <v>-8.6095354559947985</v>
      </c>
      <c r="P325" s="71">
        <v>-10.627408523494807</v>
      </c>
      <c r="Q325" s="53">
        <v>43249</v>
      </c>
      <c r="R325" s="23">
        <v>6</v>
      </c>
      <c r="S325" s="24">
        <v>506.36882549999996</v>
      </c>
      <c r="T325" s="24">
        <v>509.68923336975513</v>
      </c>
      <c r="U325" s="20">
        <v>0.50753028266536937</v>
      </c>
      <c r="V325" s="20">
        <v>-8.6938264080497198</v>
      </c>
      <c r="W325" s="20">
        <v>-10.723947538711197</v>
      </c>
      <c r="X325" s="22">
        <v>43249</v>
      </c>
      <c r="Y325" s="23">
        <v>10</v>
      </c>
      <c r="Z325" s="24">
        <v>506.4663395</v>
      </c>
      <c r="AA325" s="24">
        <v>509.74731392057316</v>
      </c>
      <c r="AB325" s="20">
        <v>0.5014062510846351</v>
      </c>
      <c r="AC325" s="20">
        <v>-8.5252445039398772</v>
      </c>
      <c r="AD325" s="20">
        <v>-10.530869508278418</v>
      </c>
      <c r="AE325" s="22" t="s">
        <v>17</v>
      </c>
      <c r="AF325" s="23"/>
      <c r="AG325" s="24" t="s">
        <v>17</v>
      </c>
      <c r="AH325" s="24" t="s">
        <v>17</v>
      </c>
      <c r="AI325" s="20" t="s">
        <v>17</v>
      </c>
      <c r="AJ325" s="20" t="s">
        <v>17</v>
      </c>
      <c r="AK325" s="20" t="s">
        <v>17</v>
      </c>
      <c r="AL325" s="22" t="s">
        <v>17</v>
      </c>
      <c r="AM325" s="4" t="s">
        <v>17</v>
      </c>
      <c r="AN325" s="24" t="s">
        <v>17</v>
      </c>
      <c r="AO325" s="24" t="s">
        <v>17</v>
      </c>
      <c r="AP325" s="20" t="s">
        <v>17</v>
      </c>
      <c r="AQ325" s="20" t="s">
        <v>17</v>
      </c>
      <c r="AR325" s="20" t="s">
        <v>17</v>
      </c>
      <c r="AS325" s="21"/>
      <c r="AT325" s="20"/>
      <c r="AU325" s="4"/>
      <c r="AV325" s="20"/>
      <c r="AW325" s="20" t="s">
        <v>17</v>
      </c>
      <c r="AX325" s="20" t="s">
        <v>17</v>
      </c>
      <c r="AY325" s="20" t="s">
        <v>17</v>
      </c>
      <c r="AZ325" s="5"/>
      <c r="BA325" s="6"/>
      <c r="BB325" s="4"/>
      <c r="BC325" s="6"/>
      <c r="BD325" s="6"/>
      <c r="BE325" s="6"/>
      <c r="BF325" s="7"/>
    </row>
    <row r="326" spans="1:58" ht="18" customHeight="1">
      <c r="A326" s="106" t="s">
        <v>15</v>
      </c>
      <c r="B326" s="93" t="s">
        <v>304</v>
      </c>
      <c r="C326" s="28">
        <v>444.73</v>
      </c>
      <c r="D326" s="28">
        <v>444.85</v>
      </c>
      <c r="E326" s="28">
        <v>444.79</v>
      </c>
      <c r="F326" s="28">
        <v>444.79</v>
      </c>
      <c r="G326" s="29">
        <v>15555.838241576599</v>
      </c>
      <c r="H326" s="29">
        <v>12646.9180273075</v>
      </c>
      <c r="I326" s="27">
        <f t="shared" si="13"/>
        <v>1</v>
      </c>
      <c r="J326" s="27">
        <f t="shared" si="14"/>
        <v>1</v>
      </c>
      <c r="K326" s="27">
        <f t="shared" si="12"/>
        <v>1</v>
      </c>
      <c r="L326" s="25">
        <v>503.84590349999996</v>
      </c>
      <c r="M326" s="25">
        <v>507.1274986210662</v>
      </c>
      <c r="N326" s="38">
        <v>0.50410934902656024</v>
      </c>
      <c r="O326" s="38">
        <v>-8.6138044142076708</v>
      </c>
      <c r="P326" s="71">
        <v>-10.630241810313912</v>
      </c>
      <c r="Q326" s="53">
        <v>43424</v>
      </c>
      <c r="R326" s="23">
        <v>12</v>
      </c>
      <c r="S326" s="24">
        <v>503.84590349999996</v>
      </c>
      <c r="T326" s="24">
        <v>507.1274986210662</v>
      </c>
      <c r="U326" s="20">
        <v>0.50410934902656024</v>
      </c>
      <c r="V326" s="20">
        <v>-8.6138044142076708</v>
      </c>
      <c r="W326" s="20">
        <v>-10.630241810313912</v>
      </c>
      <c r="X326" s="22" t="s">
        <v>17</v>
      </c>
      <c r="Y326" s="23"/>
      <c r="Z326" s="24" t="s">
        <v>17</v>
      </c>
      <c r="AA326" s="24" t="s">
        <v>17</v>
      </c>
      <c r="AB326" s="20" t="s">
        <v>17</v>
      </c>
      <c r="AC326" s="20" t="s">
        <v>17</v>
      </c>
      <c r="AD326" s="20" t="s">
        <v>17</v>
      </c>
      <c r="AE326" s="22" t="s">
        <v>17</v>
      </c>
      <c r="AF326" s="23"/>
      <c r="AG326" s="24" t="s">
        <v>17</v>
      </c>
      <c r="AH326" s="24" t="s">
        <v>17</v>
      </c>
      <c r="AI326" s="20" t="s">
        <v>17</v>
      </c>
      <c r="AJ326" s="20" t="s">
        <v>17</v>
      </c>
      <c r="AK326" s="20" t="s">
        <v>17</v>
      </c>
      <c r="AL326" s="22" t="s">
        <v>17</v>
      </c>
      <c r="AM326" s="4" t="s">
        <v>17</v>
      </c>
      <c r="AN326" s="24" t="s">
        <v>17</v>
      </c>
      <c r="AO326" s="24" t="s">
        <v>17</v>
      </c>
      <c r="AP326" s="20" t="s">
        <v>17</v>
      </c>
      <c r="AQ326" s="20" t="s">
        <v>17</v>
      </c>
      <c r="AR326" s="20" t="s">
        <v>17</v>
      </c>
      <c r="AS326" s="21"/>
      <c r="AT326" s="20"/>
      <c r="AU326" s="4"/>
      <c r="AV326" s="20"/>
      <c r="AW326" s="20" t="s">
        <v>17</v>
      </c>
      <c r="AX326" s="20" t="s">
        <v>17</v>
      </c>
      <c r="AY326" s="20" t="s">
        <v>17</v>
      </c>
      <c r="AZ326" s="5"/>
      <c r="BA326" s="6"/>
      <c r="BB326" s="4"/>
      <c r="BC326" s="6"/>
      <c r="BD326" s="6"/>
      <c r="BE326" s="6"/>
      <c r="BF326" s="7"/>
    </row>
    <row r="327" spans="1:58" ht="18" customHeight="1">
      <c r="A327" s="106" t="s">
        <v>15</v>
      </c>
      <c r="B327" s="93" t="s">
        <v>305</v>
      </c>
      <c r="C327" s="28">
        <v>445.35</v>
      </c>
      <c r="D327" s="28">
        <v>445.47</v>
      </c>
      <c r="E327" s="28">
        <v>445.41</v>
      </c>
      <c r="F327" s="28">
        <v>445.41</v>
      </c>
      <c r="G327" s="29">
        <v>15587.160522897901</v>
      </c>
      <c r="H327" s="29">
        <v>12679.1876612452</v>
      </c>
      <c r="I327" s="27">
        <f t="shared" si="13"/>
        <v>1</v>
      </c>
      <c r="J327" s="27">
        <f t="shared" si="14"/>
        <v>0</v>
      </c>
      <c r="K327" s="27">
        <f t="shared" si="12"/>
        <v>0</v>
      </c>
      <c r="L327" s="25">
        <v>519.22838400000001</v>
      </c>
      <c r="M327" s="25">
        <v>522.63242403225013</v>
      </c>
      <c r="N327" s="38"/>
      <c r="O327" s="38"/>
      <c r="P327" s="71"/>
      <c r="Q327" s="53">
        <v>43431</v>
      </c>
      <c r="R327" s="23">
        <v>12</v>
      </c>
      <c r="S327" s="24">
        <v>519.22838400000001</v>
      </c>
      <c r="T327" s="24">
        <v>522.63242403225013</v>
      </c>
      <c r="U327" s="20"/>
      <c r="V327" s="20"/>
      <c r="W327" s="20"/>
      <c r="X327" s="22" t="s">
        <v>17</v>
      </c>
      <c r="Y327" s="23"/>
      <c r="Z327" s="24" t="s">
        <v>17</v>
      </c>
      <c r="AA327" s="24" t="s">
        <v>17</v>
      </c>
      <c r="AB327" s="20" t="s">
        <v>17</v>
      </c>
      <c r="AC327" s="20" t="s">
        <v>17</v>
      </c>
      <c r="AD327" s="20" t="s">
        <v>17</v>
      </c>
      <c r="AE327" s="22" t="s">
        <v>17</v>
      </c>
      <c r="AF327" s="23"/>
      <c r="AG327" s="24" t="s">
        <v>17</v>
      </c>
      <c r="AH327" s="24" t="s">
        <v>17</v>
      </c>
      <c r="AI327" s="20" t="s">
        <v>17</v>
      </c>
      <c r="AJ327" s="20" t="s">
        <v>17</v>
      </c>
      <c r="AK327" s="20" t="s">
        <v>17</v>
      </c>
      <c r="AL327" s="22" t="s">
        <v>17</v>
      </c>
      <c r="AM327" s="4" t="s">
        <v>17</v>
      </c>
      <c r="AN327" s="24" t="s">
        <v>17</v>
      </c>
      <c r="AO327" s="24" t="s">
        <v>17</v>
      </c>
      <c r="AP327" s="20" t="s">
        <v>17</v>
      </c>
      <c r="AQ327" s="20" t="s">
        <v>17</v>
      </c>
      <c r="AR327" s="20" t="s">
        <v>17</v>
      </c>
      <c r="AS327" s="21"/>
      <c r="AT327" s="20"/>
      <c r="AU327" s="4"/>
      <c r="AV327" s="20"/>
      <c r="AW327" s="20" t="s">
        <v>17</v>
      </c>
      <c r="AX327" s="20" t="s">
        <v>17</v>
      </c>
      <c r="AY327" s="20" t="s">
        <v>17</v>
      </c>
      <c r="AZ327" s="5"/>
      <c r="BA327" s="6"/>
      <c r="BB327" s="4"/>
      <c r="BC327" s="6"/>
      <c r="BD327" s="6"/>
      <c r="BE327" s="6"/>
      <c r="BF327" s="7"/>
    </row>
    <row r="328" spans="1:58" ht="18" customHeight="1">
      <c r="A328" s="106" t="s">
        <v>15</v>
      </c>
      <c r="B328" s="93" t="s">
        <v>306</v>
      </c>
      <c r="C328" s="28">
        <v>446.35</v>
      </c>
      <c r="D328" s="28">
        <v>446.47</v>
      </c>
      <c r="E328" s="28">
        <v>446.41</v>
      </c>
      <c r="F328" s="28">
        <v>446.41</v>
      </c>
      <c r="G328" s="29">
        <v>15637.7330306514</v>
      </c>
      <c r="H328" s="29">
        <v>12734.116520453499</v>
      </c>
      <c r="I328" s="27">
        <f>COUNT(T328,BC328,AH328,AO328,AV328,#REF!)</f>
        <v>1</v>
      </c>
      <c r="J328" s="27">
        <f t="shared" si="14"/>
        <v>5</v>
      </c>
      <c r="K328" s="27">
        <f t="shared" si="12"/>
        <v>5</v>
      </c>
      <c r="L328" s="25">
        <v>545.62393650000001</v>
      </c>
      <c r="M328" s="25">
        <v>549.14261841645998</v>
      </c>
      <c r="N328" s="38">
        <v>0.49986530502899029</v>
      </c>
      <c r="O328" s="38">
        <v>-9.8733543811688307</v>
      </c>
      <c r="P328" s="71">
        <v>-11.87281560128479</v>
      </c>
      <c r="Q328" s="53">
        <v>44140</v>
      </c>
      <c r="R328" s="23">
        <v>9</v>
      </c>
      <c r="S328" s="24" t="s">
        <v>17</v>
      </c>
      <c r="T328" s="24"/>
      <c r="U328" s="20">
        <v>0.50093833871622806</v>
      </c>
      <c r="V328" s="20">
        <v>-10.62471585263436</v>
      </c>
      <c r="W328" s="20">
        <v>-12.628469207499272</v>
      </c>
      <c r="X328" s="22">
        <v>44140</v>
      </c>
      <c r="Y328" s="23">
        <v>9</v>
      </c>
      <c r="Z328" s="31"/>
      <c r="AA328" s="31"/>
      <c r="AB328" s="20">
        <v>0.49762713489864829</v>
      </c>
      <c r="AC328" s="20">
        <v>-9.8927705093085905</v>
      </c>
      <c r="AD328" s="20">
        <v>-11.883279048903184</v>
      </c>
      <c r="AE328" s="22">
        <v>44140</v>
      </c>
      <c r="AF328" s="23">
        <v>9</v>
      </c>
      <c r="AG328" s="24"/>
      <c r="AH328" s="24"/>
      <c r="AI328" s="20">
        <v>0.49670312204841416</v>
      </c>
      <c r="AJ328" s="20">
        <v>-9.7731433911737433</v>
      </c>
      <c r="AK328" s="20">
        <v>-11.7599558793674</v>
      </c>
      <c r="AL328" s="22">
        <v>44140</v>
      </c>
      <c r="AM328" s="23">
        <v>9</v>
      </c>
      <c r="AN328" s="24" t="s">
        <v>17</v>
      </c>
      <c r="AO328" s="24"/>
      <c r="AP328" s="20">
        <v>0.50474331423866481</v>
      </c>
      <c r="AQ328" s="20">
        <v>-9.2404930764751203</v>
      </c>
      <c r="AR328" s="20">
        <v>-11.25946633342978</v>
      </c>
      <c r="AS328" s="22">
        <v>44140</v>
      </c>
      <c r="AT328" s="23">
        <v>9</v>
      </c>
      <c r="AU328" s="4"/>
      <c r="AV328" s="4"/>
      <c r="AW328" s="20">
        <v>0.49931461524299614</v>
      </c>
      <c r="AX328" s="20">
        <v>-9.8356490762523396</v>
      </c>
      <c r="AY328" s="20">
        <v>-11.832907537224324</v>
      </c>
      <c r="AZ328" s="22">
        <v>44140</v>
      </c>
      <c r="BA328" s="23" t="s">
        <v>88</v>
      </c>
      <c r="BB328" s="24">
        <v>545.62393650000001</v>
      </c>
      <c r="BC328" s="24">
        <v>549.13193970918383</v>
      </c>
      <c r="BD328" s="6"/>
      <c r="BE328" s="6"/>
      <c r="BF328" s="7"/>
    </row>
    <row r="329" spans="1:58" ht="18" customHeight="1">
      <c r="A329" s="106" t="s">
        <v>15</v>
      </c>
      <c r="B329" s="93" t="s">
        <v>307</v>
      </c>
      <c r="C329" s="28">
        <v>447.41</v>
      </c>
      <c r="D329" s="28">
        <v>447.83</v>
      </c>
      <c r="E329" s="28">
        <v>447.62</v>
      </c>
      <c r="F329" s="28">
        <v>447.62</v>
      </c>
      <c r="G329" s="29">
        <v>15700.2562093246</v>
      </c>
      <c r="H329" s="29">
        <v>12797.8652722513</v>
      </c>
      <c r="I329" s="27">
        <f t="shared" si="13"/>
        <v>1</v>
      </c>
      <c r="J329" s="27">
        <f t="shared" si="14"/>
        <v>1</v>
      </c>
      <c r="K329" s="27">
        <f t="shared" si="12"/>
        <v>1</v>
      </c>
      <c r="L329" s="25">
        <v>592.88254549999999</v>
      </c>
      <c r="M329" s="25">
        <v>596.65959808881621</v>
      </c>
      <c r="N329" s="38">
        <v>0.49308507032463922</v>
      </c>
      <c r="O329" s="38">
        <v>-9.7840804202409259</v>
      </c>
      <c r="P329" s="71">
        <v>-11.756420701539483</v>
      </c>
      <c r="Q329" s="53">
        <v>43486</v>
      </c>
      <c r="R329" s="23">
        <v>11</v>
      </c>
      <c r="S329" s="24">
        <v>592.88254549999999</v>
      </c>
      <c r="T329" s="24">
        <v>596.65959808881621</v>
      </c>
      <c r="U329" s="20">
        <v>0.49308507032463922</v>
      </c>
      <c r="V329" s="20">
        <v>-9.7840804202409259</v>
      </c>
      <c r="W329" s="20">
        <v>-11.756420701539483</v>
      </c>
      <c r="X329" s="22" t="s">
        <v>17</v>
      </c>
      <c r="Y329" s="23"/>
      <c r="Z329" s="24" t="s">
        <v>17</v>
      </c>
      <c r="AA329" s="24" t="s">
        <v>17</v>
      </c>
      <c r="AB329" s="20" t="s">
        <v>17</v>
      </c>
      <c r="AC329" s="20" t="s">
        <v>17</v>
      </c>
      <c r="AD329" s="20" t="s">
        <v>17</v>
      </c>
      <c r="AE329" s="22" t="s">
        <v>17</v>
      </c>
      <c r="AF329" s="23"/>
      <c r="AG329" s="24" t="s">
        <v>17</v>
      </c>
      <c r="AH329" s="24" t="s">
        <v>17</v>
      </c>
      <c r="AI329" s="20" t="s">
        <v>17</v>
      </c>
      <c r="AJ329" s="20" t="s">
        <v>17</v>
      </c>
      <c r="AK329" s="20" t="s">
        <v>17</v>
      </c>
      <c r="AL329" s="22" t="s">
        <v>17</v>
      </c>
      <c r="AM329" s="23" t="s">
        <v>17</v>
      </c>
      <c r="AN329" s="24"/>
      <c r="AO329" s="24" t="s">
        <v>17</v>
      </c>
      <c r="AP329" s="20" t="s">
        <v>17</v>
      </c>
      <c r="AQ329" s="20" t="s">
        <v>17</v>
      </c>
      <c r="AR329" s="20" t="s">
        <v>17</v>
      </c>
      <c r="AS329" s="21"/>
      <c r="AT329" s="20"/>
      <c r="AU329" s="4"/>
      <c r="AV329" s="20"/>
      <c r="AW329" s="20" t="s">
        <v>17</v>
      </c>
      <c r="AX329" s="20" t="s">
        <v>17</v>
      </c>
      <c r="AY329" s="20" t="s">
        <v>17</v>
      </c>
      <c r="AZ329" s="5"/>
      <c r="BA329" s="6"/>
      <c r="BB329" s="4"/>
      <c r="BC329" s="6"/>
      <c r="BD329" s="6"/>
      <c r="BE329" s="6"/>
      <c r="BF329" s="7"/>
    </row>
    <row r="330" spans="1:58" ht="18" customHeight="1">
      <c r="A330" s="106" t="s">
        <v>15</v>
      </c>
      <c r="B330" s="93" t="s">
        <v>308</v>
      </c>
      <c r="C330" s="28">
        <v>449.23500000000001</v>
      </c>
      <c r="D330" s="28">
        <v>449.35500000000002</v>
      </c>
      <c r="E330" s="28">
        <v>449.29500000000002</v>
      </c>
      <c r="F330" s="28">
        <v>449.29500000000002</v>
      </c>
      <c r="G330" s="29">
        <v>15788.5592650985</v>
      </c>
      <c r="H330" s="29">
        <v>12882.3083113802</v>
      </c>
      <c r="I330" s="27">
        <f t="shared" si="13"/>
        <v>1</v>
      </c>
      <c r="J330" s="27">
        <f t="shared" si="14"/>
        <v>1</v>
      </c>
      <c r="K330" s="27">
        <f t="shared" si="12"/>
        <v>1</v>
      </c>
      <c r="L330" s="25">
        <v>634.41364099999998</v>
      </c>
      <c r="M330" s="25">
        <v>638.48570250911132</v>
      </c>
      <c r="N330" s="38">
        <v>0.49679738743968471</v>
      </c>
      <c r="O330" s="38">
        <v>-11.776122307309734</v>
      </c>
      <c r="P330" s="71">
        <v>-13.763311857068473</v>
      </c>
      <c r="Q330" s="53">
        <v>43265</v>
      </c>
      <c r="R330" s="23">
        <v>9</v>
      </c>
      <c r="S330" s="24">
        <v>634.41364099999998</v>
      </c>
      <c r="T330" s="24">
        <v>638.48570250911132</v>
      </c>
      <c r="U330" s="20">
        <v>0.49679738743968471</v>
      </c>
      <c r="V330" s="20">
        <v>-11.776122307309734</v>
      </c>
      <c r="W330" s="20">
        <v>-13.763311857068473</v>
      </c>
      <c r="X330" s="22" t="s">
        <v>17</v>
      </c>
      <c r="Y330" s="23"/>
      <c r="Z330" s="24" t="s">
        <v>17</v>
      </c>
      <c r="AA330" s="24" t="s">
        <v>17</v>
      </c>
      <c r="AB330" s="20" t="s">
        <v>17</v>
      </c>
      <c r="AC330" s="20" t="s">
        <v>17</v>
      </c>
      <c r="AD330" s="20" t="s">
        <v>17</v>
      </c>
      <c r="AE330" s="22" t="s">
        <v>17</v>
      </c>
      <c r="AF330" s="23"/>
      <c r="AG330" s="24" t="s">
        <v>17</v>
      </c>
      <c r="AH330" s="24" t="s">
        <v>17</v>
      </c>
      <c r="AI330" s="20" t="s">
        <v>17</v>
      </c>
      <c r="AJ330" s="20" t="s">
        <v>17</v>
      </c>
      <c r="AK330" s="20" t="s">
        <v>17</v>
      </c>
      <c r="AL330" s="22" t="s">
        <v>17</v>
      </c>
      <c r="AM330" s="23" t="s">
        <v>17</v>
      </c>
      <c r="AN330" s="24" t="s">
        <v>17</v>
      </c>
      <c r="AO330" s="24" t="s">
        <v>17</v>
      </c>
      <c r="AP330" s="20" t="s">
        <v>17</v>
      </c>
      <c r="AQ330" s="20" t="s">
        <v>17</v>
      </c>
      <c r="AR330" s="20" t="s">
        <v>17</v>
      </c>
      <c r="AS330" s="21"/>
      <c r="AT330" s="20"/>
      <c r="AU330" s="4"/>
      <c r="AV330" s="20"/>
      <c r="AW330" s="20" t="s">
        <v>17</v>
      </c>
      <c r="AX330" s="20" t="s">
        <v>17</v>
      </c>
      <c r="AY330" s="20" t="s">
        <v>17</v>
      </c>
      <c r="AZ330" s="5"/>
      <c r="BA330" s="6"/>
      <c r="BB330" s="4"/>
      <c r="BC330" s="6"/>
      <c r="BD330" s="6"/>
      <c r="BE330" s="6"/>
      <c r="BF330" s="7"/>
    </row>
    <row r="331" spans="1:58" ht="18" customHeight="1">
      <c r="A331" s="106" t="s">
        <v>15</v>
      </c>
      <c r="B331" s="93" t="s">
        <v>309</v>
      </c>
      <c r="C331" s="28">
        <v>450.70499999999998</v>
      </c>
      <c r="D331" s="28">
        <v>450.82499999999999</v>
      </c>
      <c r="E331" s="28">
        <v>450.76499999999999</v>
      </c>
      <c r="F331" s="28">
        <v>450.76499999999999</v>
      </c>
      <c r="G331" s="29">
        <v>15866.152281893201</v>
      </c>
      <c r="H331" s="29">
        <v>12954.893656595499</v>
      </c>
      <c r="I331" s="27">
        <f t="shared" si="13"/>
        <v>1</v>
      </c>
      <c r="J331" s="27">
        <f t="shared" si="14"/>
        <v>1</v>
      </c>
      <c r="K331" s="27">
        <f t="shared" si="12"/>
        <v>1</v>
      </c>
      <c r="L331" s="25">
        <v>652.92753700000003</v>
      </c>
      <c r="M331" s="25">
        <v>657.1923778323054</v>
      </c>
      <c r="N331" s="38">
        <v>0.50556305400872859</v>
      </c>
      <c r="O331" s="38">
        <v>-7.1918651485554097</v>
      </c>
      <c r="P331" s="71">
        <v>-9.214117364590324</v>
      </c>
      <c r="Q331" s="53">
        <v>43500</v>
      </c>
      <c r="R331" s="23">
        <v>8</v>
      </c>
      <c r="S331" s="24">
        <v>652.92753700000003</v>
      </c>
      <c r="T331" s="24">
        <v>657.1923778323054</v>
      </c>
      <c r="U331" s="20">
        <v>0.50556305400872859</v>
      </c>
      <c r="V331" s="20">
        <v>-7.1918651485554097</v>
      </c>
      <c r="W331" s="20">
        <v>-9.214117364590324</v>
      </c>
      <c r="X331" s="22" t="s">
        <v>17</v>
      </c>
      <c r="Y331" s="23"/>
      <c r="Z331" s="24" t="s">
        <v>17</v>
      </c>
      <c r="AA331" s="24" t="s">
        <v>17</v>
      </c>
      <c r="AB331" s="20" t="s">
        <v>17</v>
      </c>
      <c r="AC331" s="20" t="s">
        <v>17</v>
      </c>
      <c r="AD331" s="20" t="s">
        <v>17</v>
      </c>
      <c r="AE331" s="22" t="s">
        <v>17</v>
      </c>
      <c r="AF331" s="23"/>
      <c r="AG331" s="24" t="s">
        <v>17</v>
      </c>
      <c r="AH331" s="24" t="s">
        <v>17</v>
      </c>
      <c r="AI331" s="20" t="s">
        <v>17</v>
      </c>
      <c r="AJ331" s="20" t="s">
        <v>17</v>
      </c>
      <c r="AK331" s="20" t="s">
        <v>17</v>
      </c>
      <c r="AL331" s="22" t="s">
        <v>17</v>
      </c>
      <c r="AM331" s="23" t="s">
        <v>17</v>
      </c>
      <c r="AN331" s="24" t="s">
        <v>17</v>
      </c>
      <c r="AO331" s="24" t="s">
        <v>17</v>
      </c>
      <c r="AP331" s="20" t="s">
        <v>17</v>
      </c>
      <c r="AQ331" s="20" t="s">
        <v>17</v>
      </c>
      <c r="AR331" s="20" t="s">
        <v>17</v>
      </c>
      <c r="AS331" s="21"/>
      <c r="AT331" s="20"/>
      <c r="AU331" s="4"/>
      <c r="AV331" s="20"/>
      <c r="AW331" s="20" t="s">
        <v>17</v>
      </c>
      <c r="AX331" s="20" t="s">
        <v>17</v>
      </c>
      <c r="AY331" s="20" t="s">
        <v>17</v>
      </c>
      <c r="AZ331" s="5"/>
      <c r="BA331" s="6"/>
      <c r="BB331" s="4"/>
      <c r="BC331" s="6"/>
      <c r="BD331" s="6"/>
      <c r="BE331" s="6"/>
      <c r="BF331" s="7"/>
    </row>
    <row r="332" spans="1:58" ht="18" customHeight="1">
      <c r="A332" s="106" t="s">
        <v>15</v>
      </c>
      <c r="B332" s="93" t="s">
        <v>310</v>
      </c>
      <c r="C332" s="28">
        <v>451.35</v>
      </c>
      <c r="D332" s="28">
        <v>451.47</v>
      </c>
      <c r="E332" s="28">
        <v>451.41</v>
      </c>
      <c r="F332" s="28">
        <v>451.41</v>
      </c>
      <c r="G332" s="29">
        <v>15899.9474773205</v>
      </c>
      <c r="H332" s="29">
        <v>12984.0325818004</v>
      </c>
      <c r="I332" s="27">
        <f t="shared" si="13"/>
        <v>1</v>
      </c>
      <c r="J332" s="27">
        <f t="shared" si="14"/>
        <v>1</v>
      </c>
      <c r="K332" s="27">
        <f t="shared" si="12"/>
        <v>1</v>
      </c>
      <c r="L332" s="25">
        <v>654.91115850000006</v>
      </c>
      <c r="M332" s="25">
        <v>659.06466992302558</v>
      </c>
      <c r="N332" s="38">
        <v>0.49087453792173719</v>
      </c>
      <c r="O332" s="38">
        <v>-8.444660676745098</v>
      </c>
      <c r="P332" s="71">
        <v>-10.408158828432047</v>
      </c>
      <c r="Q332" s="53">
        <v>43503</v>
      </c>
      <c r="R332" s="23">
        <v>11</v>
      </c>
      <c r="S332" s="24">
        <v>654.91115850000006</v>
      </c>
      <c r="T332" s="24">
        <v>659.06466992302558</v>
      </c>
      <c r="U332" s="20">
        <v>0.49087453792173719</v>
      </c>
      <c r="V332" s="20">
        <v>-8.444660676745098</v>
      </c>
      <c r="W332" s="20">
        <v>-10.408158828432047</v>
      </c>
      <c r="X332" s="22" t="s">
        <v>17</v>
      </c>
      <c r="Y332" s="23"/>
      <c r="Z332" s="24" t="s">
        <v>17</v>
      </c>
      <c r="AA332" s="24" t="s">
        <v>17</v>
      </c>
      <c r="AB332" s="20" t="s">
        <v>17</v>
      </c>
      <c r="AC332" s="20" t="s">
        <v>17</v>
      </c>
      <c r="AD332" s="20" t="s">
        <v>17</v>
      </c>
      <c r="AE332" s="22" t="s">
        <v>17</v>
      </c>
      <c r="AF332" s="23"/>
      <c r="AG332" s="24" t="s">
        <v>17</v>
      </c>
      <c r="AH332" s="24" t="s">
        <v>17</v>
      </c>
      <c r="AI332" s="20" t="s">
        <v>17</v>
      </c>
      <c r="AJ332" s="20" t="s">
        <v>17</v>
      </c>
      <c r="AK332" s="20" t="s">
        <v>17</v>
      </c>
      <c r="AL332" s="22" t="s">
        <v>17</v>
      </c>
      <c r="AM332" s="23" t="s">
        <v>17</v>
      </c>
      <c r="AN332" s="24" t="s">
        <v>17</v>
      </c>
      <c r="AO332" s="24" t="s">
        <v>17</v>
      </c>
      <c r="AP332" s="20" t="s">
        <v>17</v>
      </c>
      <c r="AQ332" s="20" t="s">
        <v>17</v>
      </c>
      <c r="AR332" s="20" t="s">
        <v>17</v>
      </c>
      <c r="AS332" s="21"/>
      <c r="AT332" s="20"/>
      <c r="AU332" s="4"/>
      <c r="AV332" s="20"/>
      <c r="AW332" s="20" t="s">
        <v>17</v>
      </c>
      <c r="AX332" s="20" t="s">
        <v>17</v>
      </c>
      <c r="AY332" s="20" t="s">
        <v>17</v>
      </c>
      <c r="AZ332" s="5"/>
      <c r="BA332" s="6"/>
      <c r="BB332" s="4"/>
      <c r="BC332" s="6"/>
      <c r="BD332" s="6"/>
      <c r="BE332" s="6"/>
      <c r="BF332" s="7"/>
    </row>
    <row r="333" spans="1:58" ht="18" customHeight="1">
      <c r="A333" s="106" t="s">
        <v>15</v>
      </c>
      <c r="B333" s="93" t="s">
        <v>311</v>
      </c>
      <c r="C333" s="28">
        <v>452.23</v>
      </c>
      <c r="D333" s="28">
        <v>452.35</v>
      </c>
      <c r="E333" s="28">
        <v>452.29</v>
      </c>
      <c r="F333" s="28">
        <v>452.29</v>
      </c>
      <c r="G333" s="29">
        <v>15946.2861059692</v>
      </c>
      <c r="H333" s="29">
        <v>13024.1909481687</v>
      </c>
      <c r="I333" s="27">
        <f t="shared" si="13"/>
        <v>1</v>
      </c>
      <c r="J333" s="27">
        <f t="shared" si="14"/>
        <v>1</v>
      </c>
      <c r="K333" s="27">
        <f t="shared" si="12"/>
        <v>1</v>
      </c>
      <c r="L333" s="25">
        <v>632.63640250000003</v>
      </c>
      <c r="M333" s="25">
        <v>636.72450336826455</v>
      </c>
      <c r="N333" s="38">
        <v>0.50015534139591367</v>
      </c>
      <c r="O333" s="38">
        <v>-7.850012492713887</v>
      </c>
      <c r="P333" s="71">
        <v>-9.8506338582975417</v>
      </c>
      <c r="Q333" s="53">
        <v>43418</v>
      </c>
      <c r="R333" s="23">
        <v>12</v>
      </c>
      <c r="S333" s="24">
        <v>632.63640250000003</v>
      </c>
      <c r="T333" s="24">
        <v>636.72450336826455</v>
      </c>
      <c r="U333" s="20">
        <v>0.50015534139591367</v>
      </c>
      <c r="V333" s="20">
        <v>-7.850012492713887</v>
      </c>
      <c r="W333" s="20">
        <v>-9.8506338582975417</v>
      </c>
      <c r="X333" s="22" t="s">
        <v>17</v>
      </c>
      <c r="Y333" s="23"/>
      <c r="Z333" s="24" t="s">
        <v>17</v>
      </c>
      <c r="AA333" s="24" t="s">
        <v>17</v>
      </c>
      <c r="AB333" s="20" t="s">
        <v>17</v>
      </c>
      <c r="AC333" s="20" t="s">
        <v>17</v>
      </c>
      <c r="AD333" s="20" t="s">
        <v>17</v>
      </c>
      <c r="AE333" s="22" t="s">
        <v>17</v>
      </c>
      <c r="AF333" s="23"/>
      <c r="AG333" s="24" t="s">
        <v>17</v>
      </c>
      <c r="AH333" s="24" t="s">
        <v>17</v>
      </c>
      <c r="AI333" s="20" t="s">
        <v>17</v>
      </c>
      <c r="AJ333" s="20" t="s">
        <v>17</v>
      </c>
      <c r="AK333" s="20" t="s">
        <v>17</v>
      </c>
      <c r="AL333" s="22" t="s">
        <v>17</v>
      </c>
      <c r="AM333" s="23" t="s">
        <v>17</v>
      </c>
      <c r="AN333" s="24" t="s">
        <v>17</v>
      </c>
      <c r="AO333" s="24" t="s">
        <v>17</v>
      </c>
      <c r="AP333" s="20" t="s">
        <v>17</v>
      </c>
      <c r="AQ333" s="20" t="s">
        <v>17</v>
      </c>
      <c r="AR333" s="20" t="s">
        <v>17</v>
      </c>
      <c r="AS333" s="21"/>
      <c r="AT333" s="20"/>
      <c r="AU333" s="4"/>
      <c r="AV333" s="20"/>
      <c r="AW333" s="20" t="s">
        <v>17</v>
      </c>
      <c r="AX333" s="20" t="s">
        <v>17</v>
      </c>
      <c r="AY333" s="20" t="s">
        <v>17</v>
      </c>
      <c r="AZ333" s="5"/>
      <c r="BA333" s="6"/>
      <c r="BB333" s="4"/>
      <c r="BC333" s="6"/>
      <c r="BD333" s="6"/>
      <c r="BE333" s="6"/>
      <c r="BF333" s="7"/>
    </row>
    <row r="334" spans="1:58" ht="18" customHeight="1">
      <c r="A334" s="106" t="s">
        <v>15</v>
      </c>
      <c r="B334" s="93" t="s">
        <v>312</v>
      </c>
      <c r="C334" s="28">
        <v>453.23</v>
      </c>
      <c r="D334" s="28">
        <v>453.35</v>
      </c>
      <c r="E334" s="28">
        <v>453.29</v>
      </c>
      <c r="F334" s="28">
        <v>453.29</v>
      </c>
      <c r="G334" s="29">
        <v>15998.922610609899</v>
      </c>
      <c r="H334" s="29">
        <v>13073.304996708201</v>
      </c>
      <c r="I334" s="27">
        <f t="shared" si="13"/>
        <v>1</v>
      </c>
      <c r="J334" s="27">
        <f t="shared" si="14"/>
        <v>1</v>
      </c>
      <c r="K334" s="27">
        <f t="shared" si="12"/>
        <v>1</v>
      </c>
      <c r="L334" s="25">
        <v>628.32374200000004</v>
      </c>
      <c r="M334" s="25">
        <v>632.36461956624248</v>
      </c>
      <c r="N334" s="38">
        <v>0.49777113393845163</v>
      </c>
      <c r="O334" s="38">
        <v>-9.6359575947682075</v>
      </c>
      <c r="P334" s="71">
        <v>-11.627042130522014</v>
      </c>
      <c r="Q334" s="53">
        <v>43500</v>
      </c>
      <c r="R334" s="23">
        <v>8</v>
      </c>
      <c r="S334" s="24">
        <v>628.32374200000004</v>
      </c>
      <c r="T334" s="24">
        <v>632.36461956624248</v>
      </c>
      <c r="U334" s="20">
        <v>0.49777113393845163</v>
      </c>
      <c r="V334" s="20">
        <v>-9.6359575947682075</v>
      </c>
      <c r="W334" s="20">
        <v>-11.627042130522014</v>
      </c>
      <c r="X334" s="22" t="s">
        <v>17</v>
      </c>
      <c r="Y334" s="23"/>
      <c r="Z334" s="24" t="s">
        <v>17</v>
      </c>
      <c r="AA334" s="24" t="s">
        <v>17</v>
      </c>
      <c r="AB334" s="20" t="s">
        <v>17</v>
      </c>
      <c r="AC334" s="20" t="s">
        <v>17</v>
      </c>
      <c r="AD334" s="20" t="s">
        <v>17</v>
      </c>
      <c r="AE334" s="22" t="s">
        <v>17</v>
      </c>
      <c r="AF334" s="23"/>
      <c r="AG334" s="24" t="s">
        <v>17</v>
      </c>
      <c r="AH334" s="24" t="s">
        <v>17</v>
      </c>
      <c r="AI334" s="20" t="s">
        <v>17</v>
      </c>
      <c r="AJ334" s="20" t="s">
        <v>17</v>
      </c>
      <c r="AK334" s="20" t="s">
        <v>17</v>
      </c>
      <c r="AL334" s="22" t="s">
        <v>17</v>
      </c>
      <c r="AM334" s="23" t="s">
        <v>17</v>
      </c>
      <c r="AN334" s="24" t="s">
        <v>17</v>
      </c>
      <c r="AO334" s="24" t="s">
        <v>17</v>
      </c>
      <c r="AP334" s="20" t="s">
        <v>17</v>
      </c>
      <c r="AQ334" s="20" t="s">
        <v>17</v>
      </c>
      <c r="AR334" s="20" t="s">
        <v>17</v>
      </c>
      <c r="AS334" s="21"/>
      <c r="AT334" s="20"/>
      <c r="AU334" s="4"/>
      <c r="AV334" s="20"/>
      <c r="AW334" s="20" t="s">
        <v>17</v>
      </c>
      <c r="AX334" s="20" t="s">
        <v>17</v>
      </c>
      <c r="AY334" s="20" t="s">
        <v>17</v>
      </c>
      <c r="AZ334" s="5"/>
      <c r="BA334" s="6"/>
      <c r="BB334" s="4"/>
      <c r="BC334" s="6"/>
      <c r="BD334" s="6"/>
      <c r="BE334" s="6"/>
      <c r="BF334" s="7"/>
    </row>
    <row r="335" spans="1:58" ht="18" customHeight="1">
      <c r="A335" s="106" t="s">
        <v>15</v>
      </c>
      <c r="B335" s="93" t="s">
        <v>313</v>
      </c>
      <c r="C335" s="28">
        <v>454.23</v>
      </c>
      <c r="D335" s="28">
        <v>454.35</v>
      </c>
      <c r="E335" s="28">
        <v>454.29</v>
      </c>
      <c r="F335" s="28">
        <v>454.29</v>
      </c>
      <c r="G335" s="29">
        <v>16053.1814950968</v>
      </c>
      <c r="H335" s="29">
        <v>13125.474426238399</v>
      </c>
      <c r="I335" s="27">
        <f t="shared" si="13"/>
        <v>1</v>
      </c>
      <c r="J335" s="27">
        <f t="shared" si="14"/>
        <v>1</v>
      </c>
      <c r="K335" s="27">
        <f t="shared" si="12"/>
        <v>1</v>
      </c>
      <c r="L335" s="25">
        <v>636.42436999999995</v>
      </c>
      <c r="M335" s="25">
        <v>640.46382150570594</v>
      </c>
      <c r="N335" s="38">
        <v>0.49126190018977667</v>
      </c>
      <c r="O335" s="38">
        <v>-9.6979973291452239</v>
      </c>
      <c r="P335" s="71">
        <v>-11.663044929904331</v>
      </c>
      <c r="Q335" s="53">
        <v>43265</v>
      </c>
      <c r="R335" s="23">
        <v>9</v>
      </c>
      <c r="S335" s="24">
        <v>636.42436999999995</v>
      </c>
      <c r="T335" s="24">
        <v>640.46382150570594</v>
      </c>
      <c r="U335" s="20">
        <v>0.49126190018977667</v>
      </c>
      <c r="V335" s="20">
        <v>-9.6979973291452239</v>
      </c>
      <c r="W335" s="20">
        <v>-11.663044929904331</v>
      </c>
      <c r="X335" s="22" t="s">
        <v>17</v>
      </c>
      <c r="Y335" s="23"/>
      <c r="Z335" s="24" t="s">
        <v>17</v>
      </c>
      <c r="AA335" s="24" t="s">
        <v>17</v>
      </c>
      <c r="AB335" s="20" t="s">
        <v>17</v>
      </c>
      <c r="AC335" s="20" t="s">
        <v>17</v>
      </c>
      <c r="AD335" s="20" t="s">
        <v>17</v>
      </c>
      <c r="AE335" s="22" t="s">
        <v>17</v>
      </c>
      <c r="AF335" s="23"/>
      <c r="AG335" s="24" t="s">
        <v>17</v>
      </c>
      <c r="AH335" s="24" t="s">
        <v>17</v>
      </c>
      <c r="AI335" s="20" t="s">
        <v>17</v>
      </c>
      <c r="AJ335" s="20" t="s">
        <v>17</v>
      </c>
      <c r="AK335" s="20" t="s">
        <v>17</v>
      </c>
      <c r="AL335" s="22" t="s">
        <v>17</v>
      </c>
      <c r="AM335" s="23" t="s">
        <v>17</v>
      </c>
      <c r="AN335" s="24" t="s">
        <v>17</v>
      </c>
      <c r="AO335" s="24" t="s">
        <v>17</v>
      </c>
      <c r="AP335" s="20" t="s">
        <v>17</v>
      </c>
      <c r="AQ335" s="20" t="s">
        <v>17</v>
      </c>
      <c r="AR335" s="20" t="s">
        <v>17</v>
      </c>
      <c r="AS335" s="21"/>
      <c r="AT335" s="20"/>
      <c r="AU335" s="4"/>
      <c r="AV335" s="20"/>
      <c r="AW335" s="20" t="s">
        <v>17</v>
      </c>
      <c r="AX335" s="20" t="s">
        <v>17</v>
      </c>
      <c r="AY335" s="20" t="s">
        <v>17</v>
      </c>
      <c r="AZ335" s="5"/>
      <c r="BA335" s="6"/>
      <c r="BB335" s="4"/>
      <c r="BC335" s="6"/>
      <c r="BD335" s="6"/>
      <c r="BE335" s="6"/>
      <c r="BF335" s="7"/>
    </row>
    <row r="336" spans="1:58" ht="18" customHeight="1">
      <c r="A336" s="106" t="s">
        <v>15</v>
      </c>
      <c r="B336" s="93" t="s">
        <v>314</v>
      </c>
      <c r="C336" s="28">
        <v>454.35</v>
      </c>
      <c r="D336" s="28">
        <v>454.47</v>
      </c>
      <c r="E336" s="28">
        <v>454.41</v>
      </c>
      <c r="F336" s="28">
        <v>454.41</v>
      </c>
      <c r="G336" s="29">
        <v>16059.953424753799</v>
      </c>
      <c r="H336" s="29">
        <v>13131.905010055299</v>
      </c>
      <c r="I336" s="27">
        <f t="shared" si="13"/>
        <v>1</v>
      </c>
      <c r="J336" s="27">
        <f t="shared" si="14"/>
        <v>1</v>
      </c>
      <c r="K336" s="27">
        <f t="shared" si="12"/>
        <v>1</v>
      </c>
      <c r="L336" s="25">
        <v>624.12520050000001</v>
      </c>
      <c r="M336" s="25">
        <v>628.12435362477152</v>
      </c>
      <c r="N336" s="38">
        <v>0.49594532531860303</v>
      </c>
      <c r="O336" s="38">
        <v>-9.5137745426063791</v>
      </c>
      <c r="P336" s="71">
        <v>-11.497555843880791</v>
      </c>
      <c r="Q336" s="53">
        <v>43503</v>
      </c>
      <c r="R336" s="23">
        <v>8</v>
      </c>
      <c r="S336" s="24">
        <v>624.12520050000001</v>
      </c>
      <c r="T336" s="24">
        <v>628.12435362477152</v>
      </c>
      <c r="U336" s="20">
        <v>0.49594532531860303</v>
      </c>
      <c r="V336" s="20">
        <v>-9.5137745426063791</v>
      </c>
      <c r="W336" s="20">
        <v>-11.497555843880791</v>
      </c>
      <c r="X336" s="22" t="s">
        <v>17</v>
      </c>
      <c r="Y336" s="23"/>
      <c r="Z336" s="24" t="s">
        <v>17</v>
      </c>
      <c r="AA336" s="24" t="s">
        <v>17</v>
      </c>
      <c r="AB336" s="20" t="s">
        <v>17</v>
      </c>
      <c r="AC336" s="20" t="s">
        <v>17</v>
      </c>
      <c r="AD336" s="20" t="s">
        <v>17</v>
      </c>
      <c r="AE336" s="22" t="s">
        <v>17</v>
      </c>
      <c r="AF336" s="23"/>
      <c r="AG336" s="24" t="s">
        <v>17</v>
      </c>
      <c r="AH336" s="24" t="s">
        <v>17</v>
      </c>
      <c r="AI336" s="20" t="s">
        <v>17</v>
      </c>
      <c r="AJ336" s="20" t="s">
        <v>17</v>
      </c>
      <c r="AK336" s="20" t="s">
        <v>17</v>
      </c>
      <c r="AL336" s="22" t="s">
        <v>17</v>
      </c>
      <c r="AM336" s="23" t="s">
        <v>17</v>
      </c>
      <c r="AN336" s="24" t="s">
        <v>17</v>
      </c>
      <c r="AO336" s="24" t="s">
        <v>17</v>
      </c>
      <c r="AP336" s="20" t="s">
        <v>17</v>
      </c>
      <c r="AQ336" s="20" t="s">
        <v>17</v>
      </c>
      <c r="AR336" s="20" t="s">
        <v>17</v>
      </c>
      <c r="AS336" s="21"/>
      <c r="AT336" s="20"/>
      <c r="AU336" s="4"/>
      <c r="AV336" s="20"/>
      <c r="AW336" s="20" t="s">
        <v>17</v>
      </c>
      <c r="AX336" s="20" t="s">
        <v>17</v>
      </c>
      <c r="AY336" s="20" t="s">
        <v>17</v>
      </c>
      <c r="AZ336" s="5"/>
      <c r="BA336" s="6"/>
      <c r="BB336" s="4"/>
      <c r="BC336" s="6"/>
      <c r="BD336" s="6"/>
      <c r="BE336" s="6"/>
      <c r="BF336" s="7"/>
    </row>
    <row r="337" spans="1:58" ht="18" customHeight="1">
      <c r="A337" s="106" t="s">
        <v>15</v>
      </c>
      <c r="B337" s="93" t="s">
        <v>315</v>
      </c>
      <c r="C337" s="28">
        <v>455.73</v>
      </c>
      <c r="D337" s="28">
        <v>455.85</v>
      </c>
      <c r="E337" s="28">
        <v>455.79</v>
      </c>
      <c r="F337" s="28">
        <v>455.79</v>
      </c>
      <c r="G337" s="29">
        <v>16141.235025223899</v>
      </c>
      <c r="H337" s="29">
        <v>13207.4447941905</v>
      </c>
      <c r="I337" s="27">
        <f t="shared" si="13"/>
        <v>1</v>
      </c>
      <c r="J337" s="27">
        <f t="shared" si="14"/>
        <v>1</v>
      </c>
      <c r="K337" s="27">
        <f t="shared" si="12"/>
        <v>1</v>
      </c>
      <c r="L337" s="25">
        <v>641.06678050000005</v>
      </c>
      <c r="M337" s="25">
        <v>645.17674273773298</v>
      </c>
      <c r="N337" s="38">
        <v>0.4962174644023154</v>
      </c>
      <c r="O337" s="38">
        <v>-11.26284857062787</v>
      </c>
      <c r="P337" s="71">
        <v>-13.247718428237132</v>
      </c>
      <c r="Q337" s="53">
        <v>43500</v>
      </c>
      <c r="R337" s="23">
        <v>11</v>
      </c>
      <c r="S337" s="24">
        <v>641.06678050000005</v>
      </c>
      <c r="T337" s="24">
        <v>645.17674273773298</v>
      </c>
      <c r="U337" s="20">
        <v>0.4962174644023154</v>
      </c>
      <c r="V337" s="20">
        <v>-11.26284857062787</v>
      </c>
      <c r="W337" s="20">
        <v>-13.247718428237132</v>
      </c>
      <c r="X337" s="22" t="s">
        <v>17</v>
      </c>
      <c r="Y337" s="23"/>
      <c r="Z337" s="24" t="s">
        <v>17</v>
      </c>
      <c r="AA337" s="24" t="s">
        <v>17</v>
      </c>
      <c r="AB337" s="20" t="s">
        <v>17</v>
      </c>
      <c r="AC337" s="20" t="s">
        <v>17</v>
      </c>
      <c r="AD337" s="20" t="s">
        <v>17</v>
      </c>
      <c r="AE337" s="22" t="s">
        <v>17</v>
      </c>
      <c r="AF337" s="23"/>
      <c r="AG337" s="24" t="s">
        <v>17</v>
      </c>
      <c r="AH337" s="24" t="s">
        <v>17</v>
      </c>
      <c r="AI337" s="20" t="s">
        <v>17</v>
      </c>
      <c r="AJ337" s="20" t="s">
        <v>17</v>
      </c>
      <c r="AK337" s="20" t="s">
        <v>17</v>
      </c>
      <c r="AL337" s="22" t="s">
        <v>17</v>
      </c>
      <c r="AM337" s="23" t="s">
        <v>17</v>
      </c>
      <c r="AN337" s="24" t="s">
        <v>17</v>
      </c>
      <c r="AO337" s="24" t="s">
        <v>17</v>
      </c>
      <c r="AP337" s="20" t="s">
        <v>17</v>
      </c>
      <c r="AQ337" s="20" t="s">
        <v>17</v>
      </c>
      <c r="AR337" s="20" t="s">
        <v>17</v>
      </c>
      <c r="AS337" s="21"/>
      <c r="AT337" s="20"/>
      <c r="AU337" s="4"/>
      <c r="AV337" s="20"/>
      <c r="AW337" s="20" t="s">
        <v>17</v>
      </c>
      <c r="AX337" s="20" t="s">
        <v>17</v>
      </c>
      <c r="AY337" s="20" t="s">
        <v>17</v>
      </c>
      <c r="AZ337" s="5"/>
      <c r="BA337" s="6"/>
      <c r="BB337" s="4"/>
      <c r="BC337" s="6"/>
      <c r="BD337" s="6"/>
      <c r="BE337" s="6"/>
      <c r="BF337" s="7"/>
    </row>
    <row r="338" spans="1:58" ht="18" customHeight="1">
      <c r="A338" s="106" t="s">
        <v>15</v>
      </c>
      <c r="B338" s="93" t="s">
        <v>316</v>
      </c>
      <c r="C338" s="28">
        <v>456.73</v>
      </c>
      <c r="D338" s="28">
        <v>456.85</v>
      </c>
      <c r="E338" s="28">
        <v>456.79</v>
      </c>
      <c r="F338" s="28">
        <v>456.79</v>
      </c>
      <c r="G338" s="29">
        <v>16204.1098045737</v>
      </c>
      <c r="H338" s="29">
        <v>13260.5785666295</v>
      </c>
      <c r="I338" s="27">
        <f t="shared" si="13"/>
        <v>1</v>
      </c>
      <c r="J338" s="27">
        <f t="shared" si="14"/>
        <v>1</v>
      </c>
      <c r="K338" s="27">
        <f t="shared" si="12"/>
        <v>1</v>
      </c>
      <c r="L338" s="25">
        <v>658.218028</v>
      </c>
      <c r="M338" s="25">
        <v>662.42093465037885</v>
      </c>
      <c r="N338" s="38">
        <v>0.49421674655247827</v>
      </c>
      <c r="O338" s="38">
        <v>-9.5640728074096728</v>
      </c>
      <c r="P338" s="71">
        <v>-11.540939793619586</v>
      </c>
      <c r="Q338" s="53">
        <v>43305</v>
      </c>
      <c r="R338" s="23">
        <v>9</v>
      </c>
      <c r="S338" s="24">
        <v>658.218028</v>
      </c>
      <c r="T338" s="24">
        <v>662.42093465037885</v>
      </c>
      <c r="U338" s="20">
        <v>0.49421674655247827</v>
      </c>
      <c r="V338" s="20">
        <v>-9.5640728074096728</v>
      </c>
      <c r="W338" s="20">
        <v>-11.540939793619586</v>
      </c>
      <c r="X338" s="22" t="s">
        <v>17</v>
      </c>
      <c r="Y338" s="23"/>
      <c r="Z338" s="24" t="s">
        <v>17</v>
      </c>
      <c r="AA338" s="24" t="s">
        <v>17</v>
      </c>
      <c r="AB338" s="20" t="s">
        <v>17</v>
      </c>
      <c r="AC338" s="20" t="s">
        <v>17</v>
      </c>
      <c r="AD338" s="20" t="s">
        <v>17</v>
      </c>
      <c r="AE338" s="22" t="s">
        <v>17</v>
      </c>
      <c r="AF338" s="23"/>
      <c r="AG338" s="24" t="s">
        <v>17</v>
      </c>
      <c r="AH338" s="24" t="s">
        <v>17</v>
      </c>
      <c r="AI338" s="20" t="s">
        <v>17</v>
      </c>
      <c r="AJ338" s="20" t="s">
        <v>17</v>
      </c>
      <c r="AK338" s="20" t="s">
        <v>17</v>
      </c>
      <c r="AL338" s="22" t="s">
        <v>17</v>
      </c>
      <c r="AM338" s="23" t="s">
        <v>17</v>
      </c>
      <c r="AN338" s="24" t="s">
        <v>17</v>
      </c>
      <c r="AO338" s="24" t="s">
        <v>17</v>
      </c>
      <c r="AP338" s="20" t="s">
        <v>17</v>
      </c>
      <c r="AQ338" s="20" t="s">
        <v>17</v>
      </c>
      <c r="AR338" s="20" t="s">
        <v>17</v>
      </c>
      <c r="AS338" s="21"/>
      <c r="AT338" s="20"/>
      <c r="AU338" s="4"/>
      <c r="AV338" s="20"/>
      <c r="AW338" s="20" t="s">
        <v>17</v>
      </c>
      <c r="AX338" s="20" t="s">
        <v>17</v>
      </c>
      <c r="AY338" s="20" t="s">
        <v>17</v>
      </c>
      <c r="AZ338" s="5"/>
      <c r="BA338" s="6"/>
      <c r="BB338" s="4"/>
      <c r="BC338" s="6"/>
      <c r="BD338" s="6"/>
      <c r="BE338" s="6"/>
      <c r="BF338" s="7"/>
    </row>
    <row r="339" spans="1:58" ht="18" customHeight="1">
      <c r="A339" s="106" t="s">
        <v>15</v>
      </c>
      <c r="B339" s="93" t="s">
        <v>317</v>
      </c>
      <c r="C339" s="28">
        <v>457.35</v>
      </c>
      <c r="D339" s="28">
        <v>457.47</v>
      </c>
      <c r="E339" s="28">
        <v>457.41</v>
      </c>
      <c r="F339" s="28">
        <v>457.41</v>
      </c>
      <c r="G339" s="29">
        <v>16243.811993344199</v>
      </c>
      <c r="H339" s="29">
        <v>13290.8326118656</v>
      </c>
      <c r="I339" s="27">
        <f t="shared" si="13"/>
        <v>1</v>
      </c>
      <c r="J339" s="27">
        <f t="shared" si="14"/>
        <v>1</v>
      </c>
      <c r="K339" s="27">
        <f t="shared" si="12"/>
        <v>1</v>
      </c>
      <c r="L339" s="25">
        <v>663.23370150000005</v>
      </c>
      <c r="M339" s="25">
        <v>667.41621965013132</v>
      </c>
      <c r="N339" s="38">
        <v>0.48809991756071369</v>
      </c>
      <c r="O339" s="38">
        <v>-9.1437186483210873</v>
      </c>
      <c r="P339" s="71">
        <v>-11.096118318563942</v>
      </c>
      <c r="Q339" s="53">
        <v>43424</v>
      </c>
      <c r="R339" s="23">
        <v>12</v>
      </c>
      <c r="S339" s="24">
        <v>663.23370150000005</v>
      </c>
      <c r="T339" s="24">
        <v>667.41621965013132</v>
      </c>
      <c r="U339" s="20">
        <v>0.48809991756071369</v>
      </c>
      <c r="V339" s="20">
        <v>-9.1437186483210873</v>
      </c>
      <c r="W339" s="20">
        <v>-11.096118318563942</v>
      </c>
      <c r="X339" s="22" t="s">
        <v>17</v>
      </c>
      <c r="Y339" s="23"/>
      <c r="Z339" s="24" t="s">
        <v>17</v>
      </c>
      <c r="AA339" s="24" t="s">
        <v>17</v>
      </c>
      <c r="AB339" s="20" t="s">
        <v>17</v>
      </c>
      <c r="AC339" s="20" t="s">
        <v>17</v>
      </c>
      <c r="AD339" s="20" t="s">
        <v>17</v>
      </c>
      <c r="AE339" s="22" t="s">
        <v>17</v>
      </c>
      <c r="AF339" s="23"/>
      <c r="AG339" s="24" t="s">
        <v>17</v>
      </c>
      <c r="AH339" s="24" t="s">
        <v>17</v>
      </c>
      <c r="AI339" s="20" t="s">
        <v>17</v>
      </c>
      <c r="AJ339" s="20" t="s">
        <v>17</v>
      </c>
      <c r="AK339" s="20" t="s">
        <v>17</v>
      </c>
      <c r="AL339" s="22" t="s">
        <v>17</v>
      </c>
      <c r="AM339" s="23" t="s">
        <v>17</v>
      </c>
      <c r="AN339" s="24" t="s">
        <v>17</v>
      </c>
      <c r="AO339" s="24" t="s">
        <v>17</v>
      </c>
      <c r="AP339" s="20" t="s">
        <v>17</v>
      </c>
      <c r="AQ339" s="20" t="s">
        <v>17</v>
      </c>
      <c r="AR339" s="20" t="s">
        <v>17</v>
      </c>
      <c r="AS339" s="21"/>
      <c r="AT339" s="20"/>
      <c r="AU339" s="4"/>
      <c r="AV339" s="20"/>
      <c r="AW339" s="20" t="s">
        <v>17</v>
      </c>
      <c r="AX339" s="20" t="s">
        <v>17</v>
      </c>
      <c r="AY339" s="20" t="s">
        <v>17</v>
      </c>
      <c r="AZ339" s="5"/>
      <c r="BA339" s="6"/>
      <c r="BB339" s="4"/>
      <c r="BC339" s="6"/>
      <c r="BD339" s="6"/>
      <c r="BE339" s="6"/>
      <c r="BF339" s="7"/>
    </row>
    <row r="340" spans="1:58" ht="18" customHeight="1">
      <c r="A340" s="106" t="s">
        <v>15</v>
      </c>
      <c r="B340" s="93" t="s">
        <v>318</v>
      </c>
      <c r="C340" s="28">
        <v>459.68</v>
      </c>
      <c r="D340" s="28">
        <v>459.8</v>
      </c>
      <c r="E340" s="28">
        <v>459.74</v>
      </c>
      <c r="F340" s="28">
        <v>459.74</v>
      </c>
      <c r="G340" s="29">
        <v>16390.929747918301</v>
      </c>
      <c r="H340" s="29">
        <v>13399.6929238498</v>
      </c>
      <c r="I340" s="27">
        <f t="shared" si="13"/>
        <v>1</v>
      </c>
      <c r="J340" s="27">
        <f t="shared" si="14"/>
        <v>1</v>
      </c>
      <c r="K340" s="27">
        <f t="shared" si="12"/>
        <v>1</v>
      </c>
      <c r="L340" s="25">
        <v>657.29106133333335</v>
      </c>
      <c r="M340" s="25">
        <v>661.48839072740475</v>
      </c>
      <c r="N340" s="38">
        <v>0.49425698179517141</v>
      </c>
      <c r="O340" s="38">
        <v>-9.8436201386395972</v>
      </c>
      <c r="P340" s="71">
        <v>-11.820648065820283</v>
      </c>
      <c r="Q340" s="53">
        <v>44109</v>
      </c>
      <c r="R340" s="23">
        <v>9</v>
      </c>
      <c r="S340" s="24">
        <v>657.29106133333335</v>
      </c>
      <c r="T340" s="24">
        <v>661.48839072740475</v>
      </c>
      <c r="U340" s="20">
        <v>0.49425698179517141</v>
      </c>
      <c r="V340" s="20">
        <v>-9.8436201386395972</v>
      </c>
      <c r="W340" s="20">
        <v>-11.820648065820283</v>
      </c>
      <c r="X340" s="22" t="s">
        <v>17</v>
      </c>
      <c r="Y340" s="23"/>
      <c r="Z340" s="24" t="s">
        <v>17</v>
      </c>
      <c r="AA340" s="24" t="s">
        <v>17</v>
      </c>
      <c r="AB340" s="20" t="s">
        <v>17</v>
      </c>
      <c r="AC340" s="20" t="s">
        <v>17</v>
      </c>
      <c r="AD340" s="20" t="s">
        <v>17</v>
      </c>
      <c r="AE340" s="22" t="s">
        <v>17</v>
      </c>
      <c r="AF340" s="23"/>
      <c r="AG340" s="24" t="s">
        <v>17</v>
      </c>
      <c r="AH340" s="24" t="s">
        <v>17</v>
      </c>
      <c r="AI340" s="20" t="s">
        <v>17</v>
      </c>
      <c r="AJ340" s="20" t="s">
        <v>17</v>
      </c>
      <c r="AK340" s="20" t="s">
        <v>17</v>
      </c>
      <c r="AL340" s="22" t="s">
        <v>17</v>
      </c>
      <c r="AM340" s="23" t="s">
        <v>17</v>
      </c>
      <c r="AN340" s="24" t="s">
        <v>17</v>
      </c>
      <c r="AO340" s="24" t="s">
        <v>17</v>
      </c>
      <c r="AP340" s="20" t="s">
        <v>17</v>
      </c>
      <c r="AQ340" s="20" t="s">
        <v>17</v>
      </c>
      <c r="AR340" s="20" t="s">
        <v>17</v>
      </c>
      <c r="AS340" s="21"/>
      <c r="AT340" s="20"/>
      <c r="AU340" s="4"/>
      <c r="AV340" s="20"/>
      <c r="AW340" s="20" t="s">
        <v>17</v>
      </c>
      <c r="AX340" s="20" t="s">
        <v>17</v>
      </c>
      <c r="AY340" s="20" t="s">
        <v>17</v>
      </c>
      <c r="AZ340" s="5"/>
      <c r="BA340" s="6"/>
      <c r="BB340" s="4"/>
      <c r="BC340" s="6"/>
      <c r="BD340" s="6"/>
      <c r="BE340" s="6"/>
      <c r="BF340" s="7"/>
    </row>
    <row r="341" spans="1:58" ht="18" customHeight="1">
      <c r="A341" s="107" t="s">
        <v>15</v>
      </c>
      <c r="B341" s="93" t="s">
        <v>319</v>
      </c>
      <c r="C341" s="28">
        <v>462.23</v>
      </c>
      <c r="D341" s="28">
        <v>462.35</v>
      </c>
      <c r="E341" s="28">
        <v>462.29</v>
      </c>
      <c r="F341" s="28">
        <v>462.29</v>
      </c>
      <c r="G341" s="29">
        <v>16549.2792685438</v>
      </c>
      <c r="H341" s="29">
        <v>13530.309992819401</v>
      </c>
      <c r="I341" s="27">
        <f t="shared" si="13"/>
        <v>1</v>
      </c>
      <c r="J341" s="27">
        <f t="shared" si="14"/>
        <v>1</v>
      </c>
      <c r="K341" s="27">
        <f t="shared" si="12"/>
        <v>1</v>
      </c>
      <c r="L341" s="25">
        <v>642.36812550000002</v>
      </c>
      <c r="M341" s="25">
        <v>646.488165434449</v>
      </c>
      <c r="N341" s="38">
        <v>0.49642646818726099</v>
      </c>
      <c r="O341" s="38">
        <v>-8.222582321820159</v>
      </c>
      <c r="P341" s="71">
        <v>-10.208288194569203</v>
      </c>
      <c r="Q341" s="53">
        <v>43892</v>
      </c>
      <c r="R341" s="23">
        <v>9</v>
      </c>
      <c r="S341" s="24">
        <v>642.36812550000002</v>
      </c>
      <c r="T341" s="24">
        <v>646.488165434449</v>
      </c>
      <c r="U341" s="20">
        <v>0.49642646818726099</v>
      </c>
      <c r="V341" s="20">
        <v>-8.222582321820159</v>
      </c>
      <c r="W341" s="20">
        <v>-10.208288194569203</v>
      </c>
      <c r="X341" s="22" t="s">
        <v>17</v>
      </c>
      <c r="Y341" s="23"/>
      <c r="Z341" s="24" t="s">
        <v>17</v>
      </c>
      <c r="AA341" s="24" t="s">
        <v>17</v>
      </c>
      <c r="AB341" s="20" t="s">
        <v>17</v>
      </c>
      <c r="AC341" s="20" t="s">
        <v>17</v>
      </c>
      <c r="AD341" s="20" t="s">
        <v>17</v>
      </c>
      <c r="AE341" s="22" t="s">
        <v>17</v>
      </c>
      <c r="AF341" s="23"/>
      <c r="AG341" s="24" t="s">
        <v>17</v>
      </c>
      <c r="AH341" s="24" t="s">
        <v>17</v>
      </c>
      <c r="AI341" s="20" t="s">
        <v>17</v>
      </c>
      <c r="AJ341" s="20" t="s">
        <v>17</v>
      </c>
      <c r="AK341" s="20" t="s">
        <v>17</v>
      </c>
      <c r="AL341" s="22" t="s">
        <v>17</v>
      </c>
      <c r="AM341" s="23" t="s">
        <v>17</v>
      </c>
      <c r="AN341" s="24" t="s">
        <v>17</v>
      </c>
      <c r="AO341" s="24" t="s">
        <v>17</v>
      </c>
      <c r="AP341" s="20" t="s">
        <v>17</v>
      </c>
      <c r="AQ341" s="20" t="s">
        <v>17</v>
      </c>
      <c r="AR341" s="20" t="s">
        <v>17</v>
      </c>
      <c r="AS341" s="21"/>
      <c r="AT341" s="20"/>
      <c r="AU341" s="4"/>
      <c r="AV341" s="20"/>
      <c r="AW341" s="20" t="s">
        <v>17</v>
      </c>
      <c r="AX341" s="20" t="s">
        <v>17</v>
      </c>
      <c r="AY341" s="20" t="s">
        <v>17</v>
      </c>
      <c r="AZ341" s="5"/>
      <c r="BA341" s="6"/>
      <c r="BB341" s="4"/>
      <c r="BC341" s="6"/>
      <c r="BD341" s="6"/>
      <c r="BE341" s="6"/>
      <c r="BF341" s="7"/>
    </row>
    <row r="342" spans="1:58" ht="18" customHeight="1">
      <c r="A342" s="106" t="s">
        <v>15</v>
      </c>
      <c r="B342" s="93" t="s">
        <v>320</v>
      </c>
      <c r="C342" s="28">
        <v>464.73</v>
      </c>
      <c r="D342" s="28">
        <v>464.85</v>
      </c>
      <c r="E342" s="28">
        <v>464.79</v>
      </c>
      <c r="F342" s="28">
        <v>464.79</v>
      </c>
      <c r="G342" s="29">
        <v>16710.0735955786</v>
      </c>
      <c r="H342" s="29">
        <v>13669.6319602486</v>
      </c>
      <c r="I342" s="27">
        <f t="shared" si="13"/>
        <v>1</v>
      </c>
      <c r="J342" s="27">
        <f t="shared" si="14"/>
        <v>2</v>
      </c>
      <c r="K342" s="27">
        <f t="shared" si="12"/>
        <v>1</v>
      </c>
      <c r="L342" s="25">
        <v>648.16816500000004</v>
      </c>
      <c r="M342" s="25">
        <v>652.25041828660017</v>
      </c>
      <c r="N342" s="38">
        <v>0.48935892751666987</v>
      </c>
      <c r="O342" s="38">
        <v>-9.5749493671620769</v>
      </c>
      <c r="P342" s="71">
        <v>-11.524837644515728</v>
      </c>
      <c r="Q342" s="53">
        <v>44027</v>
      </c>
      <c r="R342" s="23">
        <v>10</v>
      </c>
      <c r="S342" s="24">
        <v>648.16816500000004</v>
      </c>
      <c r="T342" s="24">
        <v>652.25041828660017</v>
      </c>
      <c r="U342" s="1">
        <v>0.48747206933841269</v>
      </c>
      <c r="V342" s="2">
        <v>-9.5749493671620769</v>
      </c>
      <c r="W342" s="2">
        <v>-11.524837644515728</v>
      </c>
      <c r="X342" s="22">
        <v>44099</v>
      </c>
      <c r="Y342" s="23" t="s">
        <v>88</v>
      </c>
      <c r="Z342" s="24"/>
      <c r="AA342" s="24"/>
      <c r="AB342" s="1">
        <v>0.49124578569492705</v>
      </c>
      <c r="AC342" s="2"/>
      <c r="AD342" s="2"/>
      <c r="AE342" s="22" t="s">
        <v>17</v>
      </c>
      <c r="AF342" s="23"/>
      <c r="AG342" s="24" t="s">
        <v>17</v>
      </c>
      <c r="AH342" s="24" t="s">
        <v>17</v>
      </c>
      <c r="AI342" s="1" t="s">
        <v>17</v>
      </c>
      <c r="AJ342" s="2" t="s">
        <v>17</v>
      </c>
      <c r="AK342" s="2" t="s">
        <v>17</v>
      </c>
      <c r="AL342" s="22" t="s">
        <v>17</v>
      </c>
      <c r="AM342" s="23" t="s">
        <v>17</v>
      </c>
      <c r="AN342" s="24" t="s">
        <v>17</v>
      </c>
      <c r="AO342" s="24" t="s">
        <v>17</v>
      </c>
      <c r="AP342" s="20" t="s">
        <v>17</v>
      </c>
      <c r="AQ342" s="20" t="s">
        <v>17</v>
      </c>
      <c r="AR342" s="20" t="s">
        <v>17</v>
      </c>
      <c r="AS342" s="3"/>
      <c r="AT342" s="2"/>
      <c r="AU342" s="4"/>
      <c r="AV342" s="2"/>
      <c r="AW342" s="1" t="s">
        <v>17</v>
      </c>
      <c r="AX342" s="2" t="s">
        <v>17</v>
      </c>
      <c r="AY342" s="2" t="s">
        <v>17</v>
      </c>
      <c r="AZ342" s="5"/>
      <c r="BA342" s="6"/>
      <c r="BB342" s="4"/>
      <c r="BC342" s="6"/>
      <c r="BD342" s="6"/>
      <c r="BE342" s="6"/>
      <c r="BF342" s="7"/>
    </row>
    <row r="343" spans="1:58" ht="18" customHeight="1">
      <c r="A343" s="107" t="s">
        <v>15</v>
      </c>
      <c r="B343" s="93" t="s">
        <v>321</v>
      </c>
      <c r="C343" s="28">
        <v>466.73</v>
      </c>
      <c r="D343" s="28">
        <v>466.85</v>
      </c>
      <c r="E343" s="28">
        <v>466.79</v>
      </c>
      <c r="F343" s="28">
        <v>466.79</v>
      </c>
      <c r="G343" s="29">
        <v>16843.121296778001</v>
      </c>
      <c r="H343" s="29">
        <v>13789.6461556426</v>
      </c>
      <c r="I343" s="27">
        <f t="shared" si="13"/>
        <v>1</v>
      </c>
      <c r="J343" s="27">
        <f t="shared" si="14"/>
        <v>1</v>
      </c>
      <c r="K343" s="27">
        <f t="shared" si="12"/>
        <v>1</v>
      </c>
      <c r="L343" s="25">
        <v>640.62675100000001</v>
      </c>
      <c r="M343" s="25">
        <v>644.69327394610173</v>
      </c>
      <c r="N343" s="38">
        <v>0.49131004530500455</v>
      </c>
      <c r="O343" s="38">
        <v>-10.362705075618649</v>
      </c>
      <c r="P343" s="71">
        <v>-12.327945256838667</v>
      </c>
      <c r="Q343" s="53">
        <v>43900</v>
      </c>
      <c r="R343" s="23">
        <v>9</v>
      </c>
      <c r="S343" s="24">
        <v>640.62675100000001</v>
      </c>
      <c r="T343" s="24">
        <v>644.69327394610173</v>
      </c>
      <c r="U343" s="20">
        <v>0.49131004530500455</v>
      </c>
      <c r="V343" s="20">
        <v>-10.362705075618649</v>
      </c>
      <c r="W343" s="20">
        <v>-12.327945256838667</v>
      </c>
      <c r="X343" s="22" t="s">
        <v>17</v>
      </c>
      <c r="Y343" s="23"/>
      <c r="Z343" s="24" t="s">
        <v>17</v>
      </c>
      <c r="AA343" s="24" t="s">
        <v>17</v>
      </c>
      <c r="AB343" s="20" t="s">
        <v>17</v>
      </c>
      <c r="AC343" s="20" t="s">
        <v>17</v>
      </c>
      <c r="AD343" s="20" t="s">
        <v>17</v>
      </c>
      <c r="AE343" s="22" t="s">
        <v>17</v>
      </c>
      <c r="AF343" s="23"/>
      <c r="AG343" s="24" t="s">
        <v>17</v>
      </c>
      <c r="AH343" s="24" t="s">
        <v>17</v>
      </c>
      <c r="AI343" s="20" t="s">
        <v>17</v>
      </c>
      <c r="AJ343" s="20" t="s">
        <v>17</v>
      </c>
      <c r="AK343" s="20" t="s">
        <v>17</v>
      </c>
      <c r="AL343" s="22" t="s">
        <v>17</v>
      </c>
      <c r="AM343" s="23" t="s">
        <v>17</v>
      </c>
      <c r="AN343" s="24" t="s">
        <v>17</v>
      </c>
      <c r="AO343" s="24" t="s">
        <v>17</v>
      </c>
      <c r="AP343" s="20" t="s">
        <v>17</v>
      </c>
      <c r="AQ343" s="20" t="s">
        <v>17</v>
      </c>
      <c r="AR343" s="20" t="s">
        <v>17</v>
      </c>
      <c r="AS343" s="21"/>
      <c r="AT343" s="20"/>
      <c r="AU343" s="4"/>
      <c r="AV343" s="20"/>
      <c r="AW343" s="20" t="s">
        <v>17</v>
      </c>
      <c r="AX343" s="20" t="s">
        <v>17</v>
      </c>
      <c r="AY343" s="20" t="s">
        <v>17</v>
      </c>
      <c r="AZ343" s="5"/>
      <c r="BA343" s="6"/>
      <c r="BB343" s="4"/>
      <c r="BC343" s="6"/>
      <c r="BD343" s="6"/>
      <c r="BE343" s="6"/>
      <c r="BF343" s="7"/>
    </row>
    <row r="344" spans="1:58" ht="18" customHeight="1">
      <c r="A344" s="106" t="s">
        <v>15</v>
      </c>
      <c r="B344" s="93" t="s">
        <v>322</v>
      </c>
      <c r="C344" s="28">
        <v>468.85</v>
      </c>
      <c r="D344" s="28">
        <v>468.97</v>
      </c>
      <c r="E344" s="28">
        <v>468.91</v>
      </c>
      <c r="F344" s="28">
        <v>468.91</v>
      </c>
      <c r="G344" s="29">
        <v>16981.1115084454</v>
      </c>
      <c r="H344" s="29">
        <v>13916.7640085411</v>
      </c>
      <c r="I344" s="27">
        <f t="shared" si="13"/>
        <v>2</v>
      </c>
      <c r="J344" s="27">
        <f t="shared" si="14"/>
        <v>2</v>
      </c>
      <c r="K344" s="27">
        <f t="shared" si="12"/>
        <v>2</v>
      </c>
      <c r="L344" s="25">
        <v>606.40549325000006</v>
      </c>
      <c r="M344" s="25">
        <v>610.16601943627813</v>
      </c>
      <c r="N344" s="38">
        <v>0.47997561044932358</v>
      </c>
      <c r="O344" s="38">
        <v>-8.2754552624423319</v>
      </c>
      <c r="P344" s="71">
        <v>-10.195357704239626</v>
      </c>
      <c r="Q344" s="53">
        <v>44063</v>
      </c>
      <c r="R344" s="23">
        <v>9</v>
      </c>
      <c r="S344" s="24">
        <v>608.30144250000001</v>
      </c>
      <c r="T344" s="24">
        <v>612.08426981040861</v>
      </c>
      <c r="U344" s="20">
        <v>0.48132138288936588</v>
      </c>
      <c r="V344" s="20">
        <v>-8.2071080204717539</v>
      </c>
      <c r="W344" s="20">
        <v>-10.132393552029217</v>
      </c>
      <c r="X344" s="22">
        <v>44063</v>
      </c>
      <c r="Y344" s="23">
        <v>9</v>
      </c>
      <c r="Z344" s="24">
        <v>604.50954400000001</v>
      </c>
      <c r="AA344" s="24">
        <v>608.24776906214765</v>
      </c>
      <c r="AB344" s="20">
        <v>0.47862983800928127</v>
      </c>
      <c r="AC344" s="20">
        <v>-8.3438025044129116</v>
      </c>
      <c r="AD344" s="20">
        <v>-10.258321856450037</v>
      </c>
      <c r="AE344" s="22" t="s">
        <v>17</v>
      </c>
      <c r="AF344" s="23"/>
      <c r="AG344" s="24" t="s">
        <v>17</v>
      </c>
      <c r="AH344" s="24" t="s">
        <v>17</v>
      </c>
      <c r="AI344" s="20" t="s">
        <v>17</v>
      </c>
      <c r="AJ344" s="20" t="s">
        <v>17</v>
      </c>
      <c r="AK344" s="20" t="s">
        <v>17</v>
      </c>
      <c r="AL344" s="22" t="s">
        <v>17</v>
      </c>
      <c r="AM344" s="23" t="s">
        <v>17</v>
      </c>
      <c r="AN344" s="24" t="s">
        <v>17</v>
      </c>
      <c r="AO344" s="24" t="s">
        <v>17</v>
      </c>
      <c r="AP344" s="20" t="s">
        <v>17</v>
      </c>
      <c r="AQ344" s="20" t="s">
        <v>17</v>
      </c>
      <c r="AR344" s="20" t="s">
        <v>17</v>
      </c>
      <c r="AS344" s="21"/>
      <c r="AT344" s="20"/>
      <c r="AU344" s="4"/>
      <c r="AV344" s="20"/>
      <c r="AW344" s="20" t="s">
        <v>17</v>
      </c>
      <c r="AX344" s="20" t="s">
        <v>17</v>
      </c>
      <c r="AY344" s="20" t="s">
        <v>17</v>
      </c>
      <c r="AZ344" s="5"/>
      <c r="BA344" s="6"/>
      <c r="BB344" s="4"/>
      <c r="BC344" s="6"/>
      <c r="BD344" s="6"/>
      <c r="BE344" s="6"/>
      <c r="BF344" s="7"/>
    </row>
    <row r="345" spans="1:58" ht="18" customHeight="1">
      <c r="A345" s="106" t="s">
        <v>15</v>
      </c>
      <c r="B345" s="93" t="s">
        <v>323</v>
      </c>
      <c r="C345" s="28">
        <v>470.73</v>
      </c>
      <c r="D345" s="28">
        <v>470.85</v>
      </c>
      <c r="E345" s="28">
        <v>470.79</v>
      </c>
      <c r="F345" s="28">
        <v>470.79</v>
      </c>
      <c r="G345" s="29">
        <v>17099.333975636899</v>
      </c>
      <c r="H345" s="29">
        <v>14021.284426722899</v>
      </c>
      <c r="I345" s="27">
        <f t="shared" si="13"/>
        <v>1</v>
      </c>
      <c r="J345" s="27">
        <f t="shared" si="14"/>
        <v>1</v>
      </c>
      <c r="K345" s="27">
        <f t="shared" si="12"/>
        <v>1</v>
      </c>
      <c r="L345" s="25">
        <v>613.2502925</v>
      </c>
      <c r="M345" s="25">
        <v>617.04532531850327</v>
      </c>
      <c r="N345" s="38">
        <v>0.4789776603109086</v>
      </c>
      <c r="O345" s="38">
        <v>-9.0671607727415005</v>
      </c>
      <c r="P345" s="71">
        <v>-10.983071413985135</v>
      </c>
      <c r="Q345" s="53">
        <v>43873</v>
      </c>
      <c r="R345" s="23">
        <v>9</v>
      </c>
      <c r="S345" s="24">
        <v>613.2502925</v>
      </c>
      <c r="T345" s="24">
        <v>617.04532531850327</v>
      </c>
      <c r="U345" s="20">
        <v>0.4789776603109086</v>
      </c>
      <c r="V345" s="20">
        <v>-9.0671607727415005</v>
      </c>
      <c r="W345" s="20">
        <v>-10.983071413985135</v>
      </c>
      <c r="X345" s="22" t="s">
        <v>17</v>
      </c>
      <c r="Y345" s="23"/>
      <c r="Z345" s="24" t="s">
        <v>17</v>
      </c>
      <c r="AA345" s="24" t="s">
        <v>17</v>
      </c>
      <c r="AB345" s="20" t="s">
        <v>17</v>
      </c>
      <c r="AC345" s="20" t="s">
        <v>17</v>
      </c>
      <c r="AD345" s="20" t="s">
        <v>17</v>
      </c>
      <c r="AE345" s="22" t="s">
        <v>17</v>
      </c>
      <c r="AF345" s="23"/>
      <c r="AG345" s="24" t="s">
        <v>17</v>
      </c>
      <c r="AH345" s="24" t="s">
        <v>17</v>
      </c>
      <c r="AI345" s="20" t="s">
        <v>17</v>
      </c>
      <c r="AJ345" s="20" t="s">
        <v>17</v>
      </c>
      <c r="AK345" s="20" t="s">
        <v>17</v>
      </c>
      <c r="AL345" s="22" t="s">
        <v>17</v>
      </c>
      <c r="AM345" s="23" t="s">
        <v>17</v>
      </c>
      <c r="AN345" s="24" t="s">
        <v>17</v>
      </c>
      <c r="AO345" s="24" t="s">
        <v>17</v>
      </c>
      <c r="AP345" s="20" t="s">
        <v>17</v>
      </c>
      <c r="AQ345" s="20" t="s">
        <v>17</v>
      </c>
      <c r="AR345" s="20" t="s">
        <v>17</v>
      </c>
      <c r="AS345" s="21"/>
      <c r="AT345" s="20"/>
      <c r="AU345" s="4"/>
      <c r="AV345" s="20"/>
      <c r="AW345" s="20" t="s">
        <v>17</v>
      </c>
      <c r="AX345" s="20" t="s">
        <v>17</v>
      </c>
      <c r="AY345" s="20" t="s">
        <v>17</v>
      </c>
      <c r="AZ345" s="5"/>
      <c r="BA345" s="6"/>
      <c r="BB345" s="4"/>
      <c r="BC345" s="6"/>
      <c r="BD345" s="6"/>
      <c r="BE345" s="6"/>
      <c r="BF345" s="7"/>
    </row>
    <row r="346" spans="1:58" ht="18" customHeight="1">
      <c r="A346" s="106" t="s">
        <v>15</v>
      </c>
      <c r="B346" s="93" t="s">
        <v>324</v>
      </c>
      <c r="C346" s="28">
        <v>472.85</v>
      </c>
      <c r="D346" s="28">
        <v>472.97</v>
      </c>
      <c r="E346" s="28">
        <v>472.91</v>
      </c>
      <c r="F346" s="28">
        <v>472.91</v>
      </c>
      <c r="G346" s="29">
        <v>17237.584177927401</v>
      </c>
      <c r="H346" s="29">
        <v>14129.7038894611</v>
      </c>
      <c r="I346" s="27">
        <f t="shared" si="13"/>
        <v>1</v>
      </c>
      <c r="J346" s="27">
        <f t="shared" si="14"/>
        <v>1</v>
      </c>
      <c r="K346" s="27">
        <f t="shared" si="12"/>
        <v>1</v>
      </c>
      <c r="L346" s="25">
        <v>618.74565899999993</v>
      </c>
      <c r="M346" s="25">
        <v>622.56645735657639</v>
      </c>
      <c r="N346" s="38">
        <v>0.47794666948863807</v>
      </c>
      <c r="O346" s="38">
        <v>-8.0993350879129409</v>
      </c>
      <c r="P346" s="71">
        <v>-10.011121765867493</v>
      </c>
      <c r="Q346" s="53">
        <v>44020</v>
      </c>
      <c r="R346" s="23">
        <v>10</v>
      </c>
      <c r="S346" s="24">
        <v>618.74565899999993</v>
      </c>
      <c r="T346" s="24">
        <v>622.56645735657639</v>
      </c>
      <c r="U346" s="20">
        <v>0.47794666948863807</v>
      </c>
      <c r="V346" s="20">
        <v>-8.0993350879129409</v>
      </c>
      <c r="W346" s="20">
        <v>-10.011121765867493</v>
      </c>
      <c r="X346" s="22" t="s">
        <v>17</v>
      </c>
      <c r="Y346" s="23"/>
      <c r="Z346" s="24" t="s">
        <v>17</v>
      </c>
      <c r="AA346" s="24" t="s">
        <v>17</v>
      </c>
      <c r="AB346" s="20" t="s">
        <v>17</v>
      </c>
      <c r="AC346" s="20" t="s">
        <v>17</v>
      </c>
      <c r="AD346" s="20" t="s">
        <v>17</v>
      </c>
      <c r="AE346" s="22" t="s">
        <v>17</v>
      </c>
      <c r="AF346" s="23"/>
      <c r="AG346" s="24" t="s">
        <v>17</v>
      </c>
      <c r="AH346" s="24" t="s">
        <v>17</v>
      </c>
      <c r="AI346" s="20" t="s">
        <v>17</v>
      </c>
      <c r="AJ346" s="20" t="s">
        <v>17</v>
      </c>
      <c r="AK346" s="20" t="s">
        <v>17</v>
      </c>
      <c r="AL346" s="22" t="s">
        <v>17</v>
      </c>
      <c r="AM346" s="23" t="s">
        <v>17</v>
      </c>
      <c r="AN346" s="24" t="s">
        <v>17</v>
      </c>
      <c r="AO346" s="24" t="s">
        <v>17</v>
      </c>
      <c r="AP346" s="20" t="s">
        <v>17</v>
      </c>
      <c r="AQ346" s="20" t="s">
        <v>17</v>
      </c>
      <c r="AR346" s="20" t="s">
        <v>17</v>
      </c>
      <c r="AS346" s="21"/>
      <c r="AT346" s="20"/>
      <c r="AU346" s="4"/>
      <c r="AV346" s="20"/>
      <c r="AW346" s="20" t="s">
        <v>17</v>
      </c>
      <c r="AX346" s="20" t="s">
        <v>17</v>
      </c>
      <c r="AY346" s="20" t="s">
        <v>17</v>
      </c>
      <c r="AZ346" s="5"/>
      <c r="BA346" s="6"/>
      <c r="BB346" s="4"/>
      <c r="BC346" s="6"/>
      <c r="BD346" s="6"/>
      <c r="BE346" s="6"/>
      <c r="BF346" s="7"/>
    </row>
    <row r="347" spans="1:58" ht="18" customHeight="1">
      <c r="A347" s="106" t="s">
        <v>15</v>
      </c>
      <c r="B347" s="93" t="s">
        <v>325</v>
      </c>
      <c r="C347" s="28">
        <v>474.73</v>
      </c>
      <c r="D347" s="28">
        <v>474.85</v>
      </c>
      <c r="E347" s="28">
        <v>474.79</v>
      </c>
      <c r="F347" s="28">
        <v>474.79</v>
      </c>
      <c r="G347" s="29">
        <v>17352.9813803492</v>
      </c>
      <c r="H347" s="29">
        <v>14227.9416957594</v>
      </c>
      <c r="I347" s="27">
        <f t="shared" si="13"/>
        <v>1</v>
      </c>
      <c r="J347" s="27">
        <f t="shared" si="14"/>
        <v>1</v>
      </c>
      <c r="K347" s="27">
        <f t="shared" si="12"/>
        <v>1</v>
      </c>
      <c r="L347" s="25">
        <v>610.60412550000001</v>
      </c>
      <c r="M347" s="25">
        <v>614.45134335961927</v>
      </c>
      <c r="N347" s="38">
        <v>0.48766830704338737</v>
      </c>
      <c r="O347" s="38">
        <v>-9.4153774645237007</v>
      </c>
      <c r="P347" s="71">
        <v>-11.36605069269725</v>
      </c>
      <c r="Q347" s="53">
        <v>44112</v>
      </c>
      <c r="R347" s="23">
        <v>9</v>
      </c>
      <c r="S347" s="24">
        <v>610.60412550000001</v>
      </c>
      <c r="T347" s="24">
        <v>614.45134335961927</v>
      </c>
      <c r="U347" s="20">
        <v>0.48766830704338737</v>
      </c>
      <c r="V347" s="20">
        <v>-9.4153774645237007</v>
      </c>
      <c r="W347" s="20">
        <v>-11.36605069269725</v>
      </c>
      <c r="X347" s="22" t="s">
        <v>17</v>
      </c>
      <c r="Y347" s="23"/>
      <c r="Z347" s="24" t="s">
        <v>17</v>
      </c>
      <c r="AA347" s="24" t="s">
        <v>17</v>
      </c>
      <c r="AB347" s="20" t="s">
        <v>17</v>
      </c>
      <c r="AC347" s="20" t="s">
        <v>17</v>
      </c>
      <c r="AD347" s="20" t="s">
        <v>17</v>
      </c>
      <c r="AE347" s="22" t="s">
        <v>17</v>
      </c>
      <c r="AF347" s="23"/>
      <c r="AG347" s="24" t="s">
        <v>17</v>
      </c>
      <c r="AH347" s="24" t="s">
        <v>17</v>
      </c>
      <c r="AI347" s="20" t="s">
        <v>17</v>
      </c>
      <c r="AJ347" s="20" t="s">
        <v>17</v>
      </c>
      <c r="AK347" s="20" t="s">
        <v>17</v>
      </c>
      <c r="AL347" s="22" t="s">
        <v>17</v>
      </c>
      <c r="AM347" s="23" t="s">
        <v>17</v>
      </c>
      <c r="AN347" s="24" t="s">
        <v>17</v>
      </c>
      <c r="AO347" s="24" t="s">
        <v>17</v>
      </c>
      <c r="AP347" s="20" t="s">
        <v>17</v>
      </c>
      <c r="AQ347" s="20" t="s">
        <v>17</v>
      </c>
      <c r="AR347" s="20" t="s">
        <v>17</v>
      </c>
      <c r="AS347" s="21"/>
      <c r="AT347" s="20"/>
      <c r="AU347" s="4"/>
      <c r="AV347" s="20"/>
      <c r="AW347" s="20" t="s">
        <v>17</v>
      </c>
      <c r="AX347" s="20" t="s">
        <v>17</v>
      </c>
      <c r="AY347" s="20" t="s">
        <v>17</v>
      </c>
      <c r="AZ347" s="5"/>
      <c r="BA347" s="6"/>
      <c r="BB347" s="4"/>
      <c r="BC347" s="6"/>
      <c r="BD347" s="6"/>
      <c r="BE347" s="6"/>
      <c r="BF347" s="7"/>
    </row>
    <row r="348" spans="1:58" ht="18" customHeight="1">
      <c r="A348" s="107" t="s">
        <v>15</v>
      </c>
      <c r="B348" s="93" t="s">
        <v>326</v>
      </c>
      <c r="C348" s="28">
        <v>476.85</v>
      </c>
      <c r="D348" s="28">
        <v>476.97</v>
      </c>
      <c r="E348" s="28">
        <v>476.91</v>
      </c>
      <c r="F348" s="28">
        <v>476.91</v>
      </c>
      <c r="G348" s="29">
        <v>17473.61894176</v>
      </c>
      <c r="H348" s="29">
        <v>14339.078851713301</v>
      </c>
      <c r="I348" s="27">
        <f t="shared" si="13"/>
        <v>1</v>
      </c>
      <c r="J348" s="27">
        <f t="shared" si="14"/>
        <v>1</v>
      </c>
      <c r="K348" s="27">
        <f t="shared" si="12"/>
        <v>1</v>
      </c>
      <c r="L348" s="25">
        <v>596.34282600000006</v>
      </c>
      <c r="M348" s="25">
        <v>600.10912055827976</v>
      </c>
      <c r="N348" s="38">
        <v>0.48882765756608215</v>
      </c>
      <c r="O348" s="38">
        <v>-8.1422322312135762</v>
      </c>
      <c r="P348" s="71">
        <v>-10.097542861477905</v>
      </c>
      <c r="Q348" s="53">
        <v>43892</v>
      </c>
      <c r="R348" s="23">
        <v>9</v>
      </c>
      <c r="S348" s="24">
        <v>596.34282600000006</v>
      </c>
      <c r="T348" s="24">
        <v>600.10912055827976</v>
      </c>
      <c r="U348" s="20">
        <v>0.48882765756608215</v>
      </c>
      <c r="V348" s="20">
        <v>-8.1422322312135762</v>
      </c>
      <c r="W348" s="20">
        <v>-10.097542861477905</v>
      </c>
      <c r="X348" s="22" t="s">
        <v>17</v>
      </c>
      <c r="Y348" s="23"/>
      <c r="Z348" s="24" t="s">
        <v>17</v>
      </c>
      <c r="AA348" s="24" t="s">
        <v>17</v>
      </c>
      <c r="AB348" s="20" t="s">
        <v>17</v>
      </c>
      <c r="AC348" s="20" t="s">
        <v>17</v>
      </c>
      <c r="AD348" s="20" t="s">
        <v>17</v>
      </c>
      <c r="AE348" s="22" t="s">
        <v>17</v>
      </c>
      <c r="AF348" s="23"/>
      <c r="AG348" s="24" t="s">
        <v>17</v>
      </c>
      <c r="AH348" s="24" t="s">
        <v>17</v>
      </c>
      <c r="AI348" s="20" t="s">
        <v>17</v>
      </c>
      <c r="AJ348" s="20" t="s">
        <v>17</v>
      </c>
      <c r="AK348" s="20" t="s">
        <v>17</v>
      </c>
      <c r="AL348" s="22" t="s">
        <v>17</v>
      </c>
      <c r="AM348" s="23" t="s">
        <v>17</v>
      </c>
      <c r="AN348" s="24" t="s">
        <v>17</v>
      </c>
      <c r="AO348" s="24" t="s">
        <v>17</v>
      </c>
      <c r="AP348" s="20" t="s">
        <v>17</v>
      </c>
      <c r="AQ348" s="20" t="s">
        <v>17</v>
      </c>
      <c r="AR348" s="20" t="s">
        <v>17</v>
      </c>
      <c r="AS348" s="21"/>
      <c r="AT348" s="20"/>
      <c r="AU348" s="4"/>
      <c r="AV348" s="20"/>
      <c r="AW348" s="20" t="s">
        <v>17</v>
      </c>
      <c r="AX348" s="20" t="s">
        <v>17</v>
      </c>
      <c r="AY348" s="20" t="s">
        <v>17</v>
      </c>
      <c r="AZ348" s="5"/>
      <c r="BA348" s="6"/>
      <c r="BB348" s="4"/>
      <c r="BC348" s="6"/>
      <c r="BD348" s="6"/>
      <c r="BE348" s="6"/>
      <c r="BF348" s="7"/>
    </row>
    <row r="349" spans="1:58" ht="18" customHeight="1">
      <c r="A349" s="106" t="s">
        <v>15</v>
      </c>
      <c r="B349" s="93" t="s">
        <v>327</v>
      </c>
      <c r="C349" s="28">
        <v>479.23</v>
      </c>
      <c r="D349" s="28">
        <v>479.35</v>
      </c>
      <c r="E349" s="28">
        <v>479.29</v>
      </c>
      <c r="F349" s="28">
        <v>479.29</v>
      </c>
      <c r="G349" s="29">
        <v>17607.262807127601</v>
      </c>
      <c r="H349" s="29">
        <v>14456.181360566099</v>
      </c>
      <c r="I349" s="27">
        <f t="shared" si="13"/>
        <v>2</v>
      </c>
      <c r="J349" s="27">
        <f t="shared" si="14"/>
        <v>2</v>
      </c>
      <c r="K349" s="27">
        <f t="shared" si="12"/>
        <v>2</v>
      </c>
      <c r="L349" s="25">
        <v>581.86214300000006</v>
      </c>
      <c r="M349" s="25">
        <v>585.47079613918868</v>
      </c>
      <c r="N349" s="38">
        <v>0.47941291111619488</v>
      </c>
      <c r="O349" s="38">
        <v>-8.9930165039036609</v>
      </c>
      <c r="P349" s="71">
        <v>-10.91066814836844</v>
      </c>
      <c r="Q349" s="53">
        <v>44130</v>
      </c>
      <c r="R349" s="23">
        <v>9</v>
      </c>
      <c r="S349" s="24">
        <v>581.16726100000005</v>
      </c>
      <c r="T349" s="24">
        <v>584.75229158999662</v>
      </c>
      <c r="U349" s="20">
        <v>0.47684389676505567</v>
      </c>
      <c r="V349" s="20">
        <v>-9.1536024792872048</v>
      </c>
      <c r="W349" s="20">
        <v>-11.060978066347428</v>
      </c>
      <c r="X349" s="22">
        <v>44130</v>
      </c>
      <c r="Y349" s="23">
        <v>9</v>
      </c>
      <c r="Z349" s="24">
        <v>582.55702500000007</v>
      </c>
      <c r="AA349" s="24">
        <v>586.18930068838085</v>
      </c>
      <c r="AB349" s="20">
        <v>0.48198192546733409</v>
      </c>
      <c r="AC349" s="20">
        <v>-8.8324305285201188</v>
      </c>
      <c r="AD349" s="20">
        <v>-10.760358230389455</v>
      </c>
      <c r="AE349" s="22"/>
      <c r="AF349" s="23"/>
      <c r="AG349" s="24"/>
      <c r="AH349" s="24"/>
      <c r="AI349" s="20" t="s">
        <v>17</v>
      </c>
      <c r="AJ349" s="20"/>
      <c r="AK349" s="20"/>
      <c r="AL349" s="22"/>
      <c r="AM349" s="23"/>
      <c r="AN349" s="24"/>
      <c r="AO349" s="24" t="s">
        <v>17</v>
      </c>
      <c r="AP349" s="20" t="s">
        <v>17</v>
      </c>
      <c r="AQ349" s="20"/>
      <c r="AR349" s="20"/>
      <c r="AS349" s="21"/>
      <c r="AT349" s="20"/>
      <c r="AU349" s="4"/>
      <c r="AV349" s="20"/>
      <c r="AW349" s="20" t="s">
        <v>17</v>
      </c>
      <c r="AX349" s="20" t="s">
        <v>17</v>
      </c>
      <c r="AY349" s="20" t="s">
        <v>17</v>
      </c>
      <c r="AZ349" s="5"/>
      <c r="BA349" s="6"/>
      <c r="BB349" s="4"/>
      <c r="BC349" s="6"/>
      <c r="BD349" s="6"/>
      <c r="BE349" s="6"/>
      <c r="BF349" s="7"/>
    </row>
    <row r="350" spans="1:58" ht="18" customHeight="1">
      <c r="A350" s="106" t="s">
        <v>15</v>
      </c>
      <c r="B350" s="93" t="s">
        <v>328</v>
      </c>
      <c r="C350" s="28">
        <v>481.23</v>
      </c>
      <c r="D350" s="28">
        <v>481.35</v>
      </c>
      <c r="E350" s="28">
        <v>481.29</v>
      </c>
      <c r="F350" s="28">
        <v>481.29</v>
      </c>
      <c r="G350" s="29">
        <v>17730.626379663401</v>
      </c>
      <c r="H350" s="29">
        <v>14554.302903104201</v>
      </c>
      <c r="I350" s="27">
        <f t="shared" si="13"/>
        <v>1</v>
      </c>
      <c r="J350" s="27">
        <f t="shared" si="14"/>
        <v>1</v>
      </c>
      <c r="K350" s="27">
        <f t="shared" si="12"/>
        <v>1</v>
      </c>
      <c r="L350" s="25">
        <v>544.44859300000007</v>
      </c>
      <c r="M350" s="25">
        <v>547.89501734875034</v>
      </c>
      <c r="N350" s="38">
        <v>0.48994728614237815</v>
      </c>
      <c r="O350" s="38">
        <v>-7.9132220510707008</v>
      </c>
      <c r="P350" s="71">
        <v>-9.8730111956402133</v>
      </c>
      <c r="Q350" s="53">
        <v>44025</v>
      </c>
      <c r="R350" s="23">
        <v>10</v>
      </c>
      <c r="S350" s="24">
        <v>544.44859300000007</v>
      </c>
      <c r="T350" s="24">
        <v>547.89501734875034</v>
      </c>
      <c r="U350" s="20">
        <v>0.48994728614237815</v>
      </c>
      <c r="V350" s="20">
        <v>-7.9132220510707008</v>
      </c>
      <c r="W350" s="20">
        <v>-9.8730111956402133</v>
      </c>
      <c r="X350" s="22" t="s">
        <v>17</v>
      </c>
      <c r="Y350" s="23"/>
      <c r="Z350" s="24" t="s">
        <v>17</v>
      </c>
      <c r="AA350" s="24" t="s">
        <v>17</v>
      </c>
      <c r="AB350" s="20" t="s">
        <v>17</v>
      </c>
      <c r="AC350" s="20" t="s">
        <v>17</v>
      </c>
      <c r="AD350" s="20" t="s">
        <v>17</v>
      </c>
      <c r="AE350" s="22" t="s">
        <v>17</v>
      </c>
      <c r="AF350" s="23"/>
      <c r="AG350" s="24" t="s">
        <v>17</v>
      </c>
      <c r="AH350" s="24" t="s">
        <v>17</v>
      </c>
      <c r="AI350" s="20" t="s">
        <v>17</v>
      </c>
      <c r="AJ350" s="20" t="s">
        <v>17</v>
      </c>
      <c r="AK350" s="20" t="s">
        <v>17</v>
      </c>
      <c r="AL350" s="22" t="s">
        <v>17</v>
      </c>
      <c r="AM350" s="23" t="s">
        <v>17</v>
      </c>
      <c r="AN350" s="24"/>
      <c r="AO350" s="24" t="s">
        <v>17</v>
      </c>
      <c r="AP350" s="20" t="s">
        <v>17</v>
      </c>
      <c r="AQ350" s="20" t="s">
        <v>17</v>
      </c>
      <c r="AR350" s="20" t="s">
        <v>17</v>
      </c>
      <c r="AS350" s="21"/>
      <c r="AT350" s="20"/>
      <c r="AU350" s="4"/>
      <c r="AV350" s="20"/>
      <c r="AW350" s="20" t="s">
        <v>17</v>
      </c>
      <c r="AX350" s="20" t="s">
        <v>17</v>
      </c>
      <c r="AY350" s="20" t="s">
        <v>17</v>
      </c>
      <c r="AZ350" s="5"/>
      <c r="BA350" s="6"/>
      <c r="BB350" s="4"/>
      <c r="BC350" s="6"/>
      <c r="BD350" s="6"/>
      <c r="BE350" s="6"/>
      <c r="BF350" s="7"/>
    </row>
    <row r="351" spans="1:58" ht="18" customHeight="1">
      <c r="A351" s="106" t="s">
        <v>15</v>
      </c>
      <c r="B351" s="93" t="s">
        <v>329</v>
      </c>
      <c r="C351" s="28">
        <v>483.85</v>
      </c>
      <c r="D351" s="28">
        <v>483.97</v>
      </c>
      <c r="E351" s="28">
        <v>483.91</v>
      </c>
      <c r="F351" s="28">
        <v>483.91</v>
      </c>
      <c r="G351" s="29">
        <v>17902.1664748943</v>
      </c>
      <c r="H351" s="29">
        <v>14680.709309473799</v>
      </c>
      <c r="I351" s="27">
        <f t="shared" si="13"/>
        <v>1</v>
      </c>
      <c r="J351" s="27">
        <f t="shared" si="14"/>
        <v>1</v>
      </c>
      <c r="K351" s="27">
        <f t="shared" si="12"/>
        <v>1</v>
      </c>
      <c r="L351" s="25">
        <v>480.31996699999996</v>
      </c>
      <c r="M351" s="25">
        <v>483.36869118081478</v>
      </c>
      <c r="N351" s="38">
        <v>0.4906678028102629</v>
      </c>
      <c r="O351" s="38">
        <v>-9.6631461668772456</v>
      </c>
      <c r="P351" s="71">
        <v>-11.625817378118297</v>
      </c>
      <c r="Q351" s="53">
        <v>44145</v>
      </c>
      <c r="R351" s="23">
        <v>9</v>
      </c>
      <c r="S351" s="24">
        <v>480.31996699999996</v>
      </c>
      <c r="T351" s="24">
        <v>483.36869118081478</v>
      </c>
      <c r="U351" s="20">
        <v>0.4906678028102629</v>
      </c>
      <c r="V351" s="20">
        <v>-9.6631461668772456</v>
      </c>
      <c r="W351" s="20">
        <v>-11.625817378118297</v>
      </c>
      <c r="X351" s="22" t="s">
        <v>17</v>
      </c>
      <c r="Y351" s="23"/>
      <c r="Z351" s="24" t="s">
        <v>17</v>
      </c>
      <c r="AA351" s="24" t="s">
        <v>17</v>
      </c>
      <c r="AB351" s="20" t="s">
        <v>17</v>
      </c>
      <c r="AC351" s="20" t="s">
        <v>17</v>
      </c>
      <c r="AD351" s="20" t="s">
        <v>17</v>
      </c>
      <c r="AE351" s="22" t="s">
        <v>17</v>
      </c>
      <c r="AF351" s="23"/>
      <c r="AG351" s="24" t="s">
        <v>17</v>
      </c>
      <c r="AH351" s="24" t="s">
        <v>17</v>
      </c>
      <c r="AI351" s="20" t="s">
        <v>17</v>
      </c>
      <c r="AJ351" s="20" t="s">
        <v>17</v>
      </c>
      <c r="AK351" s="20" t="s">
        <v>17</v>
      </c>
      <c r="AL351" s="22" t="s">
        <v>17</v>
      </c>
      <c r="AM351" s="23" t="s">
        <v>17</v>
      </c>
      <c r="AN351" s="24" t="s">
        <v>17</v>
      </c>
      <c r="AO351" s="24" t="s">
        <v>17</v>
      </c>
      <c r="AP351" s="20" t="s">
        <v>17</v>
      </c>
      <c r="AQ351" s="20" t="s">
        <v>17</v>
      </c>
      <c r="AR351" s="20" t="s">
        <v>17</v>
      </c>
      <c r="AS351" s="21"/>
      <c r="AT351" s="20"/>
      <c r="AU351" s="4"/>
      <c r="AV351" s="20"/>
      <c r="AW351" s="20" t="s">
        <v>17</v>
      </c>
      <c r="AX351" s="20" t="s">
        <v>17</v>
      </c>
      <c r="AY351" s="20" t="s">
        <v>17</v>
      </c>
      <c r="AZ351" s="5"/>
      <c r="BA351" s="6"/>
      <c r="BB351" s="4"/>
      <c r="BC351" s="6"/>
      <c r="BD351" s="6"/>
      <c r="BE351" s="6"/>
      <c r="BF351" s="7"/>
    </row>
    <row r="352" spans="1:58" ht="18" customHeight="1">
      <c r="A352" s="106" t="s">
        <v>15</v>
      </c>
      <c r="B352" s="93" t="s">
        <v>330</v>
      </c>
      <c r="C352" s="28">
        <v>485.68</v>
      </c>
      <c r="D352" s="28">
        <v>485.8</v>
      </c>
      <c r="E352" s="28">
        <v>485.74</v>
      </c>
      <c r="F352" s="28">
        <v>485.74</v>
      </c>
      <c r="G352" s="29">
        <v>18025.103024692598</v>
      </c>
      <c r="H352" s="29">
        <v>14768.6666843654</v>
      </c>
      <c r="I352" s="27">
        <f t="shared" si="13"/>
        <v>1</v>
      </c>
      <c r="J352" s="27">
        <f t="shared" si="14"/>
        <v>1</v>
      </c>
      <c r="K352" s="27">
        <f t="shared" si="12"/>
        <v>1</v>
      </c>
      <c r="L352" s="25">
        <v>480.71591550000005</v>
      </c>
      <c r="M352" s="25">
        <v>483.73852826215165</v>
      </c>
      <c r="N352" s="38">
        <v>0.48666655016060822</v>
      </c>
      <c r="O352" s="38">
        <v>-8.4615086663326622</v>
      </c>
      <c r="P352" s="71">
        <v>-10.408174866975095</v>
      </c>
      <c r="Q352" s="53">
        <v>43881</v>
      </c>
      <c r="R352" s="23">
        <v>9</v>
      </c>
      <c r="S352" s="24">
        <v>480.71591550000005</v>
      </c>
      <c r="T352" s="24">
        <v>483.73852826215165</v>
      </c>
      <c r="U352" s="20">
        <v>0.48666655016060822</v>
      </c>
      <c r="V352" s="20">
        <v>-8.4615086663326622</v>
      </c>
      <c r="W352" s="20">
        <v>-10.408174866975095</v>
      </c>
      <c r="X352" s="22" t="s">
        <v>17</v>
      </c>
      <c r="Y352" s="23"/>
      <c r="Z352" s="24" t="s">
        <v>17</v>
      </c>
      <c r="AA352" s="24" t="s">
        <v>17</v>
      </c>
      <c r="AB352" s="20" t="s">
        <v>17</v>
      </c>
      <c r="AC352" s="20" t="s">
        <v>17</v>
      </c>
      <c r="AD352" s="20" t="s">
        <v>17</v>
      </c>
      <c r="AE352" s="22" t="s">
        <v>17</v>
      </c>
      <c r="AF352" s="23"/>
      <c r="AG352" s="24" t="s">
        <v>17</v>
      </c>
      <c r="AH352" s="24" t="s">
        <v>17</v>
      </c>
      <c r="AI352" s="20" t="s">
        <v>17</v>
      </c>
      <c r="AJ352" s="20" t="s">
        <v>17</v>
      </c>
      <c r="AK352" s="20" t="s">
        <v>17</v>
      </c>
      <c r="AL352" s="22" t="s">
        <v>17</v>
      </c>
      <c r="AM352" s="23" t="s">
        <v>17</v>
      </c>
      <c r="AN352" s="24" t="s">
        <v>17</v>
      </c>
      <c r="AO352" s="24" t="s">
        <v>17</v>
      </c>
      <c r="AP352" s="20" t="s">
        <v>17</v>
      </c>
      <c r="AQ352" s="20" t="s">
        <v>17</v>
      </c>
      <c r="AR352" s="20" t="s">
        <v>17</v>
      </c>
      <c r="AS352" s="21"/>
      <c r="AT352" s="20"/>
      <c r="AU352" s="4"/>
      <c r="AV352" s="20"/>
      <c r="AW352" s="20" t="s">
        <v>17</v>
      </c>
      <c r="AX352" s="20" t="s">
        <v>17</v>
      </c>
      <c r="AY352" s="20" t="s">
        <v>17</v>
      </c>
      <c r="AZ352" s="5"/>
      <c r="BA352" s="6"/>
      <c r="BB352" s="4"/>
      <c r="BC352" s="6"/>
      <c r="BD352" s="6"/>
      <c r="BE352" s="6"/>
      <c r="BF352" s="7"/>
    </row>
    <row r="353" spans="1:58" ht="18" customHeight="1">
      <c r="A353" s="106" t="s">
        <v>15</v>
      </c>
      <c r="B353" s="93" t="s">
        <v>331</v>
      </c>
      <c r="C353" s="28">
        <v>487.68</v>
      </c>
      <c r="D353" s="28">
        <v>487.8</v>
      </c>
      <c r="E353" s="28">
        <v>487.74</v>
      </c>
      <c r="F353" s="28">
        <v>487.74</v>
      </c>
      <c r="G353" s="29">
        <v>18166.380704541501</v>
      </c>
      <c r="H353" s="29">
        <v>14852.625793879601</v>
      </c>
      <c r="I353" s="27">
        <f t="shared" si="13"/>
        <v>1</v>
      </c>
      <c r="J353" s="27">
        <f t="shared" si="14"/>
        <v>1</v>
      </c>
      <c r="K353" s="27">
        <f t="shared" si="12"/>
        <v>1</v>
      </c>
      <c r="L353" s="25">
        <v>475.2899855</v>
      </c>
      <c r="M353" s="25">
        <v>478.3127304118521</v>
      </c>
      <c r="N353" s="38">
        <v>0.49224387562585292</v>
      </c>
      <c r="O353" s="38">
        <v>-8.0079040386584754</v>
      </c>
      <c r="P353" s="71">
        <v>-9.9768795411618871</v>
      </c>
      <c r="Q353" s="53">
        <v>44112</v>
      </c>
      <c r="R353" s="23">
        <v>9</v>
      </c>
      <c r="S353" s="24">
        <v>475.2899855</v>
      </c>
      <c r="T353" s="24">
        <v>478.3127304118521</v>
      </c>
      <c r="U353" s="20">
        <v>0.49224387562585292</v>
      </c>
      <c r="V353" s="20">
        <v>-8.0079040386584754</v>
      </c>
      <c r="W353" s="20">
        <v>-9.9768795411618871</v>
      </c>
      <c r="X353" s="22" t="s">
        <v>17</v>
      </c>
      <c r="Y353" s="23"/>
      <c r="Z353" s="24" t="s">
        <v>17</v>
      </c>
      <c r="AA353" s="24" t="s">
        <v>17</v>
      </c>
      <c r="AB353" s="20" t="s">
        <v>17</v>
      </c>
      <c r="AC353" s="20" t="s">
        <v>17</v>
      </c>
      <c r="AD353" s="20" t="s">
        <v>17</v>
      </c>
      <c r="AE353" s="22" t="s">
        <v>17</v>
      </c>
      <c r="AF353" s="23"/>
      <c r="AG353" s="24" t="s">
        <v>17</v>
      </c>
      <c r="AH353" s="24" t="s">
        <v>17</v>
      </c>
      <c r="AI353" s="20" t="s">
        <v>17</v>
      </c>
      <c r="AJ353" s="20" t="s">
        <v>17</v>
      </c>
      <c r="AK353" s="20" t="s">
        <v>17</v>
      </c>
      <c r="AL353" s="22" t="s">
        <v>17</v>
      </c>
      <c r="AM353" s="23" t="s">
        <v>17</v>
      </c>
      <c r="AN353" s="24" t="s">
        <v>17</v>
      </c>
      <c r="AO353" s="24" t="s">
        <v>17</v>
      </c>
      <c r="AP353" s="20" t="s">
        <v>17</v>
      </c>
      <c r="AQ353" s="20" t="s">
        <v>17</v>
      </c>
      <c r="AR353" s="20" t="s">
        <v>17</v>
      </c>
      <c r="AS353" s="21"/>
      <c r="AT353" s="20"/>
      <c r="AU353" s="4"/>
      <c r="AV353" s="20"/>
      <c r="AW353" s="20" t="s">
        <v>17</v>
      </c>
      <c r="AX353" s="20" t="s">
        <v>17</v>
      </c>
      <c r="AY353" s="20" t="s">
        <v>17</v>
      </c>
      <c r="AZ353" s="5"/>
      <c r="BA353" s="6"/>
      <c r="BB353" s="4"/>
      <c r="BC353" s="6"/>
      <c r="BD353" s="6"/>
      <c r="BE353" s="6"/>
      <c r="BF353" s="7"/>
    </row>
    <row r="354" spans="1:58" ht="18" customHeight="1">
      <c r="A354" s="107" t="s">
        <v>15</v>
      </c>
      <c r="B354" s="111" t="s">
        <v>332</v>
      </c>
      <c r="C354" s="28">
        <v>489.73</v>
      </c>
      <c r="D354" s="28">
        <v>489.85</v>
      </c>
      <c r="E354" s="28">
        <v>489.79</v>
      </c>
      <c r="F354" s="28">
        <v>489.79</v>
      </c>
      <c r="G354" s="29">
        <v>18312.974099122701</v>
      </c>
      <c r="H354" s="29">
        <v>14936.881674664901</v>
      </c>
      <c r="I354" s="27">
        <f t="shared" si="13"/>
        <v>2</v>
      </c>
      <c r="J354" s="27">
        <f t="shared" si="14"/>
        <v>2</v>
      </c>
      <c r="K354" s="27">
        <f t="shared" si="12"/>
        <v>1</v>
      </c>
      <c r="L354" s="25">
        <v>470.176333</v>
      </c>
      <c r="M354" s="25">
        <v>473.12728254269734</v>
      </c>
      <c r="N354" s="38">
        <v>0.48576900605290518</v>
      </c>
      <c r="O354" s="38">
        <v>-8.5459633212459085</v>
      </c>
      <c r="P354" s="71">
        <v>-10.475536063483171</v>
      </c>
      <c r="Q354" s="53">
        <v>43916</v>
      </c>
      <c r="R354" s="23">
        <v>9</v>
      </c>
      <c r="S354" s="24">
        <v>468.82038399999999</v>
      </c>
      <c r="T354" s="24">
        <v>471.74231639972828</v>
      </c>
      <c r="U354" s="1">
        <v>0.48239318555931554</v>
      </c>
      <c r="V354" s="2">
        <v>-8.5459633212459085</v>
      </c>
      <c r="W354" s="2">
        <v>-10.475536063483171</v>
      </c>
      <c r="X354" s="22">
        <v>44102</v>
      </c>
      <c r="Y354" s="23" t="s">
        <v>88</v>
      </c>
      <c r="Z354" s="24">
        <v>471.53228200000001</v>
      </c>
      <c r="AA354" s="24">
        <v>474.51224868566635</v>
      </c>
      <c r="AB354" s="1">
        <v>0.48914482654649483</v>
      </c>
      <c r="AC354" s="2"/>
      <c r="AD354" s="2"/>
      <c r="AE354" s="22" t="s">
        <v>17</v>
      </c>
      <c r="AF354" s="23"/>
      <c r="AG354" s="24" t="s">
        <v>17</v>
      </c>
      <c r="AH354" s="24" t="s">
        <v>17</v>
      </c>
      <c r="AI354" s="1" t="s">
        <v>17</v>
      </c>
      <c r="AJ354" s="2" t="s">
        <v>17</v>
      </c>
      <c r="AK354" s="2" t="s">
        <v>17</v>
      </c>
      <c r="AL354" s="22" t="s">
        <v>17</v>
      </c>
      <c r="AM354" s="23" t="s">
        <v>17</v>
      </c>
      <c r="AN354" s="24" t="s">
        <v>17</v>
      </c>
      <c r="AO354" s="24" t="s">
        <v>17</v>
      </c>
      <c r="AP354" s="20" t="s">
        <v>17</v>
      </c>
      <c r="AQ354" s="20" t="s">
        <v>17</v>
      </c>
      <c r="AR354" s="20" t="s">
        <v>17</v>
      </c>
      <c r="AS354" s="3"/>
      <c r="AT354" s="2"/>
      <c r="AU354" s="4"/>
      <c r="AV354" s="2"/>
      <c r="AW354" s="1" t="s">
        <v>17</v>
      </c>
      <c r="AX354" s="2" t="s">
        <v>17</v>
      </c>
      <c r="AY354" s="2" t="s">
        <v>17</v>
      </c>
      <c r="AZ354" s="5"/>
      <c r="BA354" s="6"/>
      <c r="BB354" s="4"/>
      <c r="BC354" s="6"/>
      <c r="BD354" s="6"/>
      <c r="BE354" s="6"/>
      <c r="BF354" s="7"/>
    </row>
    <row r="355" spans="1:58" ht="18" customHeight="1">
      <c r="A355" s="106" t="s">
        <v>15</v>
      </c>
      <c r="B355" s="93" t="s">
        <v>333</v>
      </c>
      <c r="C355" s="28">
        <v>491.73</v>
      </c>
      <c r="D355" s="28">
        <v>491.85</v>
      </c>
      <c r="E355" s="28">
        <v>491.79</v>
      </c>
      <c r="F355" s="28">
        <v>491.79</v>
      </c>
      <c r="G355" s="29">
        <v>18451.247489204201</v>
      </c>
      <c r="H355" s="29">
        <v>15026.432839662801</v>
      </c>
      <c r="I355" s="27">
        <f t="shared" si="13"/>
        <v>2</v>
      </c>
      <c r="J355" s="27">
        <f t="shared" si="14"/>
        <v>4</v>
      </c>
      <c r="K355" s="27">
        <f t="shared" si="12"/>
        <v>2</v>
      </c>
      <c r="L355" s="25">
        <v>461.44407200000001</v>
      </c>
      <c r="M355" s="25">
        <v>464.36210049251542</v>
      </c>
      <c r="N355" s="38">
        <v>0.48858408646118567</v>
      </c>
      <c r="O355" s="38">
        <v>-8.4446634724940068</v>
      </c>
      <c r="P355" s="71">
        <v>-10.402459463101643</v>
      </c>
      <c r="Q355" s="53">
        <v>44061</v>
      </c>
      <c r="R355" s="23">
        <v>9</v>
      </c>
      <c r="S355" s="24">
        <v>461.22269300000005</v>
      </c>
      <c r="T355" s="24">
        <v>464.13232018341535</v>
      </c>
      <c r="U355" s="20">
        <v>0.48827463563161366</v>
      </c>
      <c r="V355" s="20">
        <v>-8.3847988440236563</v>
      </c>
      <c r="W355" s="20">
        <v>-10.337897386550111</v>
      </c>
      <c r="X355" s="22">
        <v>44061</v>
      </c>
      <c r="Y355" s="23">
        <v>9</v>
      </c>
      <c r="Z355" s="24">
        <v>461.66545099999996</v>
      </c>
      <c r="AA355" s="24">
        <v>464.59188080161545</v>
      </c>
      <c r="AB355" s="20">
        <v>0.49062335967220427</v>
      </c>
      <c r="AC355" s="20">
        <v>-8.5045281009643592</v>
      </c>
      <c r="AD355" s="20">
        <v>-10.467021539653176</v>
      </c>
      <c r="AE355" s="22">
        <v>44350</v>
      </c>
      <c r="AF355" s="23" t="s">
        <v>88</v>
      </c>
      <c r="AG355" s="24"/>
      <c r="AH355" s="24"/>
      <c r="AI355" s="1">
        <v>0.49062051781634253</v>
      </c>
      <c r="AJ355" s="2"/>
      <c r="AK355" s="2"/>
      <c r="AL355" s="22">
        <v>44350</v>
      </c>
      <c r="AM355" s="23" t="s">
        <v>832</v>
      </c>
      <c r="AN355" s="24"/>
      <c r="AO355" s="24"/>
      <c r="AP355" s="20">
        <v>0.48481783272458223</v>
      </c>
      <c r="AQ355" s="20"/>
      <c r="AR355" s="20"/>
      <c r="AS355" s="21"/>
      <c r="AT355" s="20"/>
      <c r="AU355" s="4"/>
      <c r="AV355" s="20"/>
      <c r="AW355" s="20" t="s">
        <v>17</v>
      </c>
      <c r="AX355" s="20" t="s">
        <v>17</v>
      </c>
      <c r="AY355" s="20" t="s">
        <v>17</v>
      </c>
      <c r="AZ355" s="5"/>
      <c r="BA355" s="6"/>
      <c r="BB355" s="4"/>
      <c r="BC355" s="6"/>
      <c r="BD355" s="6"/>
      <c r="BE355" s="6"/>
      <c r="BF355" s="7"/>
    </row>
    <row r="356" spans="1:58" ht="18" customHeight="1">
      <c r="A356" s="107" t="s">
        <v>15</v>
      </c>
      <c r="B356" s="93" t="s">
        <v>334</v>
      </c>
      <c r="C356" s="28">
        <v>493.85</v>
      </c>
      <c r="D356" s="28">
        <v>493.97</v>
      </c>
      <c r="E356" s="28">
        <v>493.91</v>
      </c>
      <c r="F356" s="28">
        <v>493.91</v>
      </c>
      <c r="G356" s="29">
        <v>18589.372177558998</v>
      </c>
      <c r="H356" s="29">
        <v>15131.1060193214</v>
      </c>
      <c r="I356" s="27">
        <f t="shared" si="13"/>
        <v>1</v>
      </c>
      <c r="J356" s="27">
        <f t="shared" si="14"/>
        <v>1</v>
      </c>
      <c r="K356" s="27">
        <f t="shared" si="12"/>
        <v>1</v>
      </c>
      <c r="L356" s="25">
        <v>467.8978535</v>
      </c>
      <c r="M356" s="25">
        <v>470.87635284207801</v>
      </c>
      <c r="N356" s="38">
        <v>0.49270156526759479</v>
      </c>
      <c r="O356" s="38">
        <v>-8.1052703349523405</v>
      </c>
      <c r="P356" s="71">
        <v>-10.07607659602272</v>
      </c>
      <c r="Q356" s="53">
        <v>43887</v>
      </c>
      <c r="R356" s="23">
        <v>9</v>
      </c>
      <c r="S356" s="24">
        <v>467.8978535</v>
      </c>
      <c r="T356" s="24">
        <v>470.87635284207801</v>
      </c>
      <c r="U356" s="20">
        <v>0.49270156526759479</v>
      </c>
      <c r="V356" s="20">
        <v>-8.1052703349523405</v>
      </c>
      <c r="W356" s="20">
        <v>-10.07607659602272</v>
      </c>
      <c r="X356" s="22" t="s">
        <v>17</v>
      </c>
      <c r="Y356" s="23"/>
      <c r="Z356" s="24" t="s">
        <v>17</v>
      </c>
      <c r="AA356" s="24" t="s">
        <v>17</v>
      </c>
      <c r="AB356" s="20" t="s">
        <v>17</v>
      </c>
      <c r="AC356" s="20" t="s">
        <v>17</v>
      </c>
      <c r="AD356" s="20" t="s">
        <v>17</v>
      </c>
      <c r="AE356" s="22" t="s">
        <v>17</v>
      </c>
      <c r="AF356" s="23"/>
      <c r="AG356" s="24" t="s">
        <v>17</v>
      </c>
      <c r="AH356" s="24" t="s">
        <v>17</v>
      </c>
      <c r="AI356" s="20" t="s">
        <v>17</v>
      </c>
      <c r="AJ356" s="20" t="s">
        <v>17</v>
      </c>
      <c r="AK356" s="20" t="s">
        <v>17</v>
      </c>
      <c r="AL356" s="22" t="s">
        <v>17</v>
      </c>
      <c r="AM356" s="23" t="s">
        <v>17</v>
      </c>
      <c r="AN356" s="24" t="s">
        <v>17</v>
      </c>
      <c r="AO356" s="24" t="s">
        <v>17</v>
      </c>
      <c r="AP356" s="20" t="s">
        <v>17</v>
      </c>
      <c r="AQ356" s="20" t="s">
        <v>17</v>
      </c>
      <c r="AR356" s="20" t="s">
        <v>17</v>
      </c>
      <c r="AS356" s="21"/>
      <c r="AT356" s="20"/>
      <c r="AU356" s="4"/>
      <c r="AV356" s="20"/>
      <c r="AW356" s="20" t="s">
        <v>17</v>
      </c>
      <c r="AX356" s="20" t="s">
        <v>17</v>
      </c>
      <c r="AY356" s="20" t="s">
        <v>17</v>
      </c>
      <c r="AZ356" s="5"/>
      <c r="BA356" s="6"/>
      <c r="BB356" s="4"/>
      <c r="BC356" s="6"/>
      <c r="BD356" s="6"/>
      <c r="BE356" s="6"/>
      <c r="BF356" s="7"/>
    </row>
    <row r="357" spans="1:58" ht="18" customHeight="1">
      <c r="A357" s="106" t="s">
        <v>15</v>
      </c>
      <c r="B357" s="93" t="s">
        <v>335</v>
      </c>
      <c r="C357" s="28">
        <v>496.69499999999999</v>
      </c>
      <c r="D357" s="28">
        <v>496.815</v>
      </c>
      <c r="E357" s="28">
        <v>496.755</v>
      </c>
      <c r="F357" s="28">
        <v>496.755</v>
      </c>
      <c r="G357" s="29">
        <v>18794.2104039242</v>
      </c>
      <c r="H357" s="29">
        <v>15269.8235911313</v>
      </c>
      <c r="I357" s="27">
        <f t="shared" si="13"/>
        <v>2</v>
      </c>
      <c r="J357" s="27">
        <f t="shared" si="14"/>
        <v>2</v>
      </c>
      <c r="K357" s="27">
        <f t="shared" si="12"/>
        <v>2</v>
      </c>
      <c r="L357" s="25">
        <v>465.194703</v>
      </c>
      <c r="M357" s="25">
        <v>468.17975298774752</v>
      </c>
      <c r="N357" s="38">
        <v>0.49664404702975951</v>
      </c>
      <c r="O357" s="38">
        <v>-9.4842433589671931</v>
      </c>
      <c r="P357" s="71">
        <v>-11.470819547086231</v>
      </c>
      <c r="Q357" s="53">
        <v>44105</v>
      </c>
      <c r="R357" s="23">
        <v>9</v>
      </c>
      <c r="S357" s="24">
        <v>463.91091949999998</v>
      </c>
      <c r="T357" s="24">
        <v>466.86506878329004</v>
      </c>
      <c r="U357" s="20">
        <v>0.49287334210301736</v>
      </c>
      <c r="V357" s="20">
        <v>-9.45364534279447</v>
      </c>
      <c r="W357" s="20">
        <v>-11.425138711206539</v>
      </c>
      <c r="X357" s="22">
        <v>44105</v>
      </c>
      <c r="Y357" s="23">
        <v>9</v>
      </c>
      <c r="Z357" s="24">
        <v>466.47848650000003</v>
      </c>
      <c r="AA357" s="24">
        <v>469.49443719220505</v>
      </c>
      <c r="AB357" s="20">
        <v>0.50041475195650165</v>
      </c>
      <c r="AC357" s="20">
        <v>-9.5148413751399161</v>
      </c>
      <c r="AD357" s="20">
        <v>-11.516500382965923</v>
      </c>
      <c r="AE357" s="22" t="s">
        <v>17</v>
      </c>
      <c r="AF357" s="23"/>
      <c r="AG357" s="24" t="s">
        <v>17</v>
      </c>
      <c r="AH357" s="24" t="s">
        <v>17</v>
      </c>
      <c r="AI357" s="20" t="s">
        <v>17</v>
      </c>
      <c r="AJ357" s="20" t="s">
        <v>17</v>
      </c>
      <c r="AK357" s="20" t="s">
        <v>17</v>
      </c>
      <c r="AL357" s="22" t="s">
        <v>17</v>
      </c>
      <c r="AM357" s="23" t="s">
        <v>17</v>
      </c>
      <c r="AN357" s="24" t="s">
        <v>17</v>
      </c>
      <c r="AO357" s="24" t="s">
        <v>17</v>
      </c>
      <c r="AP357" s="20" t="s">
        <v>17</v>
      </c>
      <c r="AQ357" s="20" t="s">
        <v>17</v>
      </c>
      <c r="AR357" s="20" t="s">
        <v>17</v>
      </c>
      <c r="AS357" s="21"/>
      <c r="AT357" s="20"/>
      <c r="AU357" s="4"/>
      <c r="AV357" s="20"/>
      <c r="AW357" s="20" t="s">
        <v>17</v>
      </c>
      <c r="AX357" s="20" t="s">
        <v>17</v>
      </c>
      <c r="AY357" s="20" t="s">
        <v>17</v>
      </c>
      <c r="AZ357" s="5"/>
      <c r="BA357" s="6"/>
      <c r="BB357" s="4"/>
      <c r="BC357" s="6"/>
      <c r="BD357" s="6"/>
      <c r="BE357" s="6"/>
      <c r="BF357" s="7"/>
    </row>
    <row r="358" spans="1:58" ht="18" customHeight="1">
      <c r="A358" s="107" t="s">
        <v>15</v>
      </c>
      <c r="B358" s="93" t="s">
        <v>336</v>
      </c>
      <c r="C358" s="28">
        <v>498.73</v>
      </c>
      <c r="D358" s="28">
        <v>498.85</v>
      </c>
      <c r="E358" s="28">
        <v>498.79</v>
      </c>
      <c r="F358" s="28">
        <v>498.79</v>
      </c>
      <c r="G358" s="29">
        <v>18940.497812642701</v>
      </c>
      <c r="H358" s="29">
        <v>15368.860865513299</v>
      </c>
      <c r="I358" s="27">
        <f t="shared" si="13"/>
        <v>1</v>
      </c>
      <c r="J358" s="27">
        <f t="shared" si="14"/>
        <v>1</v>
      </c>
      <c r="K358" s="27">
        <f t="shared" si="12"/>
        <v>1</v>
      </c>
      <c r="L358" s="25">
        <v>461.9186565</v>
      </c>
      <c r="M358" s="25">
        <v>464.85396883110934</v>
      </c>
      <c r="N358" s="38">
        <v>0.49184278162406336</v>
      </c>
      <c r="O358" s="38">
        <v>-8.5176938562048221</v>
      </c>
      <c r="P358" s="71">
        <v>-10.485064982701076</v>
      </c>
      <c r="Q358" s="53">
        <v>43899</v>
      </c>
      <c r="R358" s="23">
        <v>9</v>
      </c>
      <c r="S358" s="24">
        <v>461.9186565</v>
      </c>
      <c r="T358" s="24">
        <v>464.85396883110934</v>
      </c>
      <c r="U358" s="20">
        <v>0.49184278162406336</v>
      </c>
      <c r="V358" s="20">
        <v>-8.5176938562048221</v>
      </c>
      <c r="W358" s="20">
        <v>-10.485064982701076</v>
      </c>
      <c r="X358" s="22" t="s">
        <v>17</v>
      </c>
      <c r="Y358" s="23"/>
      <c r="Z358" s="24" t="s">
        <v>17</v>
      </c>
      <c r="AA358" s="24" t="s">
        <v>17</v>
      </c>
      <c r="AB358" s="20" t="s">
        <v>17</v>
      </c>
      <c r="AC358" s="20" t="s">
        <v>17</v>
      </c>
      <c r="AD358" s="20" t="s">
        <v>17</v>
      </c>
      <c r="AE358" s="22" t="s">
        <v>17</v>
      </c>
      <c r="AF358" s="23"/>
      <c r="AG358" s="24" t="s">
        <v>17</v>
      </c>
      <c r="AH358" s="24" t="s">
        <v>17</v>
      </c>
      <c r="AI358" s="20" t="s">
        <v>17</v>
      </c>
      <c r="AJ358" s="20" t="s">
        <v>17</v>
      </c>
      <c r="AK358" s="20" t="s">
        <v>17</v>
      </c>
      <c r="AL358" s="22" t="s">
        <v>17</v>
      </c>
      <c r="AM358" s="23" t="s">
        <v>17</v>
      </c>
      <c r="AN358" s="24" t="s">
        <v>17</v>
      </c>
      <c r="AO358" s="24" t="s">
        <v>17</v>
      </c>
      <c r="AP358" s="20" t="s">
        <v>17</v>
      </c>
      <c r="AQ358" s="20" t="s">
        <v>17</v>
      </c>
      <c r="AR358" s="20" t="s">
        <v>17</v>
      </c>
      <c r="AS358" s="21"/>
      <c r="AT358" s="20"/>
      <c r="AU358" s="4"/>
      <c r="AV358" s="20"/>
      <c r="AW358" s="20" t="s">
        <v>17</v>
      </c>
      <c r="AX358" s="20" t="s">
        <v>17</v>
      </c>
      <c r="AY358" s="20" t="s">
        <v>17</v>
      </c>
      <c r="AZ358" s="5"/>
      <c r="BA358" s="6"/>
      <c r="BB358" s="4"/>
      <c r="BC358" s="6"/>
      <c r="BD358" s="6"/>
      <c r="BE358" s="6"/>
      <c r="BF358" s="7"/>
    </row>
    <row r="359" spans="1:58" ht="18" customHeight="1">
      <c r="A359" s="106" t="s">
        <v>15</v>
      </c>
      <c r="B359" s="93" t="s">
        <v>337</v>
      </c>
      <c r="C359" s="28">
        <v>500.85</v>
      </c>
      <c r="D359" s="28">
        <v>500.97</v>
      </c>
      <c r="E359" s="28">
        <v>500.91</v>
      </c>
      <c r="F359" s="28">
        <v>500.91</v>
      </c>
      <c r="G359" s="29">
        <v>19089.815718036902</v>
      </c>
      <c r="H359" s="29">
        <v>15477.804004411801</v>
      </c>
      <c r="I359" s="27">
        <f t="shared" si="13"/>
        <v>1</v>
      </c>
      <c r="J359" s="27">
        <f t="shared" si="14"/>
        <v>1</v>
      </c>
      <c r="K359" s="27">
        <f t="shared" ref="K359:K422" si="15">COUNT(V359,AC359,AJ359,AQ359,AX359,BF359)</f>
        <v>1</v>
      </c>
      <c r="L359" s="25">
        <v>455.08939049999998</v>
      </c>
      <c r="M359" s="25">
        <v>457.98547228164227</v>
      </c>
      <c r="N359" s="38">
        <v>0.49255144448290267</v>
      </c>
      <c r="O359" s="38">
        <v>-7.0936789066774475</v>
      </c>
      <c r="P359" s="71">
        <v>-9.0638846846090573</v>
      </c>
      <c r="Q359" s="53">
        <v>43762</v>
      </c>
      <c r="R359" s="23">
        <v>9</v>
      </c>
      <c r="S359" s="24">
        <v>455.08939049999998</v>
      </c>
      <c r="T359" s="24">
        <v>457.98547228164227</v>
      </c>
      <c r="U359" s="20">
        <v>0.49255144448290267</v>
      </c>
      <c r="V359" s="20">
        <v>-7.0936789066774475</v>
      </c>
      <c r="W359" s="20">
        <v>-9.0638846846090573</v>
      </c>
      <c r="X359" s="22" t="s">
        <v>17</v>
      </c>
      <c r="Y359" s="23"/>
      <c r="Z359" s="24" t="s">
        <v>17</v>
      </c>
      <c r="AA359" s="24" t="s">
        <v>17</v>
      </c>
      <c r="AB359" s="20" t="s">
        <v>17</v>
      </c>
      <c r="AC359" s="20" t="s">
        <v>17</v>
      </c>
      <c r="AD359" s="20" t="s">
        <v>17</v>
      </c>
      <c r="AE359" s="22" t="s">
        <v>17</v>
      </c>
      <c r="AF359" s="23"/>
      <c r="AG359" s="24" t="s">
        <v>17</v>
      </c>
      <c r="AH359" s="24" t="s">
        <v>17</v>
      </c>
      <c r="AI359" s="20" t="s">
        <v>17</v>
      </c>
      <c r="AJ359" s="20" t="s">
        <v>17</v>
      </c>
      <c r="AK359" s="20" t="s">
        <v>17</v>
      </c>
      <c r="AL359" s="22" t="s">
        <v>17</v>
      </c>
      <c r="AM359" s="23" t="s">
        <v>17</v>
      </c>
      <c r="AN359" s="24" t="s">
        <v>17</v>
      </c>
      <c r="AO359" s="24" t="s">
        <v>17</v>
      </c>
      <c r="AP359" s="20" t="s">
        <v>17</v>
      </c>
      <c r="AQ359" s="20" t="s">
        <v>17</v>
      </c>
      <c r="AR359" s="20" t="s">
        <v>17</v>
      </c>
      <c r="AS359" s="21"/>
      <c r="AT359" s="20"/>
      <c r="AU359" s="4"/>
      <c r="AV359" s="20"/>
      <c r="AW359" s="20" t="s">
        <v>17</v>
      </c>
      <c r="AX359" s="20" t="s">
        <v>17</v>
      </c>
      <c r="AY359" s="20" t="s">
        <v>17</v>
      </c>
      <c r="AZ359" s="5"/>
      <c r="BA359" s="6"/>
      <c r="BB359" s="4"/>
      <c r="BC359" s="6"/>
      <c r="BD359" s="6"/>
      <c r="BE359" s="6"/>
      <c r="BF359" s="7"/>
    </row>
    <row r="360" spans="1:58" ht="18" customHeight="1">
      <c r="A360" s="106" t="s">
        <v>15</v>
      </c>
      <c r="B360" s="93" t="s">
        <v>338</v>
      </c>
      <c r="C360" s="28">
        <v>502.23</v>
      </c>
      <c r="D360" s="28">
        <v>502.35</v>
      </c>
      <c r="E360" s="28">
        <v>502.29</v>
      </c>
      <c r="F360" s="28">
        <v>502.29</v>
      </c>
      <c r="G360" s="29">
        <v>19189.304292858</v>
      </c>
      <c r="H360" s="29">
        <v>15553.798823516399</v>
      </c>
      <c r="I360" s="27">
        <f t="shared" ref="I360:I423" si="16">COUNT(T360,AA360,AH360,AO360,AV360,BC360)</f>
        <v>1</v>
      </c>
      <c r="J360" s="27">
        <f t="shared" ref="J360:J423" si="17">COUNT(U360,AB360,AI360,AP360,AW360,BD360)</f>
        <v>1</v>
      </c>
      <c r="K360" s="27">
        <f t="shared" si="15"/>
        <v>1</v>
      </c>
      <c r="L360" s="25">
        <v>451.50701600000002</v>
      </c>
      <c r="M360" s="25">
        <v>454.44160068173352</v>
      </c>
      <c r="N360" s="38">
        <v>0.50245225543110728</v>
      </c>
      <c r="O360" s="38">
        <v>-8.388872235639667</v>
      </c>
      <c r="P360" s="71">
        <v>-10.398681257364096</v>
      </c>
      <c r="Q360" s="53">
        <v>44131</v>
      </c>
      <c r="R360" s="23">
        <v>9</v>
      </c>
      <c r="S360" s="24">
        <v>451.50701600000002</v>
      </c>
      <c r="T360" s="24">
        <v>454.44160068173352</v>
      </c>
      <c r="U360" s="20">
        <v>0.50245225543110728</v>
      </c>
      <c r="V360" s="20">
        <v>-8.388872235639667</v>
      </c>
      <c r="W360" s="20">
        <v>-10.398681257364096</v>
      </c>
      <c r="X360" s="22" t="s">
        <v>17</v>
      </c>
      <c r="Y360" s="23"/>
      <c r="Z360" s="24" t="s">
        <v>17</v>
      </c>
      <c r="AA360" s="24" t="s">
        <v>17</v>
      </c>
      <c r="AB360" s="20" t="s">
        <v>17</v>
      </c>
      <c r="AC360" s="20" t="s">
        <v>17</v>
      </c>
      <c r="AD360" s="20" t="s">
        <v>17</v>
      </c>
      <c r="AE360" s="22" t="s">
        <v>17</v>
      </c>
      <c r="AF360" s="23"/>
      <c r="AG360" s="24" t="s">
        <v>17</v>
      </c>
      <c r="AH360" s="24" t="s">
        <v>17</v>
      </c>
      <c r="AI360" s="20" t="s">
        <v>17</v>
      </c>
      <c r="AJ360" s="20" t="s">
        <v>17</v>
      </c>
      <c r="AK360" s="20" t="s">
        <v>17</v>
      </c>
      <c r="AL360" s="22" t="s">
        <v>17</v>
      </c>
      <c r="AM360" s="23" t="s">
        <v>17</v>
      </c>
      <c r="AN360" s="24" t="s">
        <v>17</v>
      </c>
      <c r="AO360" s="24" t="s">
        <v>17</v>
      </c>
      <c r="AP360" s="20" t="s">
        <v>17</v>
      </c>
      <c r="AQ360" s="20" t="s">
        <v>17</v>
      </c>
      <c r="AR360" s="20" t="s">
        <v>17</v>
      </c>
      <c r="AS360" s="21"/>
      <c r="AT360" s="20"/>
      <c r="AU360" s="4"/>
      <c r="AV360" s="20"/>
      <c r="AW360" s="20" t="s">
        <v>17</v>
      </c>
      <c r="AX360" s="20" t="s">
        <v>17</v>
      </c>
      <c r="AY360" s="20" t="s">
        <v>17</v>
      </c>
      <c r="AZ360" s="5"/>
      <c r="BA360" s="6"/>
      <c r="BB360" s="4"/>
      <c r="BC360" s="6"/>
      <c r="BD360" s="6"/>
      <c r="BE360" s="6"/>
      <c r="BF360" s="7"/>
    </row>
    <row r="361" spans="1:58" ht="18" customHeight="1">
      <c r="A361" s="106" t="s">
        <v>15</v>
      </c>
      <c r="B361" s="93" t="s">
        <v>339</v>
      </c>
      <c r="C361" s="28">
        <v>504.23</v>
      </c>
      <c r="D361" s="28">
        <v>504.35</v>
      </c>
      <c r="E361" s="28">
        <v>504.29</v>
      </c>
      <c r="F361" s="28">
        <v>504.29</v>
      </c>
      <c r="G361" s="29">
        <v>19350.633100676001</v>
      </c>
      <c r="H361" s="29">
        <v>15655.1199618755</v>
      </c>
      <c r="I361" s="27">
        <f t="shared" si="16"/>
        <v>1</v>
      </c>
      <c r="J361" s="27">
        <f t="shared" si="17"/>
        <v>1</v>
      </c>
      <c r="K361" s="27">
        <f t="shared" si="15"/>
        <v>1</v>
      </c>
      <c r="L361" s="25">
        <v>450.18636449999997</v>
      </c>
      <c r="M361" s="25">
        <v>453.11839207501004</v>
      </c>
      <c r="N361" s="38">
        <v>0.50409594049094508</v>
      </c>
      <c r="O361" s="38">
        <v>-9.7896114493224431</v>
      </c>
      <c r="P361" s="71">
        <v>-11.805995211286223</v>
      </c>
      <c r="Q361" s="53">
        <v>44025</v>
      </c>
      <c r="R361" s="23">
        <v>10</v>
      </c>
      <c r="S361" s="24">
        <v>450.18636449999997</v>
      </c>
      <c r="T361" s="24">
        <v>453.11839207501004</v>
      </c>
      <c r="U361" s="20">
        <v>0.50409594049094508</v>
      </c>
      <c r="V361" s="20">
        <v>-9.7896114493224431</v>
      </c>
      <c r="W361" s="20">
        <v>-11.805995211286223</v>
      </c>
      <c r="X361" s="22" t="s">
        <v>17</v>
      </c>
      <c r="Y361" s="23"/>
      <c r="Z361" s="24" t="s">
        <v>17</v>
      </c>
      <c r="AA361" s="24" t="s">
        <v>17</v>
      </c>
      <c r="AB361" s="20" t="s">
        <v>17</v>
      </c>
      <c r="AC361" s="20" t="s">
        <v>17</v>
      </c>
      <c r="AD361" s="20" t="s">
        <v>17</v>
      </c>
      <c r="AE361" s="22" t="s">
        <v>17</v>
      </c>
      <c r="AF361" s="23"/>
      <c r="AG361" s="24" t="s">
        <v>17</v>
      </c>
      <c r="AH361" s="24" t="s">
        <v>17</v>
      </c>
      <c r="AI361" s="20" t="s">
        <v>17</v>
      </c>
      <c r="AJ361" s="20" t="s">
        <v>17</v>
      </c>
      <c r="AK361" s="20" t="s">
        <v>17</v>
      </c>
      <c r="AL361" s="22" t="s">
        <v>17</v>
      </c>
      <c r="AM361" s="23" t="s">
        <v>17</v>
      </c>
      <c r="AN361" s="24" t="s">
        <v>17</v>
      </c>
      <c r="AO361" s="24" t="s">
        <v>17</v>
      </c>
      <c r="AP361" s="20" t="s">
        <v>17</v>
      </c>
      <c r="AQ361" s="20" t="s">
        <v>17</v>
      </c>
      <c r="AR361" s="20" t="s">
        <v>17</v>
      </c>
      <c r="AS361" s="21"/>
      <c r="AT361" s="20"/>
      <c r="AU361" s="4"/>
      <c r="AV361" s="20"/>
      <c r="AW361" s="20" t="s">
        <v>17</v>
      </c>
      <c r="AX361" s="20" t="s">
        <v>17</v>
      </c>
      <c r="AY361" s="20" t="s">
        <v>17</v>
      </c>
      <c r="AZ361" s="5"/>
      <c r="BA361" s="6"/>
      <c r="BB361" s="4"/>
      <c r="BC361" s="6"/>
      <c r="BD361" s="6"/>
      <c r="BE361" s="6"/>
      <c r="BF361" s="7"/>
    </row>
    <row r="362" spans="1:58" ht="18" customHeight="1">
      <c r="A362" s="106" t="s">
        <v>15</v>
      </c>
      <c r="B362" s="93" t="s">
        <v>340</v>
      </c>
      <c r="C362" s="28">
        <v>505.85</v>
      </c>
      <c r="D362" s="28">
        <v>505.97</v>
      </c>
      <c r="E362" s="28">
        <v>505.91</v>
      </c>
      <c r="F362" s="28">
        <v>505.91</v>
      </c>
      <c r="G362" s="29">
        <v>19479.5089955326</v>
      </c>
      <c r="H362" s="29">
        <v>15739.654021034199</v>
      </c>
      <c r="I362" s="27">
        <f t="shared" si="16"/>
        <v>1</v>
      </c>
      <c r="J362" s="27">
        <f t="shared" si="17"/>
        <v>1</v>
      </c>
      <c r="K362" s="27">
        <f t="shared" si="15"/>
        <v>1</v>
      </c>
      <c r="L362" s="25">
        <v>451.12854700000003</v>
      </c>
      <c r="M362" s="25">
        <v>453.98345524193047</v>
      </c>
      <c r="N362" s="38">
        <v>0.48981189873664732</v>
      </c>
      <c r="O362" s="38">
        <v>-8.8468923013402812</v>
      </c>
      <c r="P362" s="71">
        <v>-10.80613989628687</v>
      </c>
      <c r="Q362" s="53">
        <v>43881</v>
      </c>
      <c r="R362" s="23">
        <v>9</v>
      </c>
      <c r="S362" s="24">
        <v>451.12854700000003</v>
      </c>
      <c r="T362" s="24">
        <v>453.98345524193047</v>
      </c>
      <c r="U362" s="20">
        <v>0.48981189873664732</v>
      </c>
      <c r="V362" s="20">
        <v>-8.8468923013402812</v>
      </c>
      <c r="W362" s="20">
        <v>-10.80613989628687</v>
      </c>
      <c r="X362" s="22" t="s">
        <v>17</v>
      </c>
      <c r="Y362" s="23"/>
      <c r="Z362" s="24" t="s">
        <v>17</v>
      </c>
      <c r="AA362" s="24" t="s">
        <v>17</v>
      </c>
      <c r="AB362" s="20" t="s">
        <v>17</v>
      </c>
      <c r="AC362" s="20" t="s">
        <v>17</v>
      </c>
      <c r="AD362" s="20" t="s">
        <v>17</v>
      </c>
      <c r="AE362" s="22" t="s">
        <v>17</v>
      </c>
      <c r="AF362" s="23"/>
      <c r="AG362" s="24" t="s">
        <v>17</v>
      </c>
      <c r="AH362" s="24" t="s">
        <v>17</v>
      </c>
      <c r="AI362" s="20" t="s">
        <v>17</v>
      </c>
      <c r="AJ362" s="20" t="s">
        <v>17</v>
      </c>
      <c r="AK362" s="20" t="s">
        <v>17</v>
      </c>
      <c r="AL362" s="22" t="s">
        <v>17</v>
      </c>
      <c r="AM362" s="23" t="s">
        <v>17</v>
      </c>
      <c r="AN362" s="24" t="s">
        <v>17</v>
      </c>
      <c r="AO362" s="24" t="s">
        <v>17</v>
      </c>
      <c r="AP362" s="20" t="s">
        <v>17</v>
      </c>
      <c r="AQ362" s="20" t="s">
        <v>17</v>
      </c>
      <c r="AR362" s="20" t="s">
        <v>17</v>
      </c>
      <c r="AS362" s="21"/>
      <c r="AT362" s="20"/>
      <c r="AU362" s="4"/>
      <c r="AV362" s="20"/>
      <c r="AW362" s="20" t="s">
        <v>17</v>
      </c>
      <c r="AX362" s="20" t="s">
        <v>17</v>
      </c>
      <c r="AY362" s="20" t="s">
        <v>17</v>
      </c>
      <c r="AZ362" s="5"/>
      <c r="BA362" s="6"/>
      <c r="BB362" s="4"/>
      <c r="BC362" s="6"/>
      <c r="BD362" s="6"/>
      <c r="BE362" s="6"/>
      <c r="BF362" s="7"/>
    </row>
    <row r="363" spans="1:58" ht="18" customHeight="1">
      <c r="A363" s="106" t="s">
        <v>15</v>
      </c>
      <c r="B363" s="93" t="s">
        <v>341</v>
      </c>
      <c r="C363" s="28">
        <v>507.71</v>
      </c>
      <c r="D363" s="28">
        <v>507.83</v>
      </c>
      <c r="E363" s="28">
        <v>507.77</v>
      </c>
      <c r="F363" s="28">
        <v>507.77</v>
      </c>
      <c r="G363" s="29">
        <v>19631.465944506101</v>
      </c>
      <c r="H363" s="29">
        <v>15836.960771</v>
      </c>
      <c r="I363" s="27">
        <f t="shared" si="16"/>
        <v>1</v>
      </c>
      <c r="J363" s="27">
        <f t="shared" si="17"/>
        <v>1</v>
      </c>
      <c r="K363" s="27">
        <f t="shared" si="15"/>
        <v>1</v>
      </c>
      <c r="L363" s="25">
        <v>451.83164199999999</v>
      </c>
      <c r="M363" s="25">
        <v>454.7529275231222</v>
      </c>
      <c r="N363" s="38">
        <v>0.50042022210594617</v>
      </c>
      <c r="O363" s="38">
        <v>-9.1895502415239037</v>
      </c>
      <c r="P363" s="71">
        <v>-11.191231129947688</v>
      </c>
      <c r="Q363" s="53">
        <v>43766</v>
      </c>
      <c r="R363" s="23">
        <v>9</v>
      </c>
      <c r="S363" s="24">
        <v>451.83164199999999</v>
      </c>
      <c r="T363" s="24">
        <v>454.7529275231222</v>
      </c>
      <c r="U363" s="20">
        <v>0.50042022210594617</v>
      </c>
      <c r="V363" s="20">
        <v>-9.1895502415239037</v>
      </c>
      <c r="W363" s="20">
        <v>-11.191231129947688</v>
      </c>
      <c r="X363" s="22" t="s">
        <v>17</v>
      </c>
      <c r="Y363" s="23"/>
      <c r="Z363" s="24" t="s">
        <v>17</v>
      </c>
      <c r="AA363" s="24" t="s">
        <v>17</v>
      </c>
      <c r="AB363" s="20" t="s">
        <v>17</v>
      </c>
      <c r="AC363" s="20" t="s">
        <v>17</v>
      </c>
      <c r="AD363" s="20" t="s">
        <v>17</v>
      </c>
      <c r="AE363" s="22" t="s">
        <v>17</v>
      </c>
      <c r="AF363" s="23"/>
      <c r="AG363" s="24" t="s">
        <v>17</v>
      </c>
      <c r="AH363" s="24" t="s">
        <v>17</v>
      </c>
      <c r="AI363" s="20" t="s">
        <v>17</v>
      </c>
      <c r="AJ363" s="20" t="s">
        <v>17</v>
      </c>
      <c r="AK363" s="20" t="s">
        <v>17</v>
      </c>
      <c r="AL363" s="22" t="s">
        <v>17</v>
      </c>
      <c r="AM363" s="23" t="s">
        <v>17</v>
      </c>
      <c r="AN363" s="24" t="s">
        <v>17</v>
      </c>
      <c r="AO363" s="24" t="s">
        <v>17</v>
      </c>
      <c r="AP363" s="20" t="s">
        <v>17</v>
      </c>
      <c r="AQ363" s="20" t="s">
        <v>17</v>
      </c>
      <c r="AR363" s="20" t="s">
        <v>17</v>
      </c>
      <c r="AS363" s="21"/>
      <c r="AT363" s="20"/>
      <c r="AU363" s="4"/>
      <c r="AV363" s="20"/>
      <c r="AW363" s="20" t="s">
        <v>17</v>
      </c>
      <c r="AX363" s="20" t="s">
        <v>17</v>
      </c>
      <c r="AY363" s="20" t="s">
        <v>17</v>
      </c>
      <c r="AZ363" s="5"/>
      <c r="BA363" s="6"/>
      <c r="BB363" s="4"/>
      <c r="BC363" s="6"/>
      <c r="BD363" s="6"/>
      <c r="BE363" s="6"/>
      <c r="BF363" s="7"/>
    </row>
    <row r="364" spans="1:58" ht="18" customHeight="1">
      <c r="A364" s="106" t="s">
        <v>15</v>
      </c>
      <c r="B364" s="93" t="s">
        <v>342</v>
      </c>
      <c r="C364" s="28">
        <v>509.33</v>
      </c>
      <c r="D364" s="28">
        <v>509.45</v>
      </c>
      <c r="E364" s="28">
        <v>509.39</v>
      </c>
      <c r="F364" s="28">
        <v>509.39</v>
      </c>
      <c r="G364" s="29">
        <v>19764.456607525899</v>
      </c>
      <c r="H364" s="29">
        <v>15921.116201880801</v>
      </c>
      <c r="I364" s="27">
        <f t="shared" si="16"/>
        <v>2</v>
      </c>
      <c r="J364" s="27">
        <f t="shared" si="17"/>
        <v>2</v>
      </c>
      <c r="K364" s="27">
        <f t="shared" si="15"/>
        <v>2</v>
      </c>
      <c r="L364" s="25">
        <v>449.66581550000001</v>
      </c>
      <c r="M364" s="25">
        <v>452.4756417185738</v>
      </c>
      <c r="N364" s="38">
        <v>0.48364837066872113</v>
      </c>
      <c r="O364" s="38">
        <v>-7.5728073028987204</v>
      </c>
      <c r="P364" s="71">
        <v>-9.5074007855736049</v>
      </c>
      <c r="Q364" s="53">
        <v>44067</v>
      </c>
      <c r="R364" s="23">
        <v>9</v>
      </c>
      <c r="S364" s="24">
        <v>449.42760050000004</v>
      </c>
      <c r="T364" s="24">
        <v>452.26836315778621</v>
      </c>
      <c r="U364" s="20">
        <v>0.48922956774766213</v>
      </c>
      <c r="V364" s="20">
        <v>-7.6536549786678787</v>
      </c>
      <c r="W364" s="20">
        <v>-9.6105732496585272</v>
      </c>
      <c r="X364" s="22">
        <v>44067</v>
      </c>
      <c r="Y364" s="23">
        <v>9</v>
      </c>
      <c r="Z364" s="24">
        <v>449.90403049999998</v>
      </c>
      <c r="AA364" s="24">
        <v>452.68292027936138</v>
      </c>
      <c r="AB364" s="20">
        <v>0.47806717358978013</v>
      </c>
      <c r="AC364" s="20">
        <v>-7.491959627129563</v>
      </c>
      <c r="AD364" s="20">
        <v>-9.4042283214886844</v>
      </c>
      <c r="AE364" s="22" t="s">
        <v>17</v>
      </c>
      <c r="AF364" s="23"/>
      <c r="AG364" s="24" t="s">
        <v>17</v>
      </c>
      <c r="AH364" s="24" t="s">
        <v>17</v>
      </c>
      <c r="AI364" s="20" t="s">
        <v>17</v>
      </c>
      <c r="AJ364" s="20" t="s">
        <v>17</v>
      </c>
      <c r="AK364" s="20" t="s">
        <v>17</v>
      </c>
      <c r="AL364" s="22" t="s">
        <v>17</v>
      </c>
      <c r="AM364" s="23" t="s">
        <v>17</v>
      </c>
      <c r="AN364" s="24" t="s">
        <v>17</v>
      </c>
      <c r="AO364" s="24" t="s">
        <v>17</v>
      </c>
      <c r="AP364" s="20" t="s">
        <v>17</v>
      </c>
      <c r="AQ364" s="20" t="s">
        <v>17</v>
      </c>
      <c r="AR364" s="20" t="s">
        <v>17</v>
      </c>
      <c r="AS364" s="21"/>
      <c r="AT364" s="20"/>
      <c r="AU364" s="4"/>
      <c r="AV364" s="20"/>
      <c r="AW364" s="20" t="s">
        <v>17</v>
      </c>
      <c r="AX364" s="20" t="s">
        <v>17</v>
      </c>
      <c r="AY364" s="20" t="s">
        <v>17</v>
      </c>
      <c r="AZ364" s="5"/>
      <c r="BA364" s="6"/>
      <c r="BB364" s="4"/>
      <c r="BC364" s="6"/>
      <c r="BD364" s="6"/>
      <c r="BE364" s="6"/>
      <c r="BF364" s="7"/>
    </row>
    <row r="365" spans="1:58" ht="18" customHeight="1">
      <c r="A365" s="106" t="s">
        <v>15</v>
      </c>
      <c r="B365" s="93" t="s">
        <v>343</v>
      </c>
      <c r="C365" s="28">
        <v>511.71</v>
      </c>
      <c r="D365" s="28">
        <v>511.83</v>
      </c>
      <c r="E365" s="28">
        <v>511.77</v>
      </c>
      <c r="F365" s="28">
        <v>511.77</v>
      </c>
      <c r="G365" s="29">
        <v>19958.9097690366</v>
      </c>
      <c r="H365" s="29">
        <v>16027.199447707901</v>
      </c>
      <c r="I365" s="27">
        <f t="shared" si="16"/>
        <v>1</v>
      </c>
      <c r="J365" s="27">
        <f t="shared" si="17"/>
        <v>1</v>
      </c>
      <c r="K365" s="27">
        <f t="shared" si="15"/>
        <v>1</v>
      </c>
      <c r="L365" s="25">
        <v>449.42073900000003</v>
      </c>
      <c r="M365" s="25">
        <v>452.25425025880372</v>
      </c>
      <c r="N365" s="38">
        <v>0.48798819881623601</v>
      </c>
      <c r="O365" s="38">
        <v>-9.0316352982384718</v>
      </c>
      <c r="P365" s="71">
        <v>-10.983588093503416</v>
      </c>
      <c r="Q365" s="53">
        <v>44116</v>
      </c>
      <c r="R365" s="23">
        <v>9</v>
      </c>
      <c r="S365" s="24">
        <v>449.42073900000003</v>
      </c>
      <c r="T365" s="24">
        <v>452.25425025880372</v>
      </c>
      <c r="U365" s="20">
        <v>0.48798819881623601</v>
      </c>
      <c r="V365" s="20">
        <v>-9.0316352982384718</v>
      </c>
      <c r="W365" s="20">
        <v>-10.983588093503416</v>
      </c>
      <c r="X365" s="22" t="s">
        <v>17</v>
      </c>
      <c r="Y365" s="23"/>
      <c r="Z365" s="24" t="s">
        <v>17</v>
      </c>
      <c r="AA365" s="24" t="s">
        <v>17</v>
      </c>
      <c r="AB365" s="20" t="s">
        <v>17</v>
      </c>
      <c r="AC365" s="20" t="s">
        <v>17</v>
      </c>
      <c r="AD365" s="20" t="s">
        <v>17</v>
      </c>
      <c r="AE365" s="22" t="s">
        <v>17</v>
      </c>
      <c r="AF365" s="23"/>
      <c r="AG365" s="24" t="s">
        <v>17</v>
      </c>
      <c r="AH365" s="24" t="s">
        <v>17</v>
      </c>
      <c r="AI365" s="20" t="s">
        <v>17</v>
      </c>
      <c r="AJ365" s="20" t="s">
        <v>17</v>
      </c>
      <c r="AK365" s="20" t="s">
        <v>17</v>
      </c>
      <c r="AL365" s="22" t="s">
        <v>17</v>
      </c>
      <c r="AM365" s="23" t="s">
        <v>17</v>
      </c>
      <c r="AN365" s="24" t="s">
        <v>17</v>
      </c>
      <c r="AO365" s="24" t="s">
        <v>17</v>
      </c>
      <c r="AP365" s="20" t="s">
        <v>17</v>
      </c>
      <c r="AQ365" s="20" t="s">
        <v>17</v>
      </c>
      <c r="AR365" s="20" t="s">
        <v>17</v>
      </c>
      <c r="AS365" s="21"/>
      <c r="AT365" s="20"/>
      <c r="AU365" s="4"/>
      <c r="AV365" s="20"/>
      <c r="AW365" s="20" t="s">
        <v>17</v>
      </c>
      <c r="AX365" s="20" t="s">
        <v>17</v>
      </c>
      <c r="AY365" s="20" t="s">
        <v>17</v>
      </c>
      <c r="AZ365" s="5"/>
      <c r="BA365" s="6"/>
      <c r="BB365" s="4"/>
      <c r="BC365" s="6"/>
      <c r="BD365" s="6"/>
      <c r="BE365" s="6"/>
      <c r="BF365" s="7"/>
    </row>
    <row r="366" spans="1:58" ht="18" customHeight="1">
      <c r="A366" s="107" t="s">
        <v>15</v>
      </c>
      <c r="B366" s="93" t="s">
        <v>344</v>
      </c>
      <c r="C366" s="28">
        <v>512.66</v>
      </c>
      <c r="D366" s="28">
        <v>512.78</v>
      </c>
      <c r="E366" s="28">
        <v>512.72</v>
      </c>
      <c r="F366" s="28">
        <v>512.72</v>
      </c>
      <c r="G366" s="29">
        <v>20029.4521570342</v>
      </c>
      <c r="H366" s="29">
        <v>16075.053911094699</v>
      </c>
      <c r="I366" s="27">
        <f t="shared" si="16"/>
        <v>1</v>
      </c>
      <c r="J366" s="27">
        <f t="shared" si="17"/>
        <v>1</v>
      </c>
      <c r="K366" s="27">
        <f t="shared" si="15"/>
        <v>1</v>
      </c>
      <c r="L366" s="25">
        <v>456.19274849999999</v>
      </c>
      <c r="M366" s="25">
        <v>459.1558113201844</v>
      </c>
      <c r="N366" s="38">
        <v>0.5027244039335077</v>
      </c>
      <c r="O366" s="38">
        <v>-7.7814642616230723</v>
      </c>
      <c r="P366" s="71">
        <v>-9.7923618773571022</v>
      </c>
      <c r="Q366" s="53">
        <v>43888</v>
      </c>
      <c r="R366" s="23">
        <v>9</v>
      </c>
      <c r="S366" s="24">
        <v>456.19274849999999</v>
      </c>
      <c r="T366" s="24">
        <v>459.1558113201844</v>
      </c>
      <c r="U366" s="20">
        <v>0.5027244039335077</v>
      </c>
      <c r="V366" s="20">
        <v>-7.7814642616230723</v>
      </c>
      <c r="W366" s="20">
        <v>-9.7923618773571022</v>
      </c>
      <c r="X366" s="22" t="s">
        <v>17</v>
      </c>
      <c r="Y366" s="23"/>
      <c r="Z366" s="24" t="s">
        <v>17</v>
      </c>
      <c r="AA366" s="24" t="s">
        <v>17</v>
      </c>
      <c r="AB366" s="20" t="s">
        <v>17</v>
      </c>
      <c r="AC366" s="20" t="s">
        <v>17</v>
      </c>
      <c r="AD366" s="20" t="s">
        <v>17</v>
      </c>
      <c r="AE366" s="22" t="s">
        <v>17</v>
      </c>
      <c r="AF366" s="23"/>
      <c r="AG366" s="24" t="s">
        <v>17</v>
      </c>
      <c r="AH366" s="24" t="s">
        <v>17</v>
      </c>
      <c r="AI366" s="20" t="s">
        <v>17</v>
      </c>
      <c r="AJ366" s="20" t="s">
        <v>17</v>
      </c>
      <c r="AK366" s="20" t="s">
        <v>17</v>
      </c>
      <c r="AL366" s="22" t="s">
        <v>17</v>
      </c>
      <c r="AM366" s="23" t="s">
        <v>17</v>
      </c>
      <c r="AN366" s="24" t="s">
        <v>17</v>
      </c>
      <c r="AO366" s="24" t="s">
        <v>17</v>
      </c>
      <c r="AP366" s="20" t="s">
        <v>17</v>
      </c>
      <c r="AQ366" s="20" t="s">
        <v>17</v>
      </c>
      <c r="AR366" s="20" t="s">
        <v>17</v>
      </c>
      <c r="AS366" s="21"/>
      <c r="AT366" s="20"/>
      <c r="AU366" s="4"/>
      <c r="AV366" s="20"/>
      <c r="AW366" s="20" t="s">
        <v>17</v>
      </c>
      <c r="AX366" s="20" t="s">
        <v>17</v>
      </c>
      <c r="AY366" s="20" t="s">
        <v>17</v>
      </c>
      <c r="AZ366" s="5"/>
      <c r="BA366" s="6"/>
      <c r="BB366" s="4"/>
      <c r="BC366" s="6"/>
      <c r="BD366" s="6"/>
      <c r="BE366" s="6"/>
      <c r="BF366" s="7"/>
    </row>
    <row r="367" spans="1:58" ht="18" customHeight="1">
      <c r="A367" s="106" t="s">
        <v>15</v>
      </c>
      <c r="B367" s="93" t="s">
        <v>345</v>
      </c>
      <c r="C367" s="28">
        <v>514.21</v>
      </c>
      <c r="D367" s="28">
        <v>514.33000000000004</v>
      </c>
      <c r="E367" s="28">
        <v>514.27</v>
      </c>
      <c r="F367" s="28">
        <v>514.27</v>
      </c>
      <c r="G367" s="29">
        <v>20151.002968930199</v>
      </c>
      <c r="H367" s="29">
        <v>16166.0239698191</v>
      </c>
      <c r="I367" s="27">
        <f t="shared" si="16"/>
        <v>1</v>
      </c>
      <c r="J367" s="27">
        <f t="shared" si="17"/>
        <v>1</v>
      </c>
      <c r="K367" s="27">
        <f t="shared" si="15"/>
        <v>1</v>
      </c>
      <c r="L367" s="25">
        <v>437.60662600000001</v>
      </c>
      <c r="M367" s="25">
        <v>440.37322553926055</v>
      </c>
      <c r="N367" s="38">
        <v>0.48932780847343871</v>
      </c>
      <c r="O367" s="38">
        <v>-7.1780063293528373</v>
      </c>
      <c r="P367" s="71">
        <v>-9.1353175632465913</v>
      </c>
      <c r="Q367" s="53">
        <v>43762</v>
      </c>
      <c r="R367" s="23">
        <v>9</v>
      </c>
      <c r="S367" s="24">
        <v>437.60662600000001</v>
      </c>
      <c r="T367" s="24">
        <v>440.37322553926055</v>
      </c>
      <c r="U367" s="20">
        <v>0.48932780847343871</v>
      </c>
      <c r="V367" s="20">
        <v>-7.1780063293528373</v>
      </c>
      <c r="W367" s="20">
        <v>-9.1353175632465913</v>
      </c>
      <c r="X367" s="22" t="s">
        <v>17</v>
      </c>
      <c r="Y367" s="23"/>
      <c r="Z367" s="24" t="s">
        <v>17</v>
      </c>
      <c r="AA367" s="24" t="s">
        <v>17</v>
      </c>
      <c r="AB367" s="20" t="s">
        <v>17</v>
      </c>
      <c r="AC367" s="20" t="s">
        <v>17</v>
      </c>
      <c r="AD367" s="20" t="s">
        <v>17</v>
      </c>
      <c r="AE367" s="22" t="s">
        <v>17</v>
      </c>
      <c r="AF367" s="23"/>
      <c r="AG367" s="24" t="s">
        <v>17</v>
      </c>
      <c r="AH367" s="24" t="s">
        <v>17</v>
      </c>
      <c r="AI367" s="20" t="s">
        <v>17</v>
      </c>
      <c r="AJ367" s="20" t="s">
        <v>17</v>
      </c>
      <c r="AK367" s="20" t="s">
        <v>17</v>
      </c>
      <c r="AL367" s="22" t="s">
        <v>17</v>
      </c>
      <c r="AM367" s="23" t="s">
        <v>17</v>
      </c>
      <c r="AN367" s="24" t="s">
        <v>17</v>
      </c>
      <c r="AO367" s="24" t="s">
        <v>17</v>
      </c>
      <c r="AP367" s="20" t="s">
        <v>17</v>
      </c>
      <c r="AQ367" s="20" t="s">
        <v>17</v>
      </c>
      <c r="AR367" s="20" t="s">
        <v>17</v>
      </c>
      <c r="AS367" s="21"/>
      <c r="AT367" s="20"/>
      <c r="AU367" s="4"/>
      <c r="AV367" s="20"/>
      <c r="AW367" s="20" t="s">
        <v>17</v>
      </c>
      <c r="AX367" s="20" t="s">
        <v>17</v>
      </c>
      <c r="AY367" s="20" t="s">
        <v>17</v>
      </c>
      <c r="AZ367" s="5"/>
      <c r="BA367" s="6"/>
      <c r="BB367" s="4"/>
      <c r="BC367" s="6"/>
      <c r="BD367" s="6"/>
      <c r="BE367" s="6"/>
      <c r="BF367" s="7"/>
    </row>
    <row r="368" spans="1:58" ht="18" customHeight="1">
      <c r="A368" s="106" t="s">
        <v>15</v>
      </c>
      <c r="B368" s="93" t="s">
        <v>346</v>
      </c>
      <c r="C368" s="28">
        <v>515.71</v>
      </c>
      <c r="D368" s="28">
        <v>515.83000000000004</v>
      </c>
      <c r="E368" s="28">
        <v>515.77</v>
      </c>
      <c r="F368" s="28">
        <v>515.77</v>
      </c>
      <c r="G368" s="29">
        <v>20269.859040289899</v>
      </c>
      <c r="H368" s="29">
        <v>16259.712397974399</v>
      </c>
      <c r="I368" s="27">
        <f t="shared" si="16"/>
        <v>1</v>
      </c>
      <c r="J368" s="27">
        <f t="shared" si="17"/>
        <v>1</v>
      </c>
      <c r="K368" s="27">
        <f t="shared" si="15"/>
        <v>1</v>
      </c>
      <c r="L368" s="25">
        <v>436.58087700000004</v>
      </c>
      <c r="M368" s="25">
        <v>439.38455403181524</v>
      </c>
      <c r="N368" s="38">
        <v>0.49705078181783158</v>
      </c>
      <c r="O368" s="38">
        <v>-8.1225009796744843</v>
      </c>
      <c r="P368" s="71">
        <v>-10.110704106945811</v>
      </c>
      <c r="Q368" s="53">
        <v>44118</v>
      </c>
      <c r="R368" s="23">
        <v>9</v>
      </c>
      <c r="S368" s="24">
        <v>436.58087700000004</v>
      </c>
      <c r="T368" s="24">
        <v>439.38455403181524</v>
      </c>
      <c r="U368" s="20">
        <v>0.49705078181783158</v>
      </c>
      <c r="V368" s="20">
        <v>-8.1225009796744843</v>
      </c>
      <c r="W368" s="20">
        <v>-10.110704106945811</v>
      </c>
      <c r="X368" s="22" t="s">
        <v>17</v>
      </c>
      <c r="Y368" s="23"/>
      <c r="Z368" s="24" t="s">
        <v>17</v>
      </c>
      <c r="AA368" s="24" t="s">
        <v>17</v>
      </c>
      <c r="AB368" s="20" t="s">
        <v>17</v>
      </c>
      <c r="AC368" s="20" t="s">
        <v>17</v>
      </c>
      <c r="AD368" s="20" t="s">
        <v>17</v>
      </c>
      <c r="AE368" s="22" t="s">
        <v>17</v>
      </c>
      <c r="AF368" s="23"/>
      <c r="AG368" s="24" t="s">
        <v>17</v>
      </c>
      <c r="AH368" s="24" t="s">
        <v>17</v>
      </c>
      <c r="AI368" s="20" t="s">
        <v>17</v>
      </c>
      <c r="AJ368" s="20" t="s">
        <v>17</v>
      </c>
      <c r="AK368" s="20" t="s">
        <v>17</v>
      </c>
      <c r="AL368" s="22" t="s">
        <v>17</v>
      </c>
      <c r="AM368" s="23" t="s">
        <v>17</v>
      </c>
      <c r="AN368" s="24" t="s">
        <v>17</v>
      </c>
      <c r="AO368" s="24" t="s">
        <v>17</v>
      </c>
      <c r="AP368" s="20" t="s">
        <v>17</v>
      </c>
      <c r="AQ368" s="20" t="s">
        <v>17</v>
      </c>
      <c r="AR368" s="20" t="s">
        <v>17</v>
      </c>
      <c r="AS368" s="21"/>
      <c r="AT368" s="20"/>
      <c r="AU368" s="4"/>
      <c r="AV368" s="20"/>
      <c r="AW368" s="20" t="s">
        <v>17</v>
      </c>
      <c r="AX368" s="20" t="s">
        <v>17</v>
      </c>
      <c r="AY368" s="20" t="s">
        <v>17</v>
      </c>
      <c r="AZ368" s="5"/>
      <c r="BA368" s="6"/>
      <c r="BB368" s="4"/>
      <c r="BC368" s="6"/>
      <c r="BD368" s="6"/>
      <c r="BE368" s="6"/>
      <c r="BF368" s="7"/>
    </row>
    <row r="369" spans="1:58" ht="18" customHeight="1">
      <c r="A369" s="106" t="s">
        <v>15</v>
      </c>
      <c r="B369" s="93" t="s">
        <v>347</v>
      </c>
      <c r="C369" s="28">
        <v>517.64</v>
      </c>
      <c r="D369" s="28">
        <v>517.76</v>
      </c>
      <c r="E369" s="28">
        <v>517.70000000000005</v>
      </c>
      <c r="F369" s="28">
        <v>517.70000000000005</v>
      </c>
      <c r="G369" s="29">
        <v>20415.9719219914</v>
      </c>
      <c r="H369" s="29">
        <v>16371.446613843</v>
      </c>
      <c r="I369" s="27">
        <f t="shared" si="16"/>
        <v>1</v>
      </c>
      <c r="J369" s="27">
        <f t="shared" si="17"/>
        <v>1</v>
      </c>
      <c r="K369" s="27">
        <f t="shared" si="15"/>
        <v>1</v>
      </c>
      <c r="L369" s="25">
        <v>430.43601782990117</v>
      </c>
      <c r="M369" s="25">
        <v>433.12221917333659</v>
      </c>
      <c r="N369" s="38">
        <v>0.48302259124954894</v>
      </c>
      <c r="O369" s="38">
        <v>-8.2231210210385051</v>
      </c>
      <c r="P369" s="71">
        <v>-10.155211386036701</v>
      </c>
      <c r="Q369" s="53">
        <v>44020</v>
      </c>
      <c r="R369" s="23">
        <v>10</v>
      </c>
      <c r="S369" s="24">
        <v>430.43601782990117</v>
      </c>
      <c r="T369" s="24">
        <v>433.12221917333659</v>
      </c>
      <c r="U369" s="20">
        <v>0.48302259124954894</v>
      </c>
      <c r="V369" s="20">
        <v>-8.2231210210385051</v>
      </c>
      <c r="W369" s="20">
        <v>-10.155211386036701</v>
      </c>
      <c r="X369" s="22" t="s">
        <v>17</v>
      </c>
      <c r="Y369" s="23"/>
      <c r="Z369" s="24" t="s">
        <v>17</v>
      </c>
      <c r="AA369" s="24" t="s">
        <v>17</v>
      </c>
      <c r="AB369" s="20" t="s">
        <v>17</v>
      </c>
      <c r="AC369" s="20" t="s">
        <v>17</v>
      </c>
      <c r="AD369" s="20" t="s">
        <v>17</v>
      </c>
      <c r="AE369" s="22" t="s">
        <v>17</v>
      </c>
      <c r="AF369" s="23"/>
      <c r="AG369" s="24" t="s">
        <v>17</v>
      </c>
      <c r="AH369" s="24" t="s">
        <v>17</v>
      </c>
      <c r="AI369" s="20" t="s">
        <v>17</v>
      </c>
      <c r="AJ369" s="20" t="s">
        <v>17</v>
      </c>
      <c r="AK369" s="20" t="s">
        <v>17</v>
      </c>
      <c r="AL369" s="22" t="s">
        <v>17</v>
      </c>
      <c r="AM369" s="23" t="s">
        <v>17</v>
      </c>
      <c r="AN369" s="24" t="s">
        <v>17</v>
      </c>
      <c r="AO369" s="24" t="s">
        <v>17</v>
      </c>
      <c r="AP369" s="20" t="s">
        <v>17</v>
      </c>
      <c r="AQ369" s="20" t="s">
        <v>17</v>
      </c>
      <c r="AR369" s="20" t="s">
        <v>17</v>
      </c>
      <c r="AS369" s="21"/>
      <c r="AT369" s="20"/>
      <c r="AU369" s="4"/>
      <c r="AV369" s="20"/>
      <c r="AW369" s="20" t="s">
        <v>17</v>
      </c>
      <c r="AX369" s="20" t="s">
        <v>17</v>
      </c>
      <c r="AY369" s="20" t="s">
        <v>17</v>
      </c>
      <c r="AZ369" s="5"/>
      <c r="BA369" s="6"/>
      <c r="BB369" s="4"/>
      <c r="BC369" s="6"/>
      <c r="BD369" s="6"/>
      <c r="BE369" s="6"/>
      <c r="BF369" s="7"/>
    </row>
    <row r="370" spans="1:58" ht="18" customHeight="1">
      <c r="A370" s="106" t="s">
        <v>15</v>
      </c>
      <c r="B370" s="93" t="s">
        <v>348</v>
      </c>
      <c r="C370" s="28">
        <v>519.54999999999995</v>
      </c>
      <c r="D370" s="28">
        <v>519.66999999999996</v>
      </c>
      <c r="E370" s="28">
        <v>519.6099999999999</v>
      </c>
      <c r="F370" s="28">
        <v>519.6099999999999</v>
      </c>
      <c r="G370" s="29">
        <v>20555.293259076599</v>
      </c>
      <c r="H370" s="29">
        <v>16481.033161083</v>
      </c>
      <c r="I370" s="27">
        <f t="shared" si="16"/>
        <v>1</v>
      </c>
      <c r="J370" s="27">
        <f t="shared" si="17"/>
        <v>1</v>
      </c>
      <c r="K370" s="27">
        <f t="shared" si="15"/>
        <v>1</v>
      </c>
      <c r="L370" s="25">
        <v>430.13117950000003</v>
      </c>
      <c r="M370" s="25">
        <v>432.85321860076903</v>
      </c>
      <c r="N370" s="38">
        <v>0.48847153452347136</v>
      </c>
      <c r="O370" s="38">
        <v>-6.3168885240098005</v>
      </c>
      <c r="P370" s="71">
        <v>-8.2707746621036868</v>
      </c>
      <c r="Q370" s="53">
        <v>44146</v>
      </c>
      <c r="R370" s="23">
        <v>9</v>
      </c>
      <c r="S370" s="24"/>
      <c r="T370" s="24"/>
      <c r="U370" s="20">
        <v>0.48847153452347136</v>
      </c>
      <c r="V370" s="20">
        <v>-6.3168885240098005</v>
      </c>
      <c r="W370" s="20">
        <v>-8.2707746621036868</v>
      </c>
      <c r="X370" s="22">
        <v>44151</v>
      </c>
      <c r="Y370" s="23">
        <v>3</v>
      </c>
      <c r="Z370" s="24">
        <v>430.13117950000003</v>
      </c>
      <c r="AA370" s="24">
        <v>432.85321860076903</v>
      </c>
      <c r="AB370" s="20"/>
      <c r="AC370" s="20"/>
      <c r="AD370" s="20"/>
      <c r="AE370" s="22" t="s">
        <v>17</v>
      </c>
      <c r="AF370" s="23"/>
      <c r="AG370" s="24" t="s">
        <v>17</v>
      </c>
      <c r="AH370" s="24" t="s">
        <v>17</v>
      </c>
      <c r="AI370" s="20" t="s">
        <v>17</v>
      </c>
      <c r="AJ370" s="20" t="s">
        <v>17</v>
      </c>
      <c r="AK370" s="20" t="s">
        <v>17</v>
      </c>
      <c r="AL370" s="22" t="s">
        <v>17</v>
      </c>
      <c r="AM370" s="23" t="s">
        <v>17</v>
      </c>
      <c r="AN370" s="24" t="s">
        <v>17</v>
      </c>
      <c r="AO370" s="24" t="s">
        <v>17</v>
      </c>
      <c r="AP370" s="20" t="s">
        <v>17</v>
      </c>
      <c r="AQ370" s="20" t="s">
        <v>17</v>
      </c>
      <c r="AR370" s="20" t="s">
        <v>17</v>
      </c>
      <c r="AS370" s="21"/>
      <c r="AT370" s="20"/>
      <c r="AU370" s="4"/>
      <c r="AV370" s="20"/>
      <c r="AW370" s="20" t="s">
        <v>17</v>
      </c>
      <c r="AX370" s="20" t="s">
        <v>17</v>
      </c>
      <c r="AY370" s="20" t="s">
        <v>17</v>
      </c>
      <c r="AZ370" s="5"/>
      <c r="BA370" s="6"/>
      <c r="BB370" s="4"/>
      <c r="BC370" s="6"/>
      <c r="BD370" s="6"/>
      <c r="BE370" s="6"/>
      <c r="BF370" s="7"/>
    </row>
    <row r="371" spans="1:58" ht="18" customHeight="1">
      <c r="A371" s="106" t="s">
        <v>15</v>
      </c>
      <c r="B371" s="93" t="s">
        <v>349</v>
      </c>
      <c r="C371" s="28">
        <v>521.07000000000005</v>
      </c>
      <c r="D371" s="28">
        <v>521.19000000000005</v>
      </c>
      <c r="E371" s="28">
        <v>521.13000000000011</v>
      </c>
      <c r="F371" s="28">
        <v>521.13000000000011</v>
      </c>
      <c r="G371" s="29">
        <v>20668.8426717072</v>
      </c>
      <c r="H371" s="29">
        <v>16569.3297646014</v>
      </c>
      <c r="I371" s="27">
        <f t="shared" si="16"/>
        <v>4</v>
      </c>
      <c r="J371" s="27">
        <f t="shared" si="17"/>
        <v>4</v>
      </c>
      <c r="K371" s="27">
        <f t="shared" si="15"/>
        <v>2</v>
      </c>
      <c r="L371" s="25">
        <v>422.56157437500002</v>
      </c>
      <c r="M371" s="25">
        <v>426.07680741307496</v>
      </c>
      <c r="N371" s="38">
        <v>0.48369620077781672</v>
      </c>
      <c r="O371" s="38">
        <v>-5.9998699598172722</v>
      </c>
      <c r="P371" s="71">
        <v>-7.9475723166374523</v>
      </c>
      <c r="Q371" s="53">
        <v>44105</v>
      </c>
      <c r="R371" s="23">
        <v>9</v>
      </c>
      <c r="S371" s="24">
        <v>421.77763649999997</v>
      </c>
      <c r="T371" s="24">
        <v>424.43621748055239</v>
      </c>
      <c r="U371" s="20">
        <v>0.48786968276015585</v>
      </c>
      <c r="V371" s="20">
        <v>-5.992425075696084</v>
      </c>
      <c r="W371" s="20">
        <v>-7.9439038067367074</v>
      </c>
      <c r="X371" s="22">
        <v>44105</v>
      </c>
      <c r="Y371" s="23">
        <v>9</v>
      </c>
      <c r="Z371" s="24">
        <v>425.29177400000003</v>
      </c>
      <c r="AA371" s="24">
        <v>427.96213040681647</v>
      </c>
      <c r="AB371" s="20">
        <v>0.4859814956499342</v>
      </c>
      <c r="AC371" s="20">
        <v>-6.0073148439384605</v>
      </c>
      <c r="AD371" s="20">
        <v>-7.9512408265381973</v>
      </c>
      <c r="AE371" s="22">
        <v>44210</v>
      </c>
      <c r="AF371" s="23" t="s">
        <v>88</v>
      </c>
      <c r="AG371" s="24">
        <v>421.58844350000004</v>
      </c>
      <c r="AH371" s="24">
        <v>424.17510601086457</v>
      </c>
      <c r="AI371" s="20">
        <v>0.4771046002867152</v>
      </c>
      <c r="AJ371" s="20"/>
      <c r="AK371" s="20"/>
      <c r="AL371" s="22">
        <v>44217</v>
      </c>
      <c r="AM371" s="23" t="s">
        <v>88</v>
      </c>
      <c r="AN371" s="24">
        <v>421.58844350000004</v>
      </c>
      <c r="AO371" s="24">
        <v>427.73377575406647</v>
      </c>
      <c r="AP371" s="20">
        <v>0.48382902441446163</v>
      </c>
      <c r="AQ371" s="20"/>
      <c r="AR371" s="20"/>
      <c r="AS371" s="21"/>
      <c r="AT371" s="20"/>
      <c r="AU371" s="4"/>
      <c r="AV371" s="20"/>
      <c r="AW371" s="20" t="s">
        <v>17</v>
      </c>
      <c r="AX371" s="20" t="s">
        <v>17</v>
      </c>
      <c r="AY371" s="20" t="s">
        <v>17</v>
      </c>
      <c r="AZ371" s="5"/>
      <c r="BA371" s="6"/>
      <c r="BB371" s="4"/>
      <c r="BC371" s="6"/>
      <c r="BD371" s="6"/>
      <c r="BE371" s="6"/>
      <c r="BF371" s="7"/>
    </row>
    <row r="372" spans="1:58" ht="18" customHeight="1">
      <c r="A372" s="106" t="s">
        <v>15</v>
      </c>
      <c r="B372" s="93" t="s">
        <v>350</v>
      </c>
      <c r="C372" s="28">
        <v>522.22</v>
      </c>
      <c r="D372" s="28">
        <v>522.34</v>
      </c>
      <c r="E372" s="28">
        <v>522.28</v>
      </c>
      <c r="F372" s="28">
        <v>522.28</v>
      </c>
      <c r="G372" s="29">
        <v>20757.220778998999</v>
      </c>
      <c r="H372" s="29">
        <v>16639.566531729601</v>
      </c>
      <c r="I372" s="27">
        <f t="shared" si="16"/>
        <v>1</v>
      </c>
      <c r="J372" s="27">
        <f t="shared" si="17"/>
        <v>1</v>
      </c>
      <c r="K372" s="27">
        <f t="shared" si="15"/>
        <v>1</v>
      </c>
      <c r="L372" s="25">
        <v>425.70171249999999</v>
      </c>
      <c r="M372" s="25">
        <v>428.42928508756086</v>
      </c>
      <c r="N372" s="38">
        <v>0.49591632633561034</v>
      </c>
      <c r="O372" s="38">
        <v>-9.1070410644862321</v>
      </c>
      <c r="P372" s="71">
        <v>-11.090706369828673</v>
      </c>
      <c r="Q372" s="53">
        <v>43873</v>
      </c>
      <c r="R372" s="23">
        <v>9</v>
      </c>
      <c r="S372" s="24">
        <v>425.70171249999999</v>
      </c>
      <c r="T372" s="24">
        <v>428.42928508756086</v>
      </c>
      <c r="U372" s="20">
        <v>0.49591632633561034</v>
      </c>
      <c r="V372" s="20">
        <v>-9.1070410644862321</v>
      </c>
      <c r="W372" s="20">
        <v>-11.090706369828673</v>
      </c>
      <c r="X372" s="22" t="s">
        <v>17</v>
      </c>
      <c r="Y372" s="23"/>
      <c r="Z372" s="24" t="s">
        <v>17</v>
      </c>
      <c r="AA372" s="24" t="s">
        <v>17</v>
      </c>
      <c r="AB372" s="20" t="s">
        <v>17</v>
      </c>
      <c r="AC372" s="20" t="s">
        <v>17</v>
      </c>
      <c r="AD372" s="20" t="s">
        <v>17</v>
      </c>
      <c r="AE372" s="22" t="s">
        <v>17</v>
      </c>
      <c r="AF372" s="23"/>
      <c r="AG372" s="24" t="s">
        <v>17</v>
      </c>
      <c r="AH372" s="24" t="s">
        <v>17</v>
      </c>
      <c r="AI372" s="20" t="s">
        <v>17</v>
      </c>
      <c r="AJ372" s="20" t="s">
        <v>17</v>
      </c>
      <c r="AK372" s="20" t="s">
        <v>17</v>
      </c>
      <c r="AL372" s="22" t="s">
        <v>17</v>
      </c>
      <c r="AM372" s="23" t="s">
        <v>17</v>
      </c>
      <c r="AN372" s="24"/>
      <c r="AO372" s="24" t="s">
        <v>17</v>
      </c>
      <c r="AP372" s="20" t="s">
        <v>17</v>
      </c>
      <c r="AQ372" s="20" t="s">
        <v>17</v>
      </c>
      <c r="AR372" s="20" t="s">
        <v>17</v>
      </c>
      <c r="AS372" s="21"/>
      <c r="AT372" s="20"/>
      <c r="AU372" s="4"/>
      <c r="AV372" s="20"/>
      <c r="AW372" s="20" t="s">
        <v>17</v>
      </c>
      <c r="AX372" s="20" t="s">
        <v>17</v>
      </c>
      <c r="AY372" s="20" t="s">
        <v>17</v>
      </c>
      <c r="AZ372" s="5"/>
      <c r="BA372" s="6"/>
      <c r="BB372" s="4"/>
      <c r="BC372" s="6"/>
      <c r="BD372" s="6"/>
      <c r="BE372" s="6"/>
      <c r="BF372" s="7"/>
    </row>
    <row r="373" spans="1:58" ht="18" customHeight="1">
      <c r="A373" s="106" t="s">
        <v>15</v>
      </c>
      <c r="B373" s="93" t="s">
        <v>351</v>
      </c>
      <c r="C373" s="28">
        <v>523.79</v>
      </c>
      <c r="D373" s="28">
        <v>523.91</v>
      </c>
      <c r="E373" s="28">
        <v>523.84999999999991</v>
      </c>
      <c r="F373" s="28">
        <v>523.84999999999991</v>
      </c>
      <c r="G373" s="29">
        <v>20880.729180620801</v>
      </c>
      <c r="H373" s="29">
        <v>16742.879552129802</v>
      </c>
      <c r="I373" s="27">
        <f t="shared" si="16"/>
        <v>1</v>
      </c>
      <c r="J373" s="27">
        <f t="shared" si="17"/>
        <v>1</v>
      </c>
      <c r="K373" s="27">
        <f t="shared" si="15"/>
        <v>1</v>
      </c>
      <c r="L373" s="25">
        <v>419.39225499999998</v>
      </c>
      <c r="M373" s="25">
        <v>422.11415706846583</v>
      </c>
      <c r="N373" s="38">
        <v>0.50233053233417202</v>
      </c>
      <c r="O373" s="38">
        <v>-7.4371889149773551</v>
      </c>
      <c r="P373" s="71">
        <v>-9.4465110443140432</v>
      </c>
      <c r="Q373" s="53">
        <v>43766</v>
      </c>
      <c r="R373" s="23">
        <v>9</v>
      </c>
      <c r="S373" s="24">
        <v>419.39225499999998</v>
      </c>
      <c r="T373" s="24">
        <v>422.11415706846583</v>
      </c>
      <c r="U373" s="20">
        <v>0.50233053233417202</v>
      </c>
      <c r="V373" s="20">
        <v>-7.4371889149773551</v>
      </c>
      <c r="W373" s="20">
        <v>-9.4465110443140432</v>
      </c>
      <c r="X373" s="22" t="s">
        <v>17</v>
      </c>
      <c r="Y373" s="23"/>
      <c r="Z373" s="24" t="s">
        <v>17</v>
      </c>
      <c r="AA373" s="24" t="s">
        <v>17</v>
      </c>
      <c r="AB373" s="20" t="s">
        <v>17</v>
      </c>
      <c r="AC373" s="20" t="s">
        <v>17</v>
      </c>
      <c r="AD373" s="20" t="s">
        <v>17</v>
      </c>
      <c r="AE373" s="22" t="s">
        <v>17</v>
      </c>
      <c r="AF373" s="23"/>
      <c r="AG373" s="24" t="s">
        <v>17</v>
      </c>
      <c r="AH373" s="24" t="s">
        <v>17</v>
      </c>
      <c r="AI373" s="20" t="s">
        <v>17</v>
      </c>
      <c r="AJ373" s="20" t="s">
        <v>17</v>
      </c>
      <c r="AK373" s="20" t="s">
        <v>17</v>
      </c>
      <c r="AL373" s="22" t="s">
        <v>17</v>
      </c>
      <c r="AM373" s="23" t="s">
        <v>17</v>
      </c>
      <c r="AN373" s="24" t="s">
        <v>17</v>
      </c>
      <c r="AO373" s="24" t="s">
        <v>17</v>
      </c>
      <c r="AP373" s="20" t="s">
        <v>17</v>
      </c>
      <c r="AQ373" s="20" t="s">
        <v>17</v>
      </c>
      <c r="AR373" s="20" t="s">
        <v>17</v>
      </c>
      <c r="AS373" s="21"/>
      <c r="AT373" s="20"/>
      <c r="AU373" s="4"/>
      <c r="AV373" s="20"/>
      <c r="AW373" s="20" t="s">
        <v>17</v>
      </c>
      <c r="AX373" s="20" t="s">
        <v>17</v>
      </c>
      <c r="AY373" s="20" t="s">
        <v>17</v>
      </c>
      <c r="AZ373" s="5"/>
      <c r="BA373" s="6"/>
      <c r="BB373" s="4"/>
      <c r="BC373" s="6"/>
      <c r="BD373" s="6"/>
      <c r="BE373" s="6"/>
      <c r="BF373" s="7"/>
    </row>
    <row r="374" spans="1:58" ht="18" customHeight="1">
      <c r="A374" s="106" t="s">
        <v>15</v>
      </c>
      <c r="B374" s="93" t="s">
        <v>352</v>
      </c>
      <c r="C374" s="28">
        <v>527.13</v>
      </c>
      <c r="D374" s="28">
        <v>527.25</v>
      </c>
      <c r="E374" s="28">
        <v>527.19000000000005</v>
      </c>
      <c r="F374" s="28">
        <v>527.19000000000005</v>
      </c>
      <c r="G374" s="29">
        <v>21142.840547386098</v>
      </c>
      <c r="H374" s="29">
        <v>16970.3285280694</v>
      </c>
      <c r="I374" s="27">
        <f t="shared" si="16"/>
        <v>1</v>
      </c>
      <c r="J374" s="27">
        <f t="shared" si="17"/>
        <v>1</v>
      </c>
      <c r="K374" s="27">
        <f t="shared" si="15"/>
        <v>1</v>
      </c>
      <c r="L374" s="25">
        <v>406.91939349999996</v>
      </c>
      <c r="M374" s="25">
        <v>409.46973544910105</v>
      </c>
      <c r="N374" s="38">
        <v>0.48509579748334808</v>
      </c>
      <c r="O374" s="38">
        <v>-6.5657644711584195</v>
      </c>
      <c r="P374" s="71">
        <v>-8.5061476610918128</v>
      </c>
      <c r="Q374" s="53">
        <v>43761</v>
      </c>
      <c r="R374" s="23">
        <v>9</v>
      </c>
      <c r="S374" s="24">
        <v>406.91939349999996</v>
      </c>
      <c r="T374" s="24">
        <v>409.46973544910105</v>
      </c>
      <c r="U374" s="20">
        <v>0.48509579748334808</v>
      </c>
      <c r="V374" s="20">
        <v>-6.5657644711584195</v>
      </c>
      <c r="W374" s="20">
        <v>-8.5061476610918128</v>
      </c>
      <c r="X374" s="22" t="s">
        <v>17</v>
      </c>
      <c r="Y374" s="23"/>
      <c r="Z374" s="24" t="s">
        <v>17</v>
      </c>
      <c r="AA374" s="24" t="s">
        <v>17</v>
      </c>
      <c r="AB374" s="20" t="s">
        <v>17</v>
      </c>
      <c r="AC374" s="20" t="s">
        <v>17</v>
      </c>
      <c r="AD374" s="20" t="s">
        <v>17</v>
      </c>
      <c r="AE374" s="22" t="s">
        <v>17</v>
      </c>
      <c r="AF374" s="23"/>
      <c r="AG374" s="24" t="s">
        <v>17</v>
      </c>
      <c r="AH374" s="24" t="s">
        <v>17</v>
      </c>
      <c r="AI374" s="20" t="s">
        <v>17</v>
      </c>
      <c r="AJ374" s="20" t="s">
        <v>17</v>
      </c>
      <c r="AK374" s="20" t="s">
        <v>17</v>
      </c>
      <c r="AL374" s="22" t="s">
        <v>17</v>
      </c>
      <c r="AM374" s="23" t="s">
        <v>17</v>
      </c>
      <c r="AN374" s="24" t="s">
        <v>17</v>
      </c>
      <c r="AO374" s="24" t="s">
        <v>17</v>
      </c>
      <c r="AP374" s="20" t="s">
        <v>17</v>
      </c>
      <c r="AQ374" s="20" t="s">
        <v>17</v>
      </c>
      <c r="AR374" s="20" t="s">
        <v>17</v>
      </c>
      <c r="AS374" s="21"/>
      <c r="AT374" s="20"/>
      <c r="AU374" s="4"/>
      <c r="AV374" s="20"/>
      <c r="AW374" s="20" t="s">
        <v>17</v>
      </c>
      <c r="AX374" s="20" t="s">
        <v>17</v>
      </c>
      <c r="AY374" s="20" t="s">
        <v>17</v>
      </c>
      <c r="AZ374" s="5"/>
      <c r="BA374" s="6"/>
      <c r="BB374" s="4"/>
      <c r="BC374" s="6"/>
      <c r="BD374" s="6"/>
      <c r="BE374" s="6"/>
      <c r="BF374" s="7"/>
    </row>
    <row r="375" spans="1:58" ht="18" customHeight="1">
      <c r="A375" s="106" t="s">
        <v>15</v>
      </c>
      <c r="B375" s="93" t="s">
        <v>353</v>
      </c>
      <c r="C375" s="28">
        <v>529.13</v>
      </c>
      <c r="D375" s="28">
        <v>529.25</v>
      </c>
      <c r="E375" s="28">
        <v>529.19000000000005</v>
      </c>
      <c r="F375" s="28">
        <v>529.19000000000005</v>
      </c>
      <c r="G375" s="29">
        <v>21290.786411254099</v>
      </c>
      <c r="H375" s="29">
        <v>17117.758662659398</v>
      </c>
      <c r="I375" s="27">
        <f t="shared" si="16"/>
        <v>1</v>
      </c>
      <c r="J375" s="27">
        <f t="shared" si="17"/>
        <v>1</v>
      </c>
      <c r="K375" s="27">
        <f t="shared" si="15"/>
        <v>1</v>
      </c>
      <c r="L375" s="25">
        <v>403.4950915</v>
      </c>
      <c r="M375" s="25">
        <v>405.99009444641825</v>
      </c>
      <c r="N375" s="38">
        <v>0.47859735403821269</v>
      </c>
      <c r="O375" s="38">
        <v>-7.9888291315656224</v>
      </c>
      <c r="P375" s="71">
        <v>-9.903218547718474</v>
      </c>
      <c r="Q375" s="53">
        <v>44110</v>
      </c>
      <c r="R375" s="23">
        <v>9</v>
      </c>
      <c r="S375" s="24">
        <v>403.4950915</v>
      </c>
      <c r="T375" s="24">
        <v>405.99009444641825</v>
      </c>
      <c r="U375" s="20">
        <v>0.47859735403821269</v>
      </c>
      <c r="V375" s="20">
        <v>-7.9888291315656224</v>
      </c>
      <c r="W375" s="20">
        <v>-9.903218547718474</v>
      </c>
      <c r="X375" s="22" t="s">
        <v>17</v>
      </c>
      <c r="Y375" s="23"/>
      <c r="Z375" s="24" t="s">
        <v>17</v>
      </c>
      <c r="AA375" s="24" t="s">
        <v>17</v>
      </c>
      <c r="AB375" s="20" t="s">
        <v>17</v>
      </c>
      <c r="AC375" s="20" t="s">
        <v>17</v>
      </c>
      <c r="AD375" s="20" t="s">
        <v>17</v>
      </c>
      <c r="AE375" s="22" t="s">
        <v>17</v>
      </c>
      <c r="AF375" s="23"/>
      <c r="AG375" s="24" t="s">
        <v>17</v>
      </c>
      <c r="AH375" s="24" t="s">
        <v>17</v>
      </c>
      <c r="AI375" s="20" t="s">
        <v>17</v>
      </c>
      <c r="AJ375" s="20" t="s">
        <v>17</v>
      </c>
      <c r="AK375" s="20" t="s">
        <v>17</v>
      </c>
      <c r="AL375" s="22" t="s">
        <v>17</v>
      </c>
      <c r="AM375" s="23" t="s">
        <v>17</v>
      </c>
      <c r="AN375" s="24" t="s">
        <v>17</v>
      </c>
      <c r="AO375" s="24" t="s">
        <v>17</v>
      </c>
      <c r="AP375" s="20" t="s">
        <v>17</v>
      </c>
      <c r="AQ375" s="20" t="s">
        <v>17</v>
      </c>
      <c r="AR375" s="20" t="s">
        <v>17</v>
      </c>
      <c r="AS375" s="21"/>
      <c r="AT375" s="20"/>
      <c r="AU375" s="4"/>
      <c r="AV375" s="20"/>
      <c r="AW375" s="20" t="s">
        <v>17</v>
      </c>
      <c r="AX375" s="20" t="s">
        <v>17</v>
      </c>
      <c r="AY375" s="20" t="s">
        <v>17</v>
      </c>
      <c r="AZ375" s="5"/>
      <c r="BA375" s="6"/>
      <c r="BB375" s="4"/>
      <c r="BC375" s="6"/>
      <c r="BD375" s="6"/>
      <c r="BE375" s="6"/>
      <c r="BF375" s="7"/>
    </row>
    <row r="376" spans="1:58" ht="18" customHeight="1">
      <c r="A376" s="106" t="s">
        <v>15</v>
      </c>
      <c r="B376" s="93" t="s">
        <v>354</v>
      </c>
      <c r="C376" s="28">
        <v>531.25</v>
      </c>
      <c r="D376" s="28">
        <v>531.37</v>
      </c>
      <c r="E376" s="28">
        <v>531.30999999999995</v>
      </c>
      <c r="F376" s="28">
        <v>531.30999999999995</v>
      </c>
      <c r="G376" s="29">
        <v>21455.555720732202</v>
      </c>
      <c r="H376" s="29">
        <v>17268.3886287922</v>
      </c>
      <c r="I376" s="27">
        <f t="shared" si="16"/>
        <v>1</v>
      </c>
      <c r="J376" s="27">
        <f t="shared" si="17"/>
        <v>1</v>
      </c>
      <c r="K376" s="27">
        <f t="shared" si="15"/>
        <v>1</v>
      </c>
      <c r="L376" s="25">
        <v>399.78878250000002</v>
      </c>
      <c r="M376" s="25">
        <v>402.27409130354863</v>
      </c>
      <c r="N376" s="38">
        <v>0.48115747845867141</v>
      </c>
      <c r="O376" s="38">
        <v>-9.3063533453133793</v>
      </c>
      <c r="P376" s="71">
        <v>-11.230983259148065</v>
      </c>
      <c r="Q376" s="53">
        <v>43766</v>
      </c>
      <c r="R376" s="23">
        <v>9</v>
      </c>
      <c r="S376" s="24">
        <v>399.78878250000002</v>
      </c>
      <c r="T376" s="24">
        <v>402.27409130354863</v>
      </c>
      <c r="U376" s="20">
        <v>0.48115747845867141</v>
      </c>
      <c r="V376" s="20">
        <v>-9.3063533453133793</v>
      </c>
      <c r="W376" s="20">
        <v>-11.230983259148065</v>
      </c>
      <c r="X376" s="22" t="s">
        <v>17</v>
      </c>
      <c r="Y376" s="23"/>
      <c r="Z376" s="24" t="s">
        <v>17</v>
      </c>
      <c r="AA376" s="24" t="s">
        <v>17</v>
      </c>
      <c r="AB376" s="20" t="s">
        <v>17</v>
      </c>
      <c r="AC376" s="20" t="s">
        <v>17</v>
      </c>
      <c r="AD376" s="20" t="s">
        <v>17</v>
      </c>
      <c r="AE376" s="22" t="s">
        <v>17</v>
      </c>
      <c r="AF376" s="23"/>
      <c r="AG376" s="24" t="s">
        <v>17</v>
      </c>
      <c r="AH376" s="24" t="s">
        <v>17</v>
      </c>
      <c r="AI376" s="20" t="s">
        <v>17</v>
      </c>
      <c r="AJ376" s="20" t="s">
        <v>17</v>
      </c>
      <c r="AK376" s="20" t="s">
        <v>17</v>
      </c>
      <c r="AL376" s="22" t="s">
        <v>17</v>
      </c>
      <c r="AM376" s="23" t="s">
        <v>17</v>
      </c>
      <c r="AN376" s="24" t="s">
        <v>17</v>
      </c>
      <c r="AO376" s="24" t="s">
        <v>17</v>
      </c>
      <c r="AP376" s="20" t="s">
        <v>17</v>
      </c>
      <c r="AQ376" s="20" t="s">
        <v>17</v>
      </c>
      <c r="AR376" s="20" t="s">
        <v>17</v>
      </c>
      <c r="AS376" s="21"/>
      <c r="AT376" s="20"/>
      <c r="AU376" s="4"/>
      <c r="AV376" s="20"/>
      <c r="AW376" s="20" t="s">
        <v>17</v>
      </c>
      <c r="AX376" s="20" t="s">
        <v>17</v>
      </c>
      <c r="AY376" s="20" t="s">
        <v>17</v>
      </c>
      <c r="AZ376" s="5"/>
      <c r="BA376" s="6"/>
      <c r="BB376" s="4"/>
      <c r="BC376" s="6"/>
      <c r="BD376" s="6"/>
      <c r="BE376" s="6"/>
      <c r="BF376" s="7"/>
    </row>
    <row r="377" spans="1:58" ht="18" customHeight="1">
      <c r="A377" s="106" t="s">
        <v>15</v>
      </c>
      <c r="B377" s="93" t="s">
        <v>355</v>
      </c>
      <c r="C377" s="28">
        <v>533.75</v>
      </c>
      <c r="D377" s="28">
        <v>533.87</v>
      </c>
      <c r="E377" s="28">
        <v>533.80999999999995</v>
      </c>
      <c r="F377" s="28">
        <v>533.80999999999995</v>
      </c>
      <c r="G377" s="29">
        <v>21641.912206595101</v>
      </c>
      <c r="H377" s="29">
        <v>17425.7641923214</v>
      </c>
      <c r="I377" s="27">
        <f t="shared" si="16"/>
        <v>1</v>
      </c>
      <c r="J377" s="27">
        <f t="shared" si="17"/>
        <v>1</v>
      </c>
      <c r="K377" s="27">
        <f t="shared" si="15"/>
        <v>1</v>
      </c>
      <c r="L377" s="25">
        <v>390.473657</v>
      </c>
      <c r="M377" s="25">
        <v>392.93941290137002</v>
      </c>
      <c r="N377" s="38">
        <v>0.48876019306520746</v>
      </c>
      <c r="O377" s="38">
        <v>-8.4719531346258989</v>
      </c>
      <c r="P377" s="71">
        <v>-10.426993906886729</v>
      </c>
      <c r="Q377" s="53">
        <v>43761</v>
      </c>
      <c r="R377" s="23">
        <v>9</v>
      </c>
      <c r="S377" s="24">
        <v>390.473657</v>
      </c>
      <c r="T377" s="24">
        <v>392.93941290137002</v>
      </c>
      <c r="U377" s="20">
        <v>0.48876019306520746</v>
      </c>
      <c r="V377" s="20">
        <v>-8.4719531346258989</v>
      </c>
      <c r="W377" s="20">
        <v>-10.426993906886729</v>
      </c>
      <c r="X377" s="22" t="s">
        <v>17</v>
      </c>
      <c r="Y377" s="23"/>
      <c r="Z377" s="24" t="s">
        <v>17</v>
      </c>
      <c r="AA377" s="24" t="s">
        <v>17</v>
      </c>
      <c r="AB377" s="20" t="s">
        <v>17</v>
      </c>
      <c r="AC377" s="20" t="s">
        <v>17</v>
      </c>
      <c r="AD377" s="20" t="s">
        <v>17</v>
      </c>
      <c r="AE377" s="22" t="s">
        <v>17</v>
      </c>
      <c r="AF377" s="23"/>
      <c r="AG377" s="24" t="s">
        <v>17</v>
      </c>
      <c r="AH377" s="24" t="s">
        <v>17</v>
      </c>
      <c r="AI377" s="20" t="s">
        <v>17</v>
      </c>
      <c r="AJ377" s="20" t="s">
        <v>17</v>
      </c>
      <c r="AK377" s="20" t="s">
        <v>17</v>
      </c>
      <c r="AL377" s="22" t="s">
        <v>17</v>
      </c>
      <c r="AM377" s="23" t="s">
        <v>17</v>
      </c>
      <c r="AN377" s="24" t="s">
        <v>17</v>
      </c>
      <c r="AO377" s="24" t="s">
        <v>17</v>
      </c>
      <c r="AP377" s="20" t="s">
        <v>17</v>
      </c>
      <c r="AQ377" s="20" t="s">
        <v>17</v>
      </c>
      <c r="AR377" s="20" t="s">
        <v>17</v>
      </c>
      <c r="AS377" s="21"/>
      <c r="AT377" s="20"/>
      <c r="AU377" s="4"/>
      <c r="AV377" s="20"/>
      <c r="AW377" s="20" t="s">
        <v>17</v>
      </c>
      <c r="AX377" s="20" t="s">
        <v>17</v>
      </c>
      <c r="AY377" s="20" t="s">
        <v>17</v>
      </c>
      <c r="AZ377" s="5"/>
      <c r="BA377" s="6"/>
      <c r="BB377" s="4"/>
      <c r="BC377" s="6"/>
      <c r="BD377" s="6"/>
      <c r="BE377" s="6"/>
      <c r="BF377" s="7"/>
    </row>
    <row r="378" spans="1:58" ht="18" customHeight="1">
      <c r="A378" s="106" t="s">
        <v>15</v>
      </c>
      <c r="B378" s="93" t="s">
        <v>356</v>
      </c>
      <c r="C378" s="28">
        <v>535.91</v>
      </c>
      <c r="D378" s="28">
        <v>536.03</v>
      </c>
      <c r="E378" s="28">
        <v>535.97</v>
      </c>
      <c r="F378" s="28">
        <v>535.97</v>
      </c>
      <c r="G378" s="29">
        <v>21802.714257197102</v>
      </c>
      <c r="H378" s="29">
        <v>17553.891351014299</v>
      </c>
      <c r="I378" s="27">
        <f t="shared" si="16"/>
        <v>2</v>
      </c>
      <c r="J378" s="27">
        <f t="shared" si="17"/>
        <v>3</v>
      </c>
      <c r="K378" s="27">
        <f t="shared" si="15"/>
        <v>2</v>
      </c>
      <c r="L378" s="25">
        <v>383.12392599999998</v>
      </c>
      <c r="M378" s="25">
        <v>385.44353715318937</v>
      </c>
      <c r="N378" s="38">
        <v>0.46755748595517233</v>
      </c>
      <c r="O378" s="38">
        <v>-5.3767017428170689</v>
      </c>
      <c r="P378" s="71">
        <v>-7.2486172284914048</v>
      </c>
      <c r="Q378" s="53">
        <v>43762</v>
      </c>
      <c r="R378" s="23">
        <v>9</v>
      </c>
      <c r="S378" s="24">
        <v>382.5000445</v>
      </c>
      <c r="T378" s="24">
        <v>384.82528513420681</v>
      </c>
      <c r="U378" s="20">
        <v>0.47051546241094755</v>
      </c>
      <c r="V378" s="20">
        <v>-5.708051435780237</v>
      </c>
      <c r="W378" s="20">
        <v>-7.5901132854240272</v>
      </c>
      <c r="X378" s="22">
        <v>43775</v>
      </c>
      <c r="Y378" s="23">
        <v>9</v>
      </c>
      <c r="Z378" s="24"/>
      <c r="AA378" s="24"/>
      <c r="AB378" s="20">
        <v>0.46544228042622038</v>
      </c>
      <c r="AC378" s="20">
        <v>-5.0453520498539017</v>
      </c>
      <c r="AD378" s="20">
        <v>-6.9071211715587832</v>
      </c>
      <c r="AE378" s="22">
        <v>44280</v>
      </c>
      <c r="AF378" s="23" t="s">
        <v>88</v>
      </c>
      <c r="AG378" s="24">
        <v>383.74780750000002</v>
      </c>
      <c r="AH378" s="24">
        <v>386.06178917217193</v>
      </c>
      <c r="AI378" s="1">
        <v>0.46671471502834905</v>
      </c>
      <c r="AJ378" s="2"/>
      <c r="AK378" s="2"/>
      <c r="AL378" s="22" t="s">
        <v>17</v>
      </c>
      <c r="AM378" s="23" t="s">
        <v>17</v>
      </c>
      <c r="AN378" s="24" t="s">
        <v>17</v>
      </c>
      <c r="AO378" s="24" t="s">
        <v>17</v>
      </c>
      <c r="AP378" s="20" t="s">
        <v>17</v>
      </c>
      <c r="AQ378" s="20" t="s">
        <v>17</v>
      </c>
      <c r="AR378" s="20" t="s">
        <v>17</v>
      </c>
      <c r="AS378" s="21"/>
      <c r="AT378" s="20"/>
      <c r="AU378" s="4"/>
      <c r="AV378" s="20"/>
      <c r="AW378" s="20" t="s">
        <v>17</v>
      </c>
      <c r="AX378" s="20" t="s">
        <v>17</v>
      </c>
      <c r="AY378" s="20" t="s">
        <v>17</v>
      </c>
      <c r="AZ378" s="5"/>
      <c r="BA378" s="6"/>
      <c r="BB378" s="4"/>
      <c r="BC378" s="6"/>
      <c r="BD378" s="6"/>
      <c r="BE378" s="6"/>
      <c r="BF378" s="7"/>
    </row>
    <row r="379" spans="1:58" ht="18" customHeight="1">
      <c r="A379" s="106" t="s">
        <v>15</v>
      </c>
      <c r="B379" s="93" t="s">
        <v>357</v>
      </c>
      <c r="C379" s="28">
        <v>537.75</v>
      </c>
      <c r="D379" s="28">
        <v>537.87</v>
      </c>
      <c r="E379" s="28">
        <v>537.80999999999995</v>
      </c>
      <c r="F379" s="28">
        <v>537.80999999999995</v>
      </c>
      <c r="G379" s="29">
        <v>21936.116194303599</v>
      </c>
      <c r="H379" s="29">
        <v>17665.865541364299</v>
      </c>
      <c r="I379" s="27">
        <f t="shared" si="16"/>
        <v>1</v>
      </c>
      <c r="J379" s="27">
        <f t="shared" si="17"/>
        <v>1</v>
      </c>
      <c r="K379" s="27">
        <f t="shared" si="15"/>
        <v>1</v>
      </c>
      <c r="L379" s="25">
        <v>379.28246250000001</v>
      </c>
      <c r="M379" s="25">
        <v>381.66368298049298</v>
      </c>
      <c r="N379" s="38">
        <v>0.48593069538571676</v>
      </c>
      <c r="O379" s="38">
        <v>-7.1723458452678246</v>
      </c>
      <c r="P379" s="71">
        <v>-9.1160686268106907</v>
      </c>
      <c r="Q379" s="53">
        <v>43761</v>
      </c>
      <c r="R379" s="23">
        <v>9</v>
      </c>
      <c r="S379" s="24">
        <v>379.28246250000001</v>
      </c>
      <c r="T379" s="24">
        <v>381.66368298049298</v>
      </c>
      <c r="U379" s="20">
        <v>0.48593069538571676</v>
      </c>
      <c r="V379" s="20">
        <v>-7.1723458452678246</v>
      </c>
      <c r="W379" s="20">
        <v>-9.1160686268106907</v>
      </c>
      <c r="X379" s="22" t="s">
        <v>17</v>
      </c>
      <c r="Y379" s="23"/>
      <c r="Z379" s="24" t="s">
        <v>17</v>
      </c>
      <c r="AA379" s="24" t="s">
        <v>17</v>
      </c>
      <c r="AB379" s="20" t="s">
        <v>17</v>
      </c>
      <c r="AC379" s="20" t="s">
        <v>17</v>
      </c>
      <c r="AD379" s="20" t="s">
        <v>17</v>
      </c>
      <c r="AE379" s="22" t="s">
        <v>17</v>
      </c>
      <c r="AF379" s="23"/>
      <c r="AG379" s="24" t="s">
        <v>17</v>
      </c>
      <c r="AH379" s="24" t="s">
        <v>17</v>
      </c>
      <c r="AI379" s="20" t="s">
        <v>17</v>
      </c>
      <c r="AJ379" s="20" t="s">
        <v>17</v>
      </c>
      <c r="AK379" s="20" t="s">
        <v>17</v>
      </c>
      <c r="AL379" s="22" t="s">
        <v>17</v>
      </c>
      <c r="AM379" s="23" t="s">
        <v>17</v>
      </c>
      <c r="AN379" s="24" t="s">
        <v>17</v>
      </c>
      <c r="AO379" s="24" t="s">
        <v>17</v>
      </c>
      <c r="AP379" s="20" t="s">
        <v>17</v>
      </c>
      <c r="AQ379" s="20" t="s">
        <v>17</v>
      </c>
      <c r="AR379" s="20" t="s">
        <v>17</v>
      </c>
      <c r="AS379" s="21"/>
      <c r="AT379" s="20"/>
      <c r="AU379" s="4"/>
      <c r="AV379" s="20"/>
      <c r="AW379" s="20" t="s">
        <v>17</v>
      </c>
      <c r="AX379" s="20" t="s">
        <v>17</v>
      </c>
      <c r="AY379" s="20" t="s">
        <v>17</v>
      </c>
      <c r="AZ379" s="5"/>
      <c r="BA379" s="6"/>
      <c r="BB379" s="4"/>
      <c r="BC379" s="6"/>
      <c r="BD379" s="6"/>
      <c r="BE379" s="6"/>
      <c r="BF379" s="7"/>
    </row>
    <row r="380" spans="1:58" ht="18" customHeight="1">
      <c r="A380" s="106" t="s">
        <v>15</v>
      </c>
      <c r="B380" s="93" t="s">
        <v>358</v>
      </c>
      <c r="C380" s="28">
        <v>539.13</v>
      </c>
      <c r="D380" s="28">
        <v>539.25</v>
      </c>
      <c r="E380" s="28">
        <v>539.19000000000005</v>
      </c>
      <c r="F380" s="28">
        <v>539.19000000000005</v>
      </c>
      <c r="G380" s="29">
        <v>22031.403420966901</v>
      </c>
      <c r="H380" s="29">
        <v>17758.184251473402</v>
      </c>
      <c r="I380" s="27">
        <f t="shared" si="16"/>
        <v>1</v>
      </c>
      <c r="J380" s="27">
        <f t="shared" si="17"/>
        <v>1</v>
      </c>
      <c r="K380" s="27">
        <f t="shared" si="15"/>
        <v>1</v>
      </c>
      <c r="L380" s="25">
        <v>378.20279700000003</v>
      </c>
      <c r="M380" s="25">
        <v>380.55973623202982</v>
      </c>
      <c r="N380" s="38">
        <v>0.48234872560715125</v>
      </c>
      <c r="O380" s="38">
        <v>-7.6471665644695097</v>
      </c>
      <c r="P380" s="71">
        <v>-9.5765614668981147</v>
      </c>
      <c r="Q380" s="53">
        <v>44116</v>
      </c>
      <c r="R380" s="23">
        <v>9</v>
      </c>
      <c r="S380" s="24">
        <v>378.20279700000003</v>
      </c>
      <c r="T380" s="24">
        <v>380.55973623202982</v>
      </c>
      <c r="U380" s="20">
        <v>0.48234872560715125</v>
      </c>
      <c r="V380" s="20">
        <v>-7.6471665644695097</v>
      </c>
      <c r="W380" s="20">
        <v>-9.5765614668981147</v>
      </c>
      <c r="X380" s="22" t="s">
        <v>17</v>
      </c>
      <c r="Y380" s="23"/>
      <c r="Z380" s="24" t="s">
        <v>17</v>
      </c>
      <c r="AA380" s="24" t="s">
        <v>17</v>
      </c>
      <c r="AB380" s="20" t="s">
        <v>17</v>
      </c>
      <c r="AC380" s="20" t="s">
        <v>17</v>
      </c>
      <c r="AD380" s="20" t="s">
        <v>17</v>
      </c>
      <c r="AE380" s="22" t="s">
        <v>17</v>
      </c>
      <c r="AF380" s="23"/>
      <c r="AG380" s="24" t="s">
        <v>17</v>
      </c>
      <c r="AH380" s="24" t="s">
        <v>17</v>
      </c>
      <c r="AI380" s="20" t="s">
        <v>17</v>
      </c>
      <c r="AJ380" s="20" t="s">
        <v>17</v>
      </c>
      <c r="AK380" s="20" t="s">
        <v>17</v>
      </c>
      <c r="AL380" s="22" t="s">
        <v>17</v>
      </c>
      <c r="AM380" s="23" t="s">
        <v>17</v>
      </c>
      <c r="AN380" s="24" t="s">
        <v>17</v>
      </c>
      <c r="AO380" s="24" t="s">
        <v>17</v>
      </c>
      <c r="AP380" s="20" t="s">
        <v>17</v>
      </c>
      <c r="AQ380" s="20" t="s">
        <v>17</v>
      </c>
      <c r="AR380" s="20" t="s">
        <v>17</v>
      </c>
      <c r="AS380" s="21"/>
      <c r="AT380" s="20"/>
      <c r="AU380" s="4"/>
      <c r="AV380" s="20"/>
      <c r="AW380" s="20" t="s">
        <v>17</v>
      </c>
      <c r="AX380" s="20" t="s">
        <v>17</v>
      </c>
      <c r="AY380" s="20" t="s">
        <v>17</v>
      </c>
      <c r="AZ380" s="5"/>
      <c r="BA380" s="6"/>
      <c r="BB380" s="4"/>
      <c r="BC380" s="6"/>
      <c r="BD380" s="6"/>
      <c r="BE380" s="6"/>
      <c r="BF380" s="7"/>
    </row>
    <row r="381" spans="1:58" ht="18" customHeight="1">
      <c r="A381" s="106" t="s">
        <v>15</v>
      </c>
      <c r="B381" s="93" t="s">
        <v>359</v>
      </c>
      <c r="C381" s="28">
        <v>541.25</v>
      </c>
      <c r="D381" s="28">
        <v>541.37</v>
      </c>
      <c r="E381" s="28">
        <v>541.30999999999995</v>
      </c>
      <c r="F381" s="28">
        <v>541.30999999999995</v>
      </c>
      <c r="G381" s="29">
        <v>22179.527080308901</v>
      </c>
      <c r="H381" s="29">
        <v>17909.1087952138</v>
      </c>
      <c r="I381" s="27">
        <f t="shared" si="16"/>
        <v>1</v>
      </c>
      <c r="J381" s="27">
        <f t="shared" si="17"/>
        <v>1</v>
      </c>
      <c r="K381" s="27">
        <f t="shared" si="15"/>
        <v>1</v>
      </c>
      <c r="L381" s="25">
        <v>378.71803599999998</v>
      </c>
      <c r="M381" s="25">
        <v>381.09065221313341</v>
      </c>
      <c r="N381" s="38">
        <v>0.48489643568050411</v>
      </c>
      <c r="O381" s="38">
        <v>-7.129437108664427</v>
      </c>
      <c r="P381" s="71">
        <v>-9.0690228513864426</v>
      </c>
      <c r="Q381" s="53">
        <v>43761</v>
      </c>
      <c r="R381" s="23">
        <v>9</v>
      </c>
      <c r="S381" s="24">
        <v>378.71803599999998</v>
      </c>
      <c r="T381" s="24">
        <v>381.09065221313341</v>
      </c>
      <c r="U381" s="20">
        <v>0.48489643568050411</v>
      </c>
      <c r="V381" s="20">
        <v>-7.129437108664427</v>
      </c>
      <c r="W381" s="20">
        <v>-9.0690228513864426</v>
      </c>
      <c r="X381" s="22" t="s">
        <v>17</v>
      </c>
      <c r="Y381" s="23"/>
      <c r="Z381" s="24" t="s">
        <v>17</v>
      </c>
      <c r="AA381" s="24" t="s">
        <v>17</v>
      </c>
      <c r="AB381" s="20" t="s">
        <v>17</v>
      </c>
      <c r="AC381" s="20" t="s">
        <v>17</v>
      </c>
      <c r="AD381" s="20" t="s">
        <v>17</v>
      </c>
      <c r="AE381" s="22" t="s">
        <v>17</v>
      </c>
      <c r="AF381" s="23"/>
      <c r="AG381" s="24" t="s">
        <v>17</v>
      </c>
      <c r="AH381" s="24" t="s">
        <v>17</v>
      </c>
      <c r="AI381" s="20" t="s">
        <v>17</v>
      </c>
      <c r="AJ381" s="20" t="s">
        <v>17</v>
      </c>
      <c r="AK381" s="20" t="s">
        <v>17</v>
      </c>
      <c r="AL381" s="22" t="s">
        <v>17</v>
      </c>
      <c r="AM381" s="23" t="s">
        <v>17</v>
      </c>
      <c r="AN381" s="24" t="s">
        <v>17</v>
      </c>
      <c r="AO381" s="24" t="s">
        <v>17</v>
      </c>
      <c r="AP381" s="20" t="s">
        <v>17</v>
      </c>
      <c r="AQ381" s="20" t="s">
        <v>17</v>
      </c>
      <c r="AR381" s="20" t="s">
        <v>17</v>
      </c>
      <c r="AS381" s="21"/>
      <c r="AT381" s="20"/>
      <c r="AU381" s="4"/>
      <c r="AV381" s="20"/>
      <c r="AW381" s="20" t="s">
        <v>17</v>
      </c>
      <c r="AX381" s="20" t="s">
        <v>17</v>
      </c>
      <c r="AY381" s="20" t="s">
        <v>17</v>
      </c>
      <c r="AZ381" s="5"/>
      <c r="BA381" s="6"/>
      <c r="BB381" s="4"/>
      <c r="BC381" s="6"/>
      <c r="BD381" s="6"/>
      <c r="BE381" s="6"/>
      <c r="BF381" s="7"/>
    </row>
    <row r="382" spans="1:58" ht="18" customHeight="1">
      <c r="A382" s="106" t="s">
        <v>15</v>
      </c>
      <c r="B382" s="93" t="s">
        <v>360</v>
      </c>
      <c r="C382" s="38">
        <v>543.35500000000002</v>
      </c>
      <c r="D382" s="38">
        <v>543.47500000000002</v>
      </c>
      <c r="E382" s="38">
        <v>543.41499999999996</v>
      </c>
      <c r="F382" s="38">
        <v>543.41499999999996</v>
      </c>
      <c r="G382" s="29">
        <v>22335.3698545068</v>
      </c>
      <c r="H382" s="29">
        <v>18055.856459731898</v>
      </c>
      <c r="I382" s="27">
        <f t="shared" si="16"/>
        <v>1</v>
      </c>
      <c r="J382" s="27">
        <f t="shared" si="17"/>
        <v>1</v>
      </c>
      <c r="K382" s="27">
        <f t="shared" si="15"/>
        <v>1</v>
      </c>
      <c r="L382" s="25">
        <v>376.81836299999998</v>
      </c>
      <c r="M382" s="25">
        <v>379.11982240998987</v>
      </c>
      <c r="N382" s="38">
        <v>0.47272519275010083</v>
      </c>
      <c r="O382" s="38">
        <v>-7.3935601127459449</v>
      </c>
      <c r="P382" s="71">
        <v>-9.2844608837463483</v>
      </c>
      <c r="Q382" s="53">
        <v>43761</v>
      </c>
      <c r="R382" s="23">
        <v>9</v>
      </c>
      <c r="S382" s="24">
        <v>376.81836299999998</v>
      </c>
      <c r="T382" s="24">
        <v>379.11982240998987</v>
      </c>
      <c r="U382" s="20">
        <v>0.47272519275010083</v>
      </c>
      <c r="V382" s="20">
        <v>-7.3935601127459449</v>
      </c>
      <c r="W382" s="20">
        <v>-9.2844608837463483</v>
      </c>
      <c r="X382" s="22" t="s">
        <v>17</v>
      </c>
      <c r="Y382" s="23"/>
      <c r="Z382" s="24" t="s">
        <v>17</v>
      </c>
      <c r="AA382" s="24" t="s">
        <v>17</v>
      </c>
      <c r="AB382" s="20" t="s">
        <v>17</v>
      </c>
      <c r="AC382" s="20" t="s">
        <v>17</v>
      </c>
      <c r="AD382" s="20" t="s">
        <v>17</v>
      </c>
      <c r="AE382" s="22" t="s">
        <v>17</v>
      </c>
      <c r="AF382" s="23"/>
      <c r="AG382" s="24" t="s">
        <v>17</v>
      </c>
      <c r="AH382" s="24" t="s">
        <v>17</v>
      </c>
      <c r="AI382" s="20" t="s">
        <v>17</v>
      </c>
      <c r="AJ382" s="20" t="s">
        <v>17</v>
      </c>
      <c r="AK382" s="20" t="s">
        <v>17</v>
      </c>
      <c r="AL382" s="22" t="s">
        <v>17</v>
      </c>
      <c r="AM382" s="23" t="s">
        <v>17</v>
      </c>
      <c r="AN382" s="24" t="s">
        <v>17</v>
      </c>
      <c r="AO382" s="24" t="s">
        <v>17</v>
      </c>
      <c r="AP382" s="20" t="s">
        <v>17</v>
      </c>
      <c r="AQ382" s="20" t="s">
        <v>17</v>
      </c>
      <c r="AR382" s="20" t="s">
        <v>17</v>
      </c>
      <c r="AS382" s="21"/>
      <c r="AT382" s="20"/>
      <c r="AU382" s="4"/>
      <c r="AV382" s="20"/>
      <c r="AW382" s="20" t="s">
        <v>17</v>
      </c>
      <c r="AX382" s="20" t="s">
        <v>17</v>
      </c>
      <c r="AY382" s="20" t="s">
        <v>17</v>
      </c>
      <c r="AZ382" s="5"/>
      <c r="BA382" s="6"/>
      <c r="BB382" s="4"/>
      <c r="BC382" s="6"/>
      <c r="BD382" s="6"/>
      <c r="BE382" s="6"/>
      <c r="BF382" s="7"/>
    </row>
    <row r="383" spans="1:58" ht="18" customHeight="1">
      <c r="A383" s="106" t="s">
        <v>15</v>
      </c>
      <c r="B383" s="93" t="s">
        <v>361</v>
      </c>
      <c r="C383" s="28">
        <v>545.29</v>
      </c>
      <c r="D383" s="28">
        <v>545.41</v>
      </c>
      <c r="E383" s="28">
        <v>545.34999999999991</v>
      </c>
      <c r="F383" s="28">
        <v>545.34999999999991</v>
      </c>
      <c r="G383" s="29">
        <v>22473.5837291555</v>
      </c>
      <c r="H383" s="29">
        <v>18203.826870704401</v>
      </c>
      <c r="I383" s="27">
        <f t="shared" si="16"/>
        <v>1</v>
      </c>
      <c r="J383" s="27">
        <f t="shared" si="17"/>
        <v>1</v>
      </c>
      <c r="K383" s="27">
        <f t="shared" si="15"/>
        <v>1</v>
      </c>
      <c r="L383" s="25">
        <v>377.6382615</v>
      </c>
      <c r="M383" s="25">
        <v>379.93356003776233</v>
      </c>
      <c r="N383" s="38">
        <v>0.47043613875263901</v>
      </c>
      <c r="O383" s="38">
        <v>-6.4049272776242061</v>
      </c>
      <c r="P383" s="71">
        <v>-8.286671832634763</v>
      </c>
      <c r="Q383" s="53">
        <v>43762</v>
      </c>
      <c r="R383" s="23">
        <v>9</v>
      </c>
      <c r="S383" s="24">
        <v>377.6382615</v>
      </c>
      <c r="T383" s="24">
        <v>379.93356003776233</v>
      </c>
      <c r="U383" s="20">
        <v>0.47043613875263901</v>
      </c>
      <c r="V383" s="20">
        <v>-6.4049272776242061</v>
      </c>
      <c r="W383" s="20">
        <v>-8.286671832634763</v>
      </c>
      <c r="X383" s="22" t="s">
        <v>17</v>
      </c>
      <c r="Y383" s="23"/>
      <c r="Z383" s="24" t="s">
        <v>17</v>
      </c>
      <c r="AA383" s="24" t="s">
        <v>17</v>
      </c>
      <c r="AB383" s="20" t="s">
        <v>17</v>
      </c>
      <c r="AC383" s="20" t="s">
        <v>17</v>
      </c>
      <c r="AD383" s="20" t="s">
        <v>17</v>
      </c>
      <c r="AE383" s="22" t="s">
        <v>17</v>
      </c>
      <c r="AF383" s="23"/>
      <c r="AG383" s="24" t="s">
        <v>17</v>
      </c>
      <c r="AH383" s="24" t="s">
        <v>17</v>
      </c>
      <c r="AI383" s="20" t="s">
        <v>17</v>
      </c>
      <c r="AJ383" s="20" t="s">
        <v>17</v>
      </c>
      <c r="AK383" s="20" t="s">
        <v>17</v>
      </c>
      <c r="AL383" s="22" t="s">
        <v>17</v>
      </c>
      <c r="AM383" s="23" t="s">
        <v>17</v>
      </c>
      <c r="AN383" s="24" t="s">
        <v>17</v>
      </c>
      <c r="AO383" s="24" t="s">
        <v>17</v>
      </c>
      <c r="AP383" s="20" t="s">
        <v>17</v>
      </c>
      <c r="AQ383" s="20" t="s">
        <v>17</v>
      </c>
      <c r="AR383" s="20" t="s">
        <v>17</v>
      </c>
      <c r="AS383" s="21"/>
      <c r="AT383" s="20"/>
      <c r="AU383" s="4"/>
      <c r="AV383" s="20"/>
      <c r="AW383" s="20" t="s">
        <v>17</v>
      </c>
      <c r="AX383" s="20" t="s">
        <v>17</v>
      </c>
      <c r="AY383" s="20" t="s">
        <v>17</v>
      </c>
      <c r="AZ383" s="5"/>
      <c r="BA383" s="6"/>
      <c r="BB383" s="4"/>
      <c r="BC383" s="6"/>
      <c r="BD383" s="6"/>
      <c r="BE383" s="6"/>
      <c r="BF383" s="7"/>
    </row>
    <row r="384" spans="1:58" ht="18" customHeight="1">
      <c r="A384" s="107" t="s">
        <v>15</v>
      </c>
      <c r="B384" s="93" t="s">
        <v>362</v>
      </c>
      <c r="C384" s="28">
        <v>546.25</v>
      </c>
      <c r="D384" s="28">
        <v>546.37</v>
      </c>
      <c r="E384" s="28">
        <v>546.30999999999995</v>
      </c>
      <c r="F384" s="28">
        <v>546.30999999999995</v>
      </c>
      <c r="G384" s="29">
        <v>22546.052675648902</v>
      </c>
      <c r="H384" s="29">
        <v>18278.623231145</v>
      </c>
      <c r="I384" s="27">
        <f t="shared" si="16"/>
        <v>1</v>
      </c>
      <c r="J384" s="27">
        <f t="shared" si="17"/>
        <v>1</v>
      </c>
      <c r="K384" s="27">
        <f t="shared" si="15"/>
        <v>1</v>
      </c>
      <c r="L384" s="25">
        <v>376.40811400000001</v>
      </c>
      <c r="M384" s="25">
        <v>378.71380274831904</v>
      </c>
      <c r="N384" s="38">
        <v>0.47411008108300123</v>
      </c>
      <c r="O384" s="38">
        <v>-7.727086811236461</v>
      </c>
      <c r="P384" s="71">
        <v>-9.623527135568466</v>
      </c>
      <c r="Q384" s="53">
        <v>43893</v>
      </c>
      <c r="R384" s="23">
        <v>9</v>
      </c>
      <c r="S384" s="24">
        <v>376.40811400000001</v>
      </c>
      <c r="T384" s="24">
        <v>378.71380274831904</v>
      </c>
      <c r="U384" s="20">
        <v>0.47411008108300123</v>
      </c>
      <c r="V384" s="20">
        <v>-7.727086811236461</v>
      </c>
      <c r="W384" s="20">
        <v>-9.623527135568466</v>
      </c>
      <c r="X384" s="22" t="s">
        <v>17</v>
      </c>
      <c r="Y384" s="23"/>
      <c r="Z384" s="24" t="s">
        <v>17</v>
      </c>
      <c r="AA384" s="24" t="s">
        <v>17</v>
      </c>
      <c r="AB384" s="20" t="s">
        <v>17</v>
      </c>
      <c r="AC384" s="20" t="s">
        <v>17</v>
      </c>
      <c r="AD384" s="20" t="s">
        <v>17</v>
      </c>
      <c r="AE384" s="22" t="s">
        <v>17</v>
      </c>
      <c r="AF384" s="23"/>
      <c r="AG384" s="24" t="s">
        <v>17</v>
      </c>
      <c r="AH384" s="24" t="s">
        <v>17</v>
      </c>
      <c r="AI384" s="20" t="s">
        <v>17</v>
      </c>
      <c r="AJ384" s="20" t="s">
        <v>17</v>
      </c>
      <c r="AK384" s="20" t="s">
        <v>17</v>
      </c>
      <c r="AL384" s="22" t="s">
        <v>17</v>
      </c>
      <c r="AM384" s="23" t="s">
        <v>17</v>
      </c>
      <c r="AN384" s="24" t="s">
        <v>17</v>
      </c>
      <c r="AO384" s="24" t="s">
        <v>17</v>
      </c>
      <c r="AP384" s="20" t="s">
        <v>17</v>
      </c>
      <c r="AQ384" s="20" t="s">
        <v>17</v>
      </c>
      <c r="AR384" s="20" t="s">
        <v>17</v>
      </c>
      <c r="AS384" s="21"/>
      <c r="AT384" s="20"/>
      <c r="AU384" s="4"/>
      <c r="AV384" s="20"/>
      <c r="AW384" s="20" t="s">
        <v>17</v>
      </c>
      <c r="AX384" s="20" t="s">
        <v>17</v>
      </c>
      <c r="AY384" s="20" t="s">
        <v>17</v>
      </c>
      <c r="AZ384" s="5"/>
      <c r="BA384" s="6"/>
      <c r="BB384" s="4"/>
      <c r="BC384" s="6"/>
      <c r="BD384" s="6"/>
      <c r="BE384" s="6"/>
      <c r="BF384" s="7"/>
    </row>
    <row r="385" spans="1:58" ht="18" customHeight="1">
      <c r="A385" s="106" t="s">
        <v>15</v>
      </c>
      <c r="B385" s="93" t="s">
        <v>363</v>
      </c>
      <c r="C385" s="28">
        <v>547.58000000000004</v>
      </c>
      <c r="D385" s="28">
        <v>547.70000000000005</v>
      </c>
      <c r="E385" s="28">
        <v>547.6400000000001</v>
      </c>
      <c r="F385" s="28">
        <v>547.6400000000001</v>
      </c>
      <c r="G385" s="29">
        <v>22653.892904291301</v>
      </c>
      <c r="H385" s="29">
        <v>18377.891527591499</v>
      </c>
      <c r="I385" s="27">
        <f t="shared" si="16"/>
        <v>1</v>
      </c>
      <c r="J385" s="27">
        <f t="shared" si="17"/>
        <v>1</v>
      </c>
      <c r="K385" s="27">
        <f t="shared" si="15"/>
        <v>1</v>
      </c>
      <c r="L385" s="25">
        <v>375.19185749999997</v>
      </c>
      <c r="M385" s="25">
        <v>377.50800247888071</v>
      </c>
      <c r="N385" s="38">
        <v>0.47780404514741193</v>
      </c>
      <c r="O385" s="38">
        <v>-5.5057068524999586</v>
      </c>
      <c r="P385" s="71">
        <v>-7.4169230330896063</v>
      </c>
      <c r="Q385" s="53">
        <v>43762</v>
      </c>
      <c r="R385" s="23">
        <v>9</v>
      </c>
      <c r="S385" s="24">
        <v>375.19185749999997</v>
      </c>
      <c r="T385" s="24">
        <v>377.50800247888071</v>
      </c>
      <c r="U385" s="20">
        <v>0.47780404514741193</v>
      </c>
      <c r="V385" s="20">
        <v>-5.5057068524999586</v>
      </c>
      <c r="W385" s="20">
        <v>-7.4169230330896063</v>
      </c>
      <c r="X385" s="22" t="s">
        <v>17</v>
      </c>
      <c r="Y385" s="23"/>
      <c r="Z385" s="24" t="s">
        <v>17</v>
      </c>
      <c r="AA385" s="24" t="s">
        <v>17</v>
      </c>
      <c r="AB385" s="20" t="s">
        <v>17</v>
      </c>
      <c r="AC385" s="20" t="s">
        <v>17</v>
      </c>
      <c r="AD385" s="20" t="s">
        <v>17</v>
      </c>
      <c r="AE385" s="22" t="s">
        <v>17</v>
      </c>
      <c r="AF385" s="23"/>
      <c r="AG385" s="24" t="s">
        <v>17</v>
      </c>
      <c r="AH385" s="24" t="s">
        <v>17</v>
      </c>
      <c r="AI385" s="20" t="s">
        <v>17</v>
      </c>
      <c r="AJ385" s="20" t="s">
        <v>17</v>
      </c>
      <c r="AK385" s="20" t="s">
        <v>17</v>
      </c>
      <c r="AL385" s="22" t="s">
        <v>17</v>
      </c>
      <c r="AM385" s="23" t="s">
        <v>17</v>
      </c>
      <c r="AN385" s="24" t="s">
        <v>17</v>
      </c>
      <c r="AO385" s="24" t="s">
        <v>17</v>
      </c>
      <c r="AP385" s="20" t="s">
        <v>17</v>
      </c>
      <c r="AQ385" s="20" t="s">
        <v>17</v>
      </c>
      <c r="AR385" s="20" t="s">
        <v>17</v>
      </c>
      <c r="AS385" s="21"/>
      <c r="AT385" s="20"/>
      <c r="AU385" s="4"/>
      <c r="AV385" s="20"/>
      <c r="AW385" s="20" t="s">
        <v>17</v>
      </c>
      <c r="AX385" s="20" t="s">
        <v>17</v>
      </c>
      <c r="AY385" s="20" t="s">
        <v>17</v>
      </c>
      <c r="AZ385" s="5"/>
      <c r="BA385" s="6"/>
      <c r="BB385" s="4"/>
      <c r="BC385" s="6"/>
      <c r="BD385" s="6"/>
      <c r="BE385" s="6"/>
      <c r="BF385" s="7"/>
    </row>
    <row r="386" spans="1:58" ht="18" customHeight="1">
      <c r="A386" s="106" t="s">
        <v>15</v>
      </c>
      <c r="B386" s="93" t="s">
        <v>364</v>
      </c>
      <c r="C386" s="28">
        <v>549.41999999999996</v>
      </c>
      <c r="D386" s="28">
        <v>549.54</v>
      </c>
      <c r="E386" s="28">
        <v>549.48</v>
      </c>
      <c r="F386" s="28">
        <v>549.48</v>
      </c>
      <c r="G386" s="29">
        <v>22809.776528520801</v>
      </c>
      <c r="H386" s="29">
        <v>18496.902257905302</v>
      </c>
      <c r="I386" s="27">
        <f t="shared" si="16"/>
        <v>1</v>
      </c>
      <c r="J386" s="27">
        <f t="shared" si="17"/>
        <v>1</v>
      </c>
      <c r="K386" s="27">
        <f t="shared" si="15"/>
        <v>1</v>
      </c>
      <c r="L386" s="25">
        <v>378.1928575</v>
      </c>
      <c r="M386" s="25">
        <v>380.49079801417912</v>
      </c>
      <c r="N386" s="38">
        <v>0.46967942707398791</v>
      </c>
      <c r="O386" s="38">
        <v>-6.3627122338701936</v>
      </c>
      <c r="P386" s="71">
        <v>-8.2414299421661461</v>
      </c>
      <c r="Q386" s="53">
        <v>44144</v>
      </c>
      <c r="R386" s="23">
        <v>9</v>
      </c>
      <c r="S386" s="24">
        <v>378.1928575</v>
      </c>
      <c r="T386" s="24">
        <v>380.49079801417912</v>
      </c>
      <c r="U386" s="20">
        <v>0.46967942707398791</v>
      </c>
      <c r="V386" s="20">
        <v>-6.3627122338701936</v>
      </c>
      <c r="W386" s="20">
        <v>-8.2414299421661461</v>
      </c>
      <c r="X386" s="22" t="s">
        <v>17</v>
      </c>
      <c r="Y386" s="23"/>
      <c r="Z386" s="24" t="s">
        <v>17</v>
      </c>
      <c r="AA386" s="24" t="s">
        <v>17</v>
      </c>
      <c r="AB386" s="20" t="s">
        <v>17</v>
      </c>
      <c r="AC386" s="20" t="s">
        <v>17</v>
      </c>
      <c r="AD386" s="20" t="s">
        <v>17</v>
      </c>
      <c r="AE386" s="22" t="s">
        <v>17</v>
      </c>
      <c r="AF386" s="23"/>
      <c r="AG386" s="24" t="s">
        <v>17</v>
      </c>
      <c r="AH386" s="24" t="s">
        <v>17</v>
      </c>
      <c r="AI386" s="20" t="s">
        <v>17</v>
      </c>
      <c r="AJ386" s="20" t="s">
        <v>17</v>
      </c>
      <c r="AK386" s="20" t="s">
        <v>17</v>
      </c>
      <c r="AL386" s="22" t="s">
        <v>17</v>
      </c>
      <c r="AM386" s="23" t="s">
        <v>17</v>
      </c>
      <c r="AN386" s="24" t="s">
        <v>17</v>
      </c>
      <c r="AO386" s="24" t="s">
        <v>17</v>
      </c>
      <c r="AP386" s="20" t="s">
        <v>17</v>
      </c>
      <c r="AQ386" s="20" t="s">
        <v>17</v>
      </c>
      <c r="AR386" s="20" t="s">
        <v>17</v>
      </c>
      <c r="AS386" s="21"/>
      <c r="AT386" s="20"/>
      <c r="AU386" s="4"/>
      <c r="AV386" s="20"/>
      <c r="AW386" s="20" t="s">
        <v>17</v>
      </c>
      <c r="AX386" s="20" t="s">
        <v>17</v>
      </c>
      <c r="AY386" s="20" t="s">
        <v>17</v>
      </c>
      <c r="AZ386" s="5"/>
      <c r="BA386" s="6"/>
      <c r="BB386" s="4"/>
      <c r="BC386" s="6"/>
      <c r="BD386" s="6"/>
      <c r="BE386" s="6"/>
      <c r="BF386" s="7"/>
    </row>
    <row r="387" spans="1:58" ht="18" customHeight="1">
      <c r="A387" s="106" t="s">
        <v>15</v>
      </c>
      <c r="B387" s="93" t="s">
        <v>365</v>
      </c>
      <c r="C387" s="28">
        <v>550.96</v>
      </c>
      <c r="D387" s="28">
        <v>551.08000000000004</v>
      </c>
      <c r="E387" s="28">
        <v>551.02</v>
      </c>
      <c r="F387" s="28">
        <v>551.02</v>
      </c>
      <c r="G387" s="29">
        <v>22928.752519119698</v>
      </c>
      <c r="H387" s="29">
        <v>18583.526627071002</v>
      </c>
      <c r="I387" s="27">
        <f t="shared" si="16"/>
        <v>1</v>
      </c>
      <c r="J387" s="27">
        <f t="shared" si="17"/>
        <v>1</v>
      </c>
      <c r="K387" s="27">
        <f t="shared" si="15"/>
        <v>1</v>
      </c>
      <c r="L387" s="25">
        <v>377.57743949999997</v>
      </c>
      <c r="M387" s="25">
        <v>379.91716283393026</v>
      </c>
      <c r="N387" s="38">
        <v>0.47961853213718264</v>
      </c>
      <c r="O387" s="38">
        <v>-6.9825114832730018</v>
      </c>
      <c r="P387" s="71">
        <v>-8.9009856118217314</v>
      </c>
      <c r="Q387" s="53">
        <v>43766</v>
      </c>
      <c r="R387" s="23">
        <v>9</v>
      </c>
      <c r="S387" s="24">
        <v>377.57743949999997</v>
      </c>
      <c r="T387" s="24">
        <v>379.91716283393026</v>
      </c>
      <c r="U387" s="20">
        <v>0.47961853213718264</v>
      </c>
      <c r="V387" s="20">
        <v>-6.9825114832730018</v>
      </c>
      <c r="W387" s="20">
        <v>-8.9009856118217314</v>
      </c>
      <c r="X387" s="22" t="s">
        <v>17</v>
      </c>
      <c r="Y387" s="23"/>
      <c r="Z387" s="24" t="s">
        <v>17</v>
      </c>
      <c r="AA387" s="24" t="s">
        <v>17</v>
      </c>
      <c r="AB387" s="20" t="s">
        <v>17</v>
      </c>
      <c r="AC387" s="20" t="s">
        <v>17</v>
      </c>
      <c r="AD387" s="20" t="s">
        <v>17</v>
      </c>
      <c r="AE387" s="22" t="s">
        <v>17</v>
      </c>
      <c r="AF387" s="23"/>
      <c r="AG387" s="24" t="s">
        <v>17</v>
      </c>
      <c r="AH387" s="24" t="s">
        <v>17</v>
      </c>
      <c r="AI387" s="20" t="s">
        <v>17</v>
      </c>
      <c r="AJ387" s="20" t="s">
        <v>17</v>
      </c>
      <c r="AK387" s="20" t="s">
        <v>17</v>
      </c>
      <c r="AL387" s="22" t="s">
        <v>17</v>
      </c>
      <c r="AM387" s="23" t="s">
        <v>17</v>
      </c>
      <c r="AN387" s="24" t="s">
        <v>17</v>
      </c>
      <c r="AO387" s="24" t="s">
        <v>17</v>
      </c>
      <c r="AP387" s="20" t="s">
        <v>17</v>
      </c>
      <c r="AQ387" s="20" t="s">
        <v>17</v>
      </c>
      <c r="AR387" s="20" t="s">
        <v>17</v>
      </c>
      <c r="AS387" s="21"/>
      <c r="AT387" s="20"/>
      <c r="AU387" s="4"/>
      <c r="AV387" s="20"/>
      <c r="AW387" s="20" t="s">
        <v>17</v>
      </c>
      <c r="AX387" s="20" t="s">
        <v>17</v>
      </c>
      <c r="AY387" s="20" t="s">
        <v>17</v>
      </c>
      <c r="AZ387" s="5"/>
      <c r="BA387" s="6"/>
      <c r="BB387" s="4"/>
      <c r="BC387" s="6"/>
      <c r="BD387" s="6"/>
      <c r="BE387" s="6"/>
      <c r="BF387" s="7"/>
    </row>
    <row r="388" spans="1:58" ht="18" customHeight="1">
      <c r="A388" s="106" t="s">
        <v>15</v>
      </c>
      <c r="B388" s="93" t="s">
        <v>366</v>
      </c>
      <c r="C388" s="28">
        <v>552.84</v>
      </c>
      <c r="D388" s="28">
        <v>552.96</v>
      </c>
      <c r="E388" s="28">
        <v>552.90000000000009</v>
      </c>
      <c r="F388" s="28">
        <v>552.90000000000009</v>
      </c>
      <c r="G388" s="29">
        <v>23054.011404521301</v>
      </c>
      <c r="H388" s="29">
        <v>18707.5457015789</v>
      </c>
      <c r="I388" s="27">
        <f t="shared" si="16"/>
        <v>1</v>
      </c>
      <c r="J388" s="27">
        <f t="shared" si="17"/>
        <v>1</v>
      </c>
      <c r="K388" s="27">
        <f t="shared" si="15"/>
        <v>1</v>
      </c>
      <c r="L388" s="25">
        <v>375.35549600000002</v>
      </c>
      <c r="M388" s="25">
        <v>377.62975344203409</v>
      </c>
      <c r="N388" s="38">
        <v>0.46895841323846277</v>
      </c>
      <c r="O388" s="38">
        <v>-7.0735745474660439</v>
      </c>
      <c r="P388" s="71">
        <v>-8.9494082004198958</v>
      </c>
      <c r="Q388" s="53">
        <v>44018</v>
      </c>
      <c r="R388" s="23">
        <v>10</v>
      </c>
      <c r="S388" s="24">
        <v>375.35549600000002</v>
      </c>
      <c r="T388" s="24">
        <v>377.62975344203409</v>
      </c>
      <c r="U388" s="20">
        <v>0.46895841323846277</v>
      </c>
      <c r="V388" s="20">
        <v>-7.0735745474660439</v>
      </c>
      <c r="W388" s="20">
        <v>-8.9494082004198958</v>
      </c>
      <c r="X388" s="22" t="s">
        <v>17</v>
      </c>
      <c r="Y388" s="23"/>
      <c r="Z388" s="24" t="s">
        <v>17</v>
      </c>
      <c r="AA388" s="24" t="s">
        <v>17</v>
      </c>
      <c r="AB388" s="20" t="s">
        <v>17</v>
      </c>
      <c r="AC388" s="20" t="s">
        <v>17</v>
      </c>
      <c r="AD388" s="20" t="s">
        <v>17</v>
      </c>
      <c r="AE388" s="22" t="s">
        <v>17</v>
      </c>
      <c r="AF388" s="23"/>
      <c r="AG388" s="24" t="s">
        <v>17</v>
      </c>
      <c r="AH388" s="24" t="s">
        <v>17</v>
      </c>
      <c r="AI388" s="20" t="s">
        <v>17</v>
      </c>
      <c r="AJ388" s="20" t="s">
        <v>17</v>
      </c>
      <c r="AK388" s="20" t="s">
        <v>17</v>
      </c>
      <c r="AL388" s="22" t="s">
        <v>17</v>
      </c>
      <c r="AM388" s="23" t="s">
        <v>17</v>
      </c>
      <c r="AN388" s="24" t="s">
        <v>17</v>
      </c>
      <c r="AO388" s="24" t="s">
        <v>17</v>
      </c>
      <c r="AP388" s="20" t="s">
        <v>17</v>
      </c>
      <c r="AQ388" s="20" t="s">
        <v>17</v>
      </c>
      <c r="AR388" s="20" t="s">
        <v>17</v>
      </c>
      <c r="AS388" s="21"/>
      <c r="AT388" s="20"/>
      <c r="AU388" s="4"/>
      <c r="AV388" s="20"/>
      <c r="AW388" s="20" t="s">
        <v>17</v>
      </c>
      <c r="AX388" s="20" t="s">
        <v>17</v>
      </c>
      <c r="AY388" s="20" t="s">
        <v>17</v>
      </c>
      <c r="AZ388" s="5"/>
      <c r="BA388" s="6"/>
      <c r="BB388" s="4"/>
      <c r="BC388" s="6"/>
      <c r="BD388" s="6"/>
      <c r="BE388" s="6"/>
      <c r="BF388" s="7"/>
    </row>
    <row r="389" spans="1:58" ht="18" customHeight="1">
      <c r="A389" s="106" t="s">
        <v>15</v>
      </c>
      <c r="B389" s="93" t="s">
        <v>367</v>
      </c>
      <c r="C389" s="28">
        <v>554.34</v>
      </c>
      <c r="D389" s="28">
        <v>554.46</v>
      </c>
      <c r="E389" s="28">
        <v>554.40000000000009</v>
      </c>
      <c r="F389" s="28">
        <v>554.40000000000009</v>
      </c>
      <c r="G389" s="29">
        <v>23153.256177433399</v>
      </c>
      <c r="H389" s="29">
        <v>18810.368723644799</v>
      </c>
      <c r="I389" s="27">
        <f t="shared" si="16"/>
        <v>1</v>
      </c>
      <c r="J389" s="27">
        <f t="shared" si="17"/>
        <v>1</v>
      </c>
      <c r="K389" s="27">
        <f t="shared" si="15"/>
        <v>1</v>
      </c>
      <c r="L389" s="25">
        <v>376.24309649999998</v>
      </c>
      <c r="M389" s="25">
        <v>378.61895675131655</v>
      </c>
      <c r="N389" s="38">
        <v>0.48875345233345691</v>
      </c>
      <c r="O389" s="38">
        <v>-7.629189336570863</v>
      </c>
      <c r="P389" s="71">
        <v>-9.5842031459046915</v>
      </c>
      <c r="Q389" s="53">
        <v>43766</v>
      </c>
      <c r="R389" s="23">
        <v>9</v>
      </c>
      <c r="S389" s="24">
        <v>376.24309649999998</v>
      </c>
      <c r="T389" s="24">
        <v>378.61895675131655</v>
      </c>
      <c r="U389" s="20">
        <v>0.48875345233345691</v>
      </c>
      <c r="V389" s="20">
        <v>-7.629189336570863</v>
      </c>
      <c r="W389" s="20">
        <v>-9.5842031459046915</v>
      </c>
      <c r="X389" s="22" t="s">
        <v>17</v>
      </c>
      <c r="Y389" s="23"/>
      <c r="Z389" s="24" t="s">
        <v>17</v>
      </c>
      <c r="AA389" s="24" t="s">
        <v>17</v>
      </c>
      <c r="AB389" s="20" t="s">
        <v>17</v>
      </c>
      <c r="AC389" s="20" t="s">
        <v>17</v>
      </c>
      <c r="AD389" s="20" t="s">
        <v>17</v>
      </c>
      <c r="AE389" s="22" t="s">
        <v>17</v>
      </c>
      <c r="AF389" s="23"/>
      <c r="AG389" s="24" t="s">
        <v>17</v>
      </c>
      <c r="AH389" s="24" t="s">
        <v>17</v>
      </c>
      <c r="AI389" s="20" t="s">
        <v>17</v>
      </c>
      <c r="AJ389" s="20" t="s">
        <v>17</v>
      </c>
      <c r="AK389" s="20" t="s">
        <v>17</v>
      </c>
      <c r="AL389" s="22" t="s">
        <v>17</v>
      </c>
      <c r="AM389" s="23" t="s">
        <v>17</v>
      </c>
      <c r="AN389" s="24" t="s">
        <v>17</v>
      </c>
      <c r="AO389" s="24" t="s">
        <v>17</v>
      </c>
      <c r="AP389" s="20" t="s">
        <v>17</v>
      </c>
      <c r="AQ389" s="20" t="s">
        <v>17</v>
      </c>
      <c r="AR389" s="20" t="s">
        <v>17</v>
      </c>
      <c r="AS389" s="21"/>
      <c r="AT389" s="20"/>
      <c r="AU389" s="4"/>
      <c r="AV389" s="20"/>
      <c r="AW389" s="20" t="s">
        <v>17</v>
      </c>
      <c r="AX389" s="20" t="s">
        <v>17</v>
      </c>
      <c r="AY389" s="20" t="s">
        <v>17</v>
      </c>
      <c r="AZ389" s="5"/>
      <c r="BA389" s="6"/>
      <c r="BB389" s="4"/>
      <c r="BC389" s="6"/>
      <c r="BD389" s="6"/>
      <c r="BE389" s="6"/>
      <c r="BF389" s="7"/>
    </row>
    <row r="390" spans="1:58" ht="18" customHeight="1">
      <c r="A390" s="106" t="s">
        <v>15</v>
      </c>
      <c r="B390" s="93" t="s">
        <v>368</v>
      </c>
      <c r="C390" s="28">
        <v>555.33000000000004</v>
      </c>
      <c r="D390" s="28">
        <v>555.41499999999996</v>
      </c>
      <c r="E390" s="28">
        <v>555.37249999999995</v>
      </c>
      <c r="F390" s="28">
        <v>555.37249999999995</v>
      </c>
      <c r="G390" s="29">
        <v>23218.449190227799</v>
      </c>
      <c r="H390" s="29">
        <v>18878.6594902057</v>
      </c>
      <c r="I390" s="27">
        <f t="shared" si="16"/>
        <v>1</v>
      </c>
      <c r="J390" s="27">
        <f t="shared" si="17"/>
        <v>1</v>
      </c>
      <c r="K390" s="27">
        <f t="shared" si="15"/>
        <v>1</v>
      </c>
      <c r="L390" s="25">
        <v>376.42797200000001</v>
      </c>
      <c r="M390" s="25">
        <v>378.75995398922242</v>
      </c>
      <c r="N390" s="38">
        <v>0.47949136472280607</v>
      </c>
      <c r="O390" s="38">
        <v>-8.6422886413963784</v>
      </c>
      <c r="P390" s="71">
        <v>-10.560254100287603</v>
      </c>
      <c r="Q390" s="53">
        <v>44116</v>
      </c>
      <c r="R390" s="23">
        <v>9</v>
      </c>
      <c r="S390" s="24">
        <v>376.42797200000001</v>
      </c>
      <c r="T390" s="24">
        <v>378.75995398922242</v>
      </c>
      <c r="U390" s="20">
        <v>0.47949136472280607</v>
      </c>
      <c r="V390" s="20">
        <v>-8.6422886413963784</v>
      </c>
      <c r="W390" s="20">
        <v>-10.560254100287603</v>
      </c>
      <c r="X390" s="22" t="s">
        <v>17</v>
      </c>
      <c r="Y390" s="23"/>
      <c r="Z390" s="24" t="s">
        <v>17</v>
      </c>
      <c r="AA390" s="24" t="s">
        <v>17</v>
      </c>
      <c r="AB390" s="20" t="s">
        <v>17</v>
      </c>
      <c r="AC390" s="20" t="s">
        <v>17</v>
      </c>
      <c r="AD390" s="20" t="s">
        <v>17</v>
      </c>
      <c r="AE390" s="22" t="s">
        <v>17</v>
      </c>
      <c r="AF390" s="23"/>
      <c r="AG390" s="24" t="s">
        <v>17</v>
      </c>
      <c r="AH390" s="24" t="s">
        <v>17</v>
      </c>
      <c r="AI390" s="20" t="s">
        <v>17</v>
      </c>
      <c r="AJ390" s="20" t="s">
        <v>17</v>
      </c>
      <c r="AK390" s="20" t="s">
        <v>17</v>
      </c>
      <c r="AL390" s="22" t="s">
        <v>17</v>
      </c>
      <c r="AM390" s="23" t="s">
        <v>17</v>
      </c>
      <c r="AN390" s="24" t="s">
        <v>17</v>
      </c>
      <c r="AO390" s="24" t="s">
        <v>17</v>
      </c>
      <c r="AP390" s="20" t="s">
        <v>17</v>
      </c>
      <c r="AQ390" s="20" t="s">
        <v>17</v>
      </c>
      <c r="AR390" s="20" t="s">
        <v>17</v>
      </c>
      <c r="AS390" s="21"/>
      <c r="AT390" s="20"/>
      <c r="AU390" s="4"/>
      <c r="AV390" s="20"/>
      <c r="AW390" s="20" t="s">
        <v>17</v>
      </c>
      <c r="AX390" s="20" t="s">
        <v>17</v>
      </c>
      <c r="AY390" s="20" t="s">
        <v>17</v>
      </c>
      <c r="AZ390" s="5"/>
      <c r="BA390" s="6"/>
      <c r="BB390" s="4"/>
      <c r="BC390" s="6"/>
      <c r="BD390" s="6"/>
      <c r="BE390" s="6"/>
      <c r="BF390" s="7"/>
    </row>
    <row r="391" spans="1:58" ht="18" customHeight="1">
      <c r="A391" s="107" t="s">
        <v>15</v>
      </c>
      <c r="B391" s="93" t="s">
        <v>369</v>
      </c>
      <c r="C391" s="28">
        <v>556.85500000000002</v>
      </c>
      <c r="D391" s="28">
        <v>556.97500000000002</v>
      </c>
      <c r="E391" s="28">
        <v>556.91499999999996</v>
      </c>
      <c r="F391" s="28">
        <v>556.91499999999996</v>
      </c>
      <c r="G391" s="29">
        <v>23325.891879092698</v>
      </c>
      <c r="H391" s="29">
        <v>18990.669211029901</v>
      </c>
      <c r="I391" s="27">
        <f t="shared" si="16"/>
        <v>1</v>
      </c>
      <c r="J391" s="27">
        <f t="shared" si="17"/>
        <v>1</v>
      </c>
      <c r="K391" s="27">
        <f t="shared" si="15"/>
        <v>1</v>
      </c>
      <c r="L391" s="25">
        <v>376.85583050000002</v>
      </c>
      <c r="M391" s="25">
        <v>379.1895362580297</v>
      </c>
      <c r="N391" s="38">
        <v>0.47930101124560309</v>
      </c>
      <c r="O391" s="38">
        <v>-6.8127472854859761</v>
      </c>
      <c r="P391" s="71">
        <v>-8.7299513304683884</v>
      </c>
      <c r="Q391" s="53">
        <v>43892</v>
      </c>
      <c r="R391" s="23">
        <v>9</v>
      </c>
      <c r="S391" s="24">
        <v>376.85583050000002</v>
      </c>
      <c r="T391" s="24">
        <v>379.1895362580297</v>
      </c>
      <c r="U391" s="20">
        <v>0.47930101124560309</v>
      </c>
      <c r="V391" s="20">
        <v>-6.8127472854859761</v>
      </c>
      <c r="W391" s="20">
        <v>-8.7299513304683884</v>
      </c>
      <c r="X391" s="22" t="s">
        <v>17</v>
      </c>
      <c r="Y391" s="23"/>
      <c r="Z391" s="24" t="s">
        <v>17</v>
      </c>
      <c r="AA391" s="24" t="s">
        <v>17</v>
      </c>
      <c r="AB391" s="20" t="s">
        <v>17</v>
      </c>
      <c r="AC391" s="20" t="s">
        <v>17</v>
      </c>
      <c r="AD391" s="20" t="s">
        <v>17</v>
      </c>
      <c r="AE391" s="22" t="s">
        <v>17</v>
      </c>
      <c r="AF391" s="23"/>
      <c r="AG391" s="24" t="s">
        <v>17</v>
      </c>
      <c r="AH391" s="24" t="s">
        <v>17</v>
      </c>
      <c r="AI391" s="20" t="s">
        <v>17</v>
      </c>
      <c r="AJ391" s="20" t="s">
        <v>17</v>
      </c>
      <c r="AK391" s="20" t="s">
        <v>17</v>
      </c>
      <c r="AL391" s="22" t="s">
        <v>17</v>
      </c>
      <c r="AM391" s="23" t="s">
        <v>17</v>
      </c>
      <c r="AN391" s="24" t="s">
        <v>17</v>
      </c>
      <c r="AO391" s="24" t="s">
        <v>17</v>
      </c>
      <c r="AP391" s="20" t="s">
        <v>17</v>
      </c>
      <c r="AQ391" s="20" t="s">
        <v>17</v>
      </c>
      <c r="AR391" s="20" t="s">
        <v>17</v>
      </c>
      <c r="AS391" s="21"/>
      <c r="AT391" s="20"/>
      <c r="AU391" s="4"/>
      <c r="AV391" s="20"/>
      <c r="AW391" s="20" t="s">
        <v>17</v>
      </c>
      <c r="AX391" s="20" t="s">
        <v>17</v>
      </c>
      <c r="AY391" s="20" t="s">
        <v>17</v>
      </c>
      <c r="AZ391" s="5"/>
      <c r="BA391" s="6"/>
      <c r="BB391" s="4"/>
      <c r="BC391" s="6"/>
      <c r="BD391" s="6"/>
      <c r="BE391" s="6"/>
      <c r="BF391" s="7"/>
    </row>
    <row r="392" spans="1:58" ht="18" customHeight="1">
      <c r="A392" s="106" t="s">
        <v>15</v>
      </c>
      <c r="B392" s="93" t="s">
        <v>370</v>
      </c>
      <c r="C392" s="28">
        <v>557.91</v>
      </c>
      <c r="D392" s="28">
        <v>558.03</v>
      </c>
      <c r="E392" s="28">
        <v>557.97</v>
      </c>
      <c r="F392" s="28">
        <v>557.97</v>
      </c>
      <c r="G392" s="29">
        <v>23401.7064806587</v>
      </c>
      <c r="H392" s="29">
        <v>19069.298894470201</v>
      </c>
      <c r="I392" s="27">
        <f t="shared" si="16"/>
        <v>1</v>
      </c>
      <c r="J392" s="27">
        <f t="shared" si="17"/>
        <v>1</v>
      </c>
      <c r="K392" s="27">
        <f t="shared" si="15"/>
        <v>1</v>
      </c>
      <c r="L392" s="25">
        <v>373.16795950000005</v>
      </c>
      <c r="M392" s="25">
        <v>375.49058877380185</v>
      </c>
      <c r="N392" s="38">
        <v>0.48174036129089437</v>
      </c>
      <c r="O392" s="38">
        <v>-7.6641192552439064</v>
      </c>
      <c r="P392" s="71">
        <v>-9.5910807004074847</v>
      </c>
      <c r="Q392" s="53">
        <v>43766</v>
      </c>
      <c r="R392" s="23">
        <v>9</v>
      </c>
      <c r="S392" s="24">
        <v>373.16795950000005</v>
      </c>
      <c r="T392" s="24">
        <v>375.49058877380185</v>
      </c>
      <c r="U392" s="20">
        <v>0.48174036129089437</v>
      </c>
      <c r="V392" s="20">
        <v>-7.6641192552439064</v>
      </c>
      <c r="W392" s="20">
        <v>-9.5910807004074847</v>
      </c>
      <c r="X392" s="22" t="s">
        <v>17</v>
      </c>
      <c r="Y392" s="23"/>
      <c r="Z392" s="24" t="s">
        <v>17</v>
      </c>
      <c r="AA392" s="24" t="s">
        <v>17</v>
      </c>
      <c r="AB392" s="20" t="s">
        <v>17</v>
      </c>
      <c r="AC392" s="20" t="s">
        <v>17</v>
      </c>
      <c r="AD392" s="20" t="s">
        <v>17</v>
      </c>
      <c r="AE392" s="22" t="s">
        <v>17</v>
      </c>
      <c r="AF392" s="23"/>
      <c r="AG392" s="24" t="s">
        <v>17</v>
      </c>
      <c r="AH392" s="24" t="s">
        <v>17</v>
      </c>
      <c r="AI392" s="20" t="s">
        <v>17</v>
      </c>
      <c r="AJ392" s="20" t="s">
        <v>17</v>
      </c>
      <c r="AK392" s="20" t="s">
        <v>17</v>
      </c>
      <c r="AL392" s="22" t="s">
        <v>17</v>
      </c>
      <c r="AM392" s="23" t="s">
        <v>17</v>
      </c>
      <c r="AN392" s="24" t="s">
        <v>17</v>
      </c>
      <c r="AO392" s="24" t="s">
        <v>17</v>
      </c>
      <c r="AP392" s="20" t="s">
        <v>17</v>
      </c>
      <c r="AQ392" s="20" t="s">
        <v>17</v>
      </c>
      <c r="AR392" s="20" t="s">
        <v>17</v>
      </c>
      <c r="AS392" s="21"/>
      <c r="AT392" s="20"/>
      <c r="AU392" s="4"/>
      <c r="AV392" s="20"/>
      <c r="AW392" s="20" t="s">
        <v>17</v>
      </c>
      <c r="AX392" s="20" t="s">
        <v>17</v>
      </c>
      <c r="AY392" s="20" t="s">
        <v>17</v>
      </c>
      <c r="AZ392" s="5"/>
      <c r="BA392" s="6"/>
      <c r="BB392" s="4"/>
      <c r="BC392" s="6"/>
      <c r="BD392" s="6"/>
      <c r="BE392" s="6"/>
      <c r="BF392" s="7"/>
    </row>
    <row r="393" spans="1:58" ht="18" customHeight="1">
      <c r="A393" s="106" t="s">
        <v>15</v>
      </c>
      <c r="B393" s="93" t="s">
        <v>371</v>
      </c>
      <c r="C393" s="28">
        <v>559.46</v>
      </c>
      <c r="D393" s="28">
        <v>559.57000000000005</v>
      </c>
      <c r="E393" s="28">
        <v>559.5150000000001</v>
      </c>
      <c r="F393" s="28">
        <v>559.5150000000001</v>
      </c>
      <c r="G393" s="29">
        <v>23514.1795364258</v>
      </c>
      <c r="H393" s="29">
        <v>19191.359385323001</v>
      </c>
      <c r="I393" s="27">
        <f t="shared" si="16"/>
        <v>1</v>
      </c>
      <c r="J393" s="27">
        <f t="shared" si="17"/>
        <v>1</v>
      </c>
      <c r="K393" s="27">
        <f t="shared" si="15"/>
        <v>1</v>
      </c>
      <c r="L393" s="25">
        <v>377.235277</v>
      </c>
      <c r="M393" s="25">
        <v>379.58330312043631</v>
      </c>
      <c r="N393" s="38">
        <v>0.48175708613706902</v>
      </c>
      <c r="O393" s="38">
        <v>-7.9846345149787723</v>
      </c>
      <c r="P393" s="71">
        <v>-9.9116628595270484</v>
      </c>
      <c r="Q393" s="53">
        <v>44110</v>
      </c>
      <c r="R393" s="23">
        <v>9</v>
      </c>
      <c r="S393" s="24">
        <v>377.235277</v>
      </c>
      <c r="T393" s="24">
        <v>379.58330312043631</v>
      </c>
      <c r="U393" s="20">
        <v>0.48175708613706902</v>
      </c>
      <c r="V393" s="20">
        <v>-7.9846345149787723</v>
      </c>
      <c r="W393" s="20">
        <v>-9.9116628595270484</v>
      </c>
      <c r="X393" s="22" t="s">
        <v>17</v>
      </c>
      <c r="Y393" s="23"/>
      <c r="Z393" s="24" t="s">
        <v>17</v>
      </c>
      <c r="AA393" s="24" t="s">
        <v>17</v>
      </c>
      <c r="AB393" s="20" t="s">
        <v>17</v>
      </c>
      <c r="AC393" s="20" t="s">
        <v>17</v>
      </c>
      <c r="AD393" s="20" t="s">
        <v>17</v>
      </c>
      <c r="AE393" s="22" t="s">
        <v>17</v>
      </c>
      <c r="AF393" s="23"/>
      <c r="AG393" s="24" t="s">
        <v>17</v>
      </c>
      <c r="AH393" s="24" t="s">
        <v>17</v>
      </c>
      <c r="AI393" s="20" t="s">
        <v>17</v>
      </c>
      <c r="AJ393" s="20" t="s">
        <v>17</v>
      </c>
      <c r="AK393" s="20" t="s">
        <v>17</v>
      </c>
      <c r="AL393" s="22" t="s">
        <v>17</v>
      </c>
      <c r="AM393" s="23" t="s">
        <v>17</v>
      </c>
      <c r="AN393" s="24" t="s">
        <v>17</v>
      </c>
      <c r="AO393" s="24" t="s">
        <v>17</v>
      </c>
      <c r="AP393" s="20" t="s">
        <v>17</v>
      </c>
      <c r="AQ393" s="20" t="s">
        <v>17</v>
      </c>
      <c r="AR393" s="20" t="s">
        <v>17</v>
      </c>
      <c r="AS393" s="21"/>
      <c r="AT393" s="20"/>
      <c r="AU393" s="4"/>
      <c r="AV393" s="20"/>
      <c r="AW393" s="20" t="s">
        <v>17</v>
      </c>
      <c r="AX393" s="20" t="s">
        <v>17</v>
      </c>
      <c r="AY393" s="20" t="s">
        <v>17</v>
      </c>
      <c r="AZ393" s="5"/>
      <c r="BA393" s="6"/>
      <c r="BB393" s="4"/>
      <c r="BC393" s="6"/>
      <c r="BD393" s="6"/>
      <c r="BE393" s="6"/>
      <c r="BF393" s="7"/>
    </row>
    <row r="394" spans="1:58" ht="18" customHeight="1">
      <c r="A394" s="107" t="s">
        <v>15</v>
      </c>
      <c r="B394" s="111" t="s">
        <v>372</v>
      </c>
      <c r="C394" s="28">
        <v>560.09</v>
      </c>
      <c r="D394" s="28">
        <v>560.21</v>
      </c>
      <c r="E394" s="28">
        <v>560.15000000000009</v>
      </c>
      <c r="F394" s="28">
        <v>560.15000000000009</v>
      </c>
      <c r="G394" s="29">
        <v>23558.772614535799</v>
      </c>
      <c r="H394" s="29">
        <v>19245.328188337298</v>
      </c>
      <c r="I394" s="27">
        <f t="shared" si="16"/>
        <v>1</v>
      </c>
      <c r="J394" s="27">
        <f t="shared" si="17"/>
        <v>1</v>
      </c>
      <c r="K394" s="27">
        <f t="shared" si="15"/>
        <v>1</v>
      </c>
      <c r="L394" s="25">
        <v>376.92213950000001</v>
      </c>
      <c r="M394" s="25">
        <v>379.17198647456905</v>
      </c>
      <c r="N394" s="38">
        <v>0.46199664198165458</v>
      </c>
      <c r="O394" s="38">
        <v>-5.8232515178495703</v>
      </c>
      <c r="P394" s="71">
        <v>-7.6712380857761886</v>
      </c>
      <c r="Q394" s="53">
        <v>43916</v>
      </c>
      <c r="R394" s="23">
        <v>9</v>
      </c>
      <c r="S394" s="24">
        <v>376.92213950000001</v>
      </c>
      <c r="T394" s="24">
        <v>379.17198647456905</v>
      </c>
      <c r="U394" s="20">
        <v>0.46199664198165458</v>
      </c>
      <c r="V394" s="20">
        <v>-5.8232515178495703</v>
      </c>
      <c r="W394" s="20">
        <v>-7.6712380857761886</v>
      </c>
      <c r="X394" s="22" t="s">
        <v>17</v>
      </c>
      <c r="Y394" s="23"/>
      <c r="Z394" s="24" t="s">
        <v>17</v>
      </c>
      <c r="AA394" s="24" t="s">
        <v>17</v>
      </c>
      <c r="AB394" s="20" t="s">
        <v>17</v>
      </c>
      <c r="AC394" s="20" t="s">
        <v>17</v>
      </c>
      <c r="AD394" s="20" t="s">
        <v>17</v>
      </c>
      <c r="AE394" s="22" t="s">
        <v>17</v>
      </c>
      <c r="AF394" s="23"/>
      <c r="AG394" s="24" t="s">
        <v>17</v>
      </c>
      <c r="AH394" s="24" t="s">
        <v>17</v>
      </c>
      <c r="AI394" s="20" t="s">
        <v>17</v>
      </c>
      <c r="AJ394" s="20" t="s">
        <v>17</v>
      </c>
      <c r="AK394" s="20" t="s">
        <v>17</v>
      </c>
      <c r="AL394" s="22" t="s">
        <v>17</v>
      </c>
      <c r="AM394" s="23" t="s">
        <v>17</v>
      </c>
      <c r="AN394" s="24" t="s">
        <v>17</v>
      </c>
      <c r="AO394" s="24" t="s">
        <v>17</v>
      </c>
      <c r="AP394" s="20" t="s">
        <v>17</v>
      </c>
      <c r="AQ394" s="20" t="s">
        <v>17</v>
      </c>
      <c r="AR394" s="20" t="s">
        <v>17</v>
      </c>
      <c r="AS394" s="21"/>
      <c r="AT394" s="20"/>
      <c r="AU394" s="4"/>
      <c r="AV394" s="20"/>
      <c r="AW394" s="20" t="s">
        <v>17</v>
      </c>
      <c r="AX394" s="20" t="s">
        <v>17</v>
      </c>
      <c r="AY394" s="20" t="s">
        <v>17</v>
      </c>
      <c r="AZ394" s="5"/>
      <c r="BA394" s="6"/>
      <c r="BB394" s="4"/>
      <c r="BC394" s="6"/>
      <c r="BD394" s="6"/>
      <c r="BE394" s="6"/>
      <c r="BF394" s="7"/>
    </row>
    <row r="395" spans="1:58" ht="18" customHeight="1">
      <c r="A395" s="106" t="s">
        <v>15</v>
      </c>
      <c r="B395" s="93" t="s">
        <v>373</v>
      </c>
      <c r="C395" s="28">
        <v>561.33000000000004</v>
      </c>
      <c r="D395" s="28">
        <v>561.45000000000005</v>
      </c>
      <c r="E395" s="28">
        <v>561.3900000000001</v>
      </c>
      <c r="F395" s="28">
        <v>561.3900000000001</v>
      </c>
      <c r="G395" s="29">
        <v>23645.707590378501</v>
      </c>
      <c r="H395" s="29">
        <v>19357.854576296901</v>
      </c>
      <c r="I395" s="27">
        <f t="shared" si="16"/>
        <v>1</v>
      </c>
      <c r="J395" s="27">
        <f t="shared" si="17"/>
        <v>1</v>
      </c>
      <c r="K395" s="27">
        <f t="shared" si="15"/>
        <v>1</v>
      </c>
      <c r="L395" s="25">
        <v>381.09371799999997</v>
      </c>
      <c r="M395" s="25">
        <v>383.47180850060403</v>
      </c>
      <c r="N395" s="38">
        <v>0.48298547982073003</v>
      </c>
      <c r="O395" s="38">
        <v>-8.316676744730799</v>
      </c>
      <c r="P395" s="71">
        <v>-10.248618664013719</v>
      </c>
      <c r="Q395" s="53">
        <v>44025</v>
      </c>
      <c r="R395" s="23">
        <v>10</v>
      </c>
      <c r="S395" s="24">
        <v>381.09371799999997</v>
      </c>
      <c r="T395" s="24">
        <v>383.47180850060403</v>
      </c>
      <c r="U395" s="20">
        <v>0.48298547982073003</v>
      </c>
      <c r="V395" s="20">
        <v>-8.316676744730799</v>
      </c>
      <c r="W395" s="20">
        <v>-10.248618664013719</v>
      </c>
      <c r="X395" s="22" t="s">
        <v>17</v>
      </c>
      <c r="Y395" s="23"/>
      <c r="Z395" s="24" t="s">
        <v>17</v>
      </c>
      <c r="AA395" s="24" t="s">
        <v>17</v>
      </c>
      <c r="AB395" s="20" t="s">
        <v>17</v>
      </c>
      <c r="AC395" s="20" t="s">
        <v>17</v>
      </c>
      <c r="AD395" s="20" t="s">
        <v>17</v>
      </c>
      <c r="AE395" s="22" t="s">
        <v>17</v>
      </c>
      <c r="AF395" s="23"/>
      <c r="AG395" s="24" t="s">
        <v>17</v>
      </c>
      <c r="AH395" s="24" t="s">
        <v>17</v>
      </c>
      <c r="AI395" s="20" t="s">
        <v>17</v>
      </c>
      <c r="AJ395" s="20" t="s">
        <v>17</v>
      </c>
      <c r="AK395" s="20" t="s">
        <v>17</v>
      </c>
      <c r="AL395" s="22" t="s">
        <v>17</v>
      </c>
      <c r="AM395" s="23" t="s">
        <v>17</v>
      </c>
      <c r="AN395" s="24" t="s">
        <v>17</v>
      </c>
      <c r="AO395" s="24" t="s">
        <v>17</v>
      </c>
      <c r="AP395" s="20" t="s">
        <v>17</v>
      </c>
      <c r="AQ395" s="20" t="s">
        <v>17</v>
      </c>
      <c r="AR395" s="20" t="s">
        <v>17</v>
      </c>
      <c r="AS395" s="21"/>
      <c r="AT395" s="20"/>
      <c r="AU395" s="4"/>
      <c r="AV395" s="20"/>
      <c r="AW395" s="20" t="s">
        <v>17</v>
      </c>
      <c r="AX395" s="20" t="s">
        <v>17</v>
      </c>
      <c r="AY395" s="20" t="s">
        <v>17</v>
      </c>
      <c r="AZ395" s="5"/>
      <c r="BA395" s="6"/>
      <c r="BB395" s="4"/>
      <c r="BC395" s="6"/>
      <c r="BD395" s="6"/>
      <c r="BE395" s="6"/>
      <c r="BF395" s="7"/>
    </row>
    <row r="396" spans="1:58" ht="18" customHeight="1">
      <c r="A396" s="106" t="s">
        <v>15</v>
      </c>
      <c r="B396" s="93" t="s">
        <v>374</v>
      </c>
      <c r="C396" s="28">
        <v>562.12</v>
      </c>
      <c r="D396" s="28">
        <v>562.24</v>
      </c>
      <c r="E396" s="28">
        <v>562.18000000000006</v>
      </c>
      <c r="F396" s="28">
        <v>562.18000000000006</v>
      </c>
      <c r="G396" s="29">
        <v>23702.395303547299</v>
      </c>
      <c r="H396" s="29">
        <v>19423.071246571599</v>
      </c>
      <c r="I396" s="27">
        <f t="shared" si="16"/>
        <v>2</v>
      </c>
      <c r="J396" s="27">
        <f t="shared" si="17"/>
        <v>2</v>
      </c>
      <c r="K396" s="27">
        <f t="shared" si="15"/>
        <v>1</v>
      </c>
      <c r="L396" s="25">
        <v>374.81562816666667</v>
      </c>
      <c r="M396" s="25">
        <v>377.15188238398309</v>
      </c>
      <c r="N396" s="38">
        <v>0.48244247695861109</v>
      </c>
      <c r="O396" s="38">
        <v>-5.6742182690336929</v>
      </c>
      <c r="P396" s="71">
        <v>-7.5922835244426334</v>
      </c>
      <c r="Q396" s="53">
        <v>44032</v>
      </c>
      <c r="R396" s="23">
        <v>10</v>
      </c>
      <c r="S396" s="24">
        <v>375.618807</v>
      </c>
      <c r="T396" s="24">
        <v>377.94589726704112</v>
      </c>
      <c r="U396" s="1">
        <v>0.47951631385223514</v>
      </c>
      <c r="V396" s="2">
        <v>-5.6742182690336929</v>
      </c>
      <c r="W396" s="2">
        <v>-7.5922835244426334</v>
      </c>
      <c r="X396" s="22">
        <v>44039</v>
      </c>
      <c r="Y396" s="23" t="s">
        <v>88</v>
      </c>
      <c r="Z396" s="24">
        <v>374.01244933333334</v>
      </c>
      <c r="AA396" s="24">
        <v>376.35786750092512</v>
      </c>
      <c r="AB396" s="1">
        <v>0.48536864006498703</v>
      </c>
      <c r="AC396" s="2"/>
      <c r="AD396" s="2"/>
      <c r="AE396" s="22" t="s">
        <v>17</v>
      </c>
      <c r="AF396" s="23"/>
      <c r="AG396" s="24" t="s">
        <v>17</v>
      </c>
      <c r="AH396" s="24" t="s">
        <v>17</v>
      </c>
      <c r="AI396" s="1" t="s">
        <v>17</v>
      </c>
      <c r="AJ396" s="2" t="s">
        <v>17</v>
      </c>
      <c r="AK396" s="2" t="s">
        <v>17</v>
      </c>
      <c r="AL396" s="22" t="s">
        <v>17</v>
      </c>
      <c r="AM396" s="23" t="s">
        <v>17</v>
      </c>
      <c r="AN396" s="24" t="s">
        <v>17</v>
      </c>
      <c r="AO396" s="24" t="s">
        <v>17</v>
      </c>
      <c r="AP396" s="20" t="s">
        <v>17</v>
      </c>
      <c r="AQ396" s="20" t="s">
        <v>17</v>
      </c>
      <c r="AR396" s="20" t="s">
        <v>17</v>
      </c>
      <c r="AS396" s="3"/>
      <c r="AT396" s="2"/>
      <c r="AU396" s="4"/>
      <c r="AV396" s="2"/>
      <c r="AW396" s="1" t="s">
        <v>17</v>
      </c>
      <c r="AX396" s="2" t="s">
        <v>17</v>
      </c>
      <c r="AY396" s="2" t="s">
        <v>17</v>
      </c>
      <c r="AZ396" s="5"/>
      <c r="BA396" s="6"/>
      <c r="BB396" s="4"/>
      <c r="BC396" s="6"/>
      <c r="BD396" s="6"/>
      <c r="BE396" s="6"/>
      <c r="BF396" s="7"/>
    </row>
    <row r="397" spans="1:58" ht="18" customHeight="1">
      <c r="A397" s="106" t="s">
        <v>15</v>
      </c>
      <c r="B397" s="93" t="s">
        <v>375</v>
      </c>
      <c r="C397" s="28">
        <v>563.03</v>
      </c>
      <c r="D397" s="28">
        <v>563.15</v>
      </c>
      <c r="E397" s="28">
        <v>563.08999999999992</v>
      </c>
      <c r="F397" s="28">
        <v>563.08999999999992</v>
      </c>
      <c r="G397" s="29">
        <v>23768.137544485398</v>
      </c>
      <c r="H397" s="29">
        <v>19496.729619423499</v>
      </c>
      <c r="I397" s="27">
        <f t="shared" si="16"/>
        <v>1</v>
      </c>
      <c r="J397" s="27">
        <f t="shared" si="17"/>
        <v>1</v>
      </c>
      <c r="K397" s="27">
        <f t="shared" si="15"/>
        <v>1</v>
      </c>
      <c r="L397" s="25">
        <v>372.99706200000003</v>
      </c>
      <c r="M397" s="25">
        <v>375.28592230099468</v>
      </c>
      <c r="N397" s="38">
        <v>0.4749537947996707</v>
      </c>
      <c r="O397" s="38">
        <v>-6.8699213248143431</v>
      </c>
      <c r="P397" s="71">
        <v>-8.7697365040130251</v>
      </c>
      <c r="Q397" s="53">
        <v>43873</v>
      </c>
      <c r="R397" s="23">
        <v>9</v>
      </c>
      <c r="S397" s="24">
        <v>372.99706200000003</v>
      </c>
      <c r="T397" s="24">
        <v>375.28592230099468</v>
      </c>
      <c r="U397" s="20">
        <v>0.4749537947996707</v>
      </c>
      <c r="V397" s="20">
        <v>-6.8699213248143431</v>
      </c>
      <c r="W397" s="20">
        <v>-8.7697365040130251</v>
      </c>
      <c r="X397" s="22" t="s">
        <v>17</v>
      </c>
      <c r="Y397" s="23"/>
      <c r="Z397" s="24" t="s">
        <v>17</v>
      </c>
      <c r="AA397" s="24" t="s">
        <v>17</v>
      </c>
      <c r="AB397" s="20" t="s">
        <v>17</v>
      </c>
      <c r="AC397" s="20" t="s">
        <v>17</v>
      </c>
      <c r="AD397" s="20" t="s">
        <v>17</v>
      </c>
      <c r="AE397" s="22" t="s">
        <v>17</v>
      </c>
      <c r="AF397" s="23"/>
      <c r="AG397" s="24" t="s">
        <v>17</v>
      </c>
      <c r="AH397" s="24" t="s">
        <v>17</v>
      </c>
      <c r="AI397" s="20" t="s">
        <v>17</v>
      </c>
      <c r="AJ397" s="20" t="s">
        <v>17</v>
      </c>
      <c r="AK397" s="20" t="s">
        <v>17</v>
      </c>
      <c r="AL397" s="22" t="s">
        <v>17</v>
      </c>
      <c r="AM397" s="23" t="s">
        <v>17</v>
      </c>
      <c r="AN397" s="24" t="s">
        <v>17</v>
      </c>
      <c r="AO397" s="24" t="s">
        <v>17</v>
      </c>
      <c r="AP397" s="20" t="s">
        <v>17</v>
      </c>
      <c r="AQ397" s="20" t="s">
        <v>17</v>
      </c>
      <c r="AR397" s="20" t="s">
        <v>17</v>
      </c>
      <c r="AS397" s="21"/>
      <c r="AT397" s="20"/>
      <c r="AU397" s="4"/>
      <c r="AV397" s="20"/>
      <c r="AW397" s="20" t="s">
        <v>17</v>
      </c>
      <c r="AX397" s="20" t="s">
        <v>17</v>
      </c>
      <c r="AY397" s="20" t="s">
        <v>17</v>
      </c>
      <c r="AZ397" s="5"/>
      <c r="BA397" s="6"/>
      <c r="BB397" s="4"/>
      <c r="BC397" s="6"/>
      <c r="BD397" s="6"/>
      <c r="BE397" s="6"/>
      <c r="BF397" s="7"/>
    </row>
    <row r="398" spans="1:58" ht="18" customHeight="1">
      <c r="A398" s="106" t="s">
        <v>15</v>
      </c>
      <c r="B398" s="93" t="s">
        <v>376</v>
      </c>
      <c r="C398" s="28">
        <v>564.49</v>
      </c>
      <c r="D398" s="28">
        <v>564.61</v>
      </c>
      <c r="E398" s="28">
        <v>564.54999999999995</v>
      </c>
      <c r="F398" s="28">
        <v>564.54999999999995</v>
      </c>
      <c r="G398" s="29">
        <v>23874.027222029599</v>
      </c>
      <c r="H398" s="29">
        <v>19626.864076788799</v>
      </c>
      <c r="I398" s="27">
        <f t="shared" si="16"/>
        <v>1</v>
      </c>
      <c r="J398" s="27">
        <f t="shared" si="17"/>
        <v>1</v>
      </c>
      <c r="K398" s="27">
        <f t="shared" si="15"/>
        <v>1</v>
      </c>
      <c r="L398" s="25">
        <v>371.0655635</v>
      </c>
      <c r="M398" s="25">
        <v>373.33289708322548</v>
      </c>
      <c r="N398" s="38">
        <v>0.47232832660348834</v>
      </c>
      <c r="O398" s="38">
        <v>-6.6127508395287249</v>
      </c>
      <c r="P398" s="71">
        <v>-8.5020641459426791</v>
      </c>
      <c r="Q398" s="53">
        <v>44145</v>
      </c>
      <c r="R398" s="23">
        <v>9</v>
      </c>
      <c r="S398" s="24">
        <v>371.0655635</v>
      </c>
      <c r="T398" s="24">
        <v>373.33289708322548</v>
      </c>
      <c r="U398" s="20">
        <v>0.47232832660348834</v>
      </c>
      <c r="V398" s="20">
        <v>-6.6127508395287249</v>
      </c>
      <c r="W398" s="20">
        <v>-8.5020641459426791</v>
      </c>
      <c r="X398" s="22" t="s">
        <v>17</v>
      </c>
      <c r="Y398" s="23"/>
      <c r="Z398" s="24" t="s">
        <v>17</v>
      </c>
      <c r="AA398" s="24" t="s">
        <v>17</v>
      </c>
      <c r="AB398" s="20" t="s">
        <v>17</v>
      </c>
      <c r="AC398" s="20" t="s">
        <v>17</v>
      </c>
      <c r="AD398" s="20" t="s">
        <v>17</v>
      </c>
      <c r="AE398" s="22" t="s">
        <v>17</v>
      </c>
      <c r="AF398" s="23"/>
      <c r="AG398" s="24" t="s">
        <v>17</v>
      </c>
      <c r="AH398" s="24" t="s">
        <v>17</v>
      </c>
      <c r="AI398" s="20" t="s">
        <v>17</v>
      </c>
      <c r="AJ398" s="20" t="s">
        <v>17</v>
      </c>
      <c r="AK398" s="20" t="s">
        <v>17</v>
      </c>
      <c r="AL398" s="22" t="s">
        <v>17</v>
      </c>
      <c r="AM398" s="23" t="s">
        <v>17</v>
      </c>
      <c r="AN398" s="24" t="s">
        <v>17</v>
      </c>
      <c r="AO398" s="24" t="s">
        <v>17</v>
      </c>
      <c r="AP398" s="20" t="s">
        <v>17</v>
      </c>
      <c r="AQ398" s="20" t="s">
        <v>17</v>
      </c>
      <c r="AR398" s="20" t="s">
        <v>17</v>
      </c>
      <c r="AS398" s="21"/>
      <c r="AT398" s="20"/>
      <c r="AU398" s="4"/>
      <c r="AV398" s="20"/>
      <c r="AW398" s="20" t="s">
        <v>17</v>
      </c>
      <c r="AX398" s="20" t="s">
        <v>17</v>
      </c>
      <c r="AY398" s="20" t="s">
        <v>17</v>
      </c>
      <c r="AZ398" s="5"/>
      <c r="BA398" s="6"/>
      <c r="BB398" s="4"/>
      <c r="BC398" s="6"/>
      <c r="BD398" s="6"/>
      <c r="BE398" s="6"/>
      <c r="BF398" s="7"/>
    </row>
    <row r="399" spans="1:58" ht="18" customHeight="1">
      <c r="A399" s="107" t="s">
        <v>15</v>
      </c>
      <c r="B399" s="93" t="s">
        <v>377</v>
      </c>
      <c r="C399" s="28">
        <v>564.95000000000005</v>
      </c>
      <c r="D399" s="28">
        <v>565.07000000000005</v>
      </c>
      <c r="E399" s="28">
        <v>565.01</v>
      </c>
      <c r="F399" s="28">
        <v>565.01</v>
      </c>
      <c r="G399" s="29">
        <v>23906.2488964884</v>
      </c>
      <c r="H399" s="29">
        <v>19671.4611070971</v>
      </c>
      <c r="I399" s="27">
        <f t="shared" si="16"/>
        <v>1</v>
      </c>
      <c r="J399" s="27">
        <f t="shared" si="17"/>
        <v>1</v>
      </c>
      <c r="K399" s="27">
        <f t="shared" si="15"/>
        <v>1</v>
      </c>
      <c r="L399" s="25">
        <v>370.60299150000003</v>
      </c>
      <c r="M399" s="25">
        <v>372.88175276386528</v>
      </c>
      <c r="N399" s="38">
        <v>0.47591280931547075</v>
      </c>
      <c r="O399" s="38">
        <v>-6.6656218932191758</v>
      </c>
      <c r="P399" s="71">
        <v>-8.5692731304810579</v>
      </c>
      <c r="Q399" s="53">
        <v>43899</v>
      </c>
      <c r="R399" s="23">
        <v>9</v>
      </c>
      <c r="S399" s="24">
        <v>370.60299150000003</v>
      </c>
      <c r="T399" s="24">
        <v>372.88175276386528</v>
      </c>
      <c r="U399" s="20">
        <v>0.47591280931547075</v>
      </c>
      <c r="V399" s="20">
        <v>-6.6656218932191758</v>
      </c>
      <c r="W399" s="20">
        <v>-8.5692731304810579</v>
      </c>
      <c r="X399" s="22" t="s">
        <v>17</v>
      </c>
      <c r="Y399" s="23"/>
      <c r="Z399" s="24" t="s">
        <v>17</v>
      </c>
      <c r="AA399" s="24" t="s">
        <v>17</v>
      </c>
      <c r="AB399" s="20" t="s">
        <v>17</v>
      </c>
      <c r="AC399" s="20" t="s">
        <v>17</v>
      </c>
      <c r="AD399" s="20" t="s">
        <v>17</v>
      </c>
      <c r="AE399" s="22" t="s">
        <v>17</v>
      </c>
      <c r="AF399" s="23"/>
      <c r="AG399" s="24" t="s">
        <v>17</v>
      </c>
      <c r="AH399" s="24" t="s">
        <v>17</v>
      </c>
      <c r="AI399" s="20" t="s">
        <v>17</v>
      </c>
      <c r="AJ399" s="20" t="s">
        <v>17</v>
      </c>
      <c r="AK399" s="20" t="s">
        <v>17</v>
      </c>
      <c r="AL399" s="22" t="s">
        <v>17</v>
      </c>
      <c r="AM399" s="23" t="s">
        <v>17</v>
      </c>
      <c r="AN399" s="24" t="s">
        <v>17</v>
      </c>
      <c r="AO399" s="24" t="s">
        <v>17</v>
      </c>
      <c r="AP399" s="20" t="s">
        <v>17</v>
      </c>
      <c r="AQ399" s="20" t="s">
        <v>17</v>
      </c>
      <c r="AR399" s="20" t="s">
        <v>17</v>
      </c>
      <c r="AS399" s="21"/>
      <c r="AT399" s="20"/>
      <c r="AU399" s="4"/>
      <c r="AV399" s="20"/>
      <c r="AW399" s="20" t="s">
        <v>17</v>
      </c>
      <c r="AX399" s="20" t="s">
        <v>17</v>
      </c>
      <c r="AY399" s="20" t="s">
        <v>17</v>
      </c>
      <c r="AZ399" s="5"/>
      <c r="BA399" s="6"/>
      <c r="BB399" s="4"/>
      <c r="BC399" s="6"/>
      <c r="BD399" s="6"/>
      <c r="BE399" s="6"/>
      <c r="BF399" s="7"/>
    </row>
    <row r="400" spans="1:58" ht="18" customHeight="1">
      <c r="A400" s="106" t="s">
        <v>15</v>
      </c>
      <c r="B400" s="93" t="s">
        <v>378</v>
      </c>
      <c r="C400" s="28">
        <v>565.76</v>
      </c>
      <c r="D400" s="28">
        <v>565.88</v>
      </c>
      <c r="E400" s="28">
        <v>565.81999999999994</v>
      </c>
      <c r="F400" s="28">
        <v>565.81999999999994</v>
      </c>
      <c r="G400" s="29">
        <v>23963.921066543</v>
      </c>
      <c r="H400" s="29">
        <v>19752.037710709999</v>
      </c>
      <c r="I400" s="27">
        <f t="shared" si="16"/>
        <v>1</v>
      </c>
      <c r="J400" s="27">
        <f t="shared" si="17"/>
        <v>1</v>
      </c>
      <c r="K400" s="27">
        <f t="shared" si="15"/>
        <v>1</v>
      </c>
      <c r="L400" s="25">
        <v>373.85877949999997</v>
      </c>
      <c r="M400" s="25">
        <v>376.15779427153649</v>
      </c>
      <c r="N400" s="38">
        <v>0.47596132426352966</v>
      </c>
      <c r="O400" s="38">
        <v>-7.4652629941550641</v>
      </c>
      <c r="P400" s="71">
        <v>-9.3691082912091836</v>
      </c>
      <c r="Q400" s="53">
        <v>44118</v>
      </c>
      <c r="R400" s="23">
        <v>9</v>
      </c>
      <c r="S400" s="24">
        <v>373.85877949999997</v>
      </c>
      <c r="T400" s="24">
        <v>376.15779427153649</v>
      </c>
      <c r="U400" s="20">
        <v>0.47596132426352966</v>
      </c>
      <c r="V400" s="20">
        <v>-7.4652629941550641</v>
      </c>
      <c r="W400" s="20">
        <v>-9.3691082912091836</v>
      </c>
      <c r="X400" s="22" t="s">
        <v>17</v>
      </c>
      <c r="Y400" s="23"/>
      <c r="Z400" s="24" t="s">
        <v>17</v>
      </c>
      <c r="AA400" s="24" t="s">
        <v>17</v>
      </c>
      <c r="AB400" s="20" t="s">
        <v>17</v>
      </c>
      <c r="AC400" s="20" t="s">
        <v>17</v>
      </c>
      <c r="AD400" s="20" t="s">
        <v>17</v>
      </c>
      <c r="AE400" s="22" t="s">
        <v>17</v>
      </c>
      <c r="AF400" s="23"/>
      <c r="AG400" s="24" t="s">
        <v>17</v>
      </c>
      <c r="AH400" s="24" t="s">
        <v>17</v>
      </c>
      <c r="AI400" s="20" t="s">
        <v>17</v>
      </c>
      <c r="AJ400" s="20" t="s">
        <v>17</v>
      </c>
      <c r="AK400" s="20" t="s">
        <v>17</v>
      </c>
      <c r="AL400" s="22" t="s">
        <v>17</v>
      </c>
      <c r="AM400" s="23" t="s">
        <v>17</v>
      </c>
      <c r="AN400" s="24" t="s">
        <v>17</v>
      </c>
      <c r="AO400" s="24" t="s">
        <v>17</v>
      </c>
      <c r="AP400" s="20" t="s">
        <v>17</v>
      </c>
      <c r="AQ400" s="20" t="s">
        <v>17</v>
      </c>
      <c r="AR400" s="20" t="s">
        <v>17</v>
      </c>
      <c r="AS400" s="21"/>
      <c r="AT400" s="20"/>
      <c r="AU400" s="4"/>
      <c r="AV400" s="20"/>
      <c r="AW400" s="20" t="s">
        <v>17</v>
      </c>
      <c r="AX400" s="20" t="s">
        <v>17</v>
      </c>
      <c r="AY400" s="20" t="s">
        <v>17</v>
      </c>
      <c r="AZ400" s="5"/>
      <c r="BA400" s="6"/>
      <c r="BB400" s="4"/>
      <c r="BC400" s="6"/>
      <c r="BD400" s="6"/>
      <c r="BE400" s="6"/>
      <c r="BF400" s="7"/>
    </row>
    <row r="401" spans="1:58" ht="18" customHeight="1">
      <c r="A401" s="106" t="s">
        <v>15</v>
      </c>
      <c r="B401" s="93" t="s">
        <v>379</v>
      </c>
      <c r="C401" s="28">
        <v>567.11</v>
      </c>
      <c r="D401" s="28">
        <v>567.23</v>
      </c>
      <c r="E401" s="28">
        <v>567.17000000000007</v>
      </c>
      <c r="F401" s="28">
        <v>567.17000000000007</v>
      </c>
      <c r="G401" s="29">
        <v>24061.179036008201</v>
      </c>
      <c r="H401" s="29">
        <v>19886.2585405073</v>
      </c>
      <c r="I401" s="27">
        <f t="shared" si="16"/>
        <v>1</v>
      </c>
      <c r="J401" s="27">
        <f t="shared" si="17"/>
        <v>1</v>
      </c>
      <c r="K401" s="27">
        <f t="shared" si="15"/>
        <v>1</v>
      </c>
      <c r="L401" s="25">
        <v>370.10291749999999</v>
      </c>
      <c r="M401" s="25">
        <v>372.36100927894017</v>
      </c>
      <c r="N401" s="38">
        <v>0.47162571137215892</v>
      </c>
      <c r="O401" s="38">
        <v>-6.2595978630567428</v>
      </c>
      <c r="P401" s="71">
        <v>-8.1461007085453794</v>
      </c>
      <c r="Q401" s="53">
        <v>44146</v>
      </c>
      <c r="R401" s="23">
        <v>9</v>
      </c>
      <c r="S401" s="24">
        <v>370.10291749999999</v>
      </c>
      <c r="T401" s="24">
        <v>372.36100927894017</v>
      </c>
      <c r="U401" s="20">
        <v>0.47162571137215892</v>
      </c>
      <c r="V401" s="20">
        <v>-6.2595978630567428</v>
      </c>
      <c r="W401" s="20">
        <v>-8.1461007085453794</v>
      </c>
      <c r="X401" s="22" t="s">
        <v>17</v>
      </c>
      <c r="Y401" s="23"/>
      <c r="Z401" s="24" t="s">
        <v>17</v>
      </c>
      <c r="AA401" s="24" t="s">
        <v>17</v>
      </c>
      <c r="AB401" s="20" t="s">
        <v>17</v>
      </c>
      <c r="AC401" s="20" t="s">
        <v>17</v>
      </c>
      <c r="AD401" s="20" t="s">
        <v>17</v>
      </c>
      <c r="AE401" s="22" t="s">
        <v>17</v>
      </c>
      <c r="AF401" s="23"/>
      <c r="AG401" s="24" t="s">
        <v>17</v>
      </c>
      <c r="AH401" s="24" t="s">
        <v>17</v>
      </c>
      <c r="AI401" s="20" t="s">
        <v>17</v>
      </c>
      <c r="AJ401" s="20" t="s">
        <v>17</v>
      </c>
      <c r="AK401" s="20" t="s">
        <v>17</v>
      </c>
      <c r="AL401" s="22" t="s">
        <v>17</v>
      </c>
      <c r="AM401" s="23" t="s">
        <v>17</v>
      </c>
      <c r="AN401" s="24" t="s">
        <v>17</v>
      </c>
      <c r="AO401" s="24" t="s">
        <v>17</v>
      </c>
      <c r="AP401" s="20" t="s">
        <v>17</v>
      </c>
      <c r="AQ401" s="20" t="s">
        <v>17</v>
      </c>
      <c r="AR401" s="20" t="s">
        <v>17</v>
      </c>
      <c r="AS401" s="21"/>
      <c r="AT401" s="20"/>
      <c r="AU401" s="4"/>
      <c r="AV401" s="20"/>
      <c r="AW401" s="20" t="s">
        <v>17</v>
      </c>
      <c r="AX401" s="20" t="s">
        <v>17</v>
      </c>
      <c r="AY401" s="20" t="s">
        <v>17</v>
      </c>
      <c r="AZ401" s="5"/>
      <c r="BA401" s="6"/>
      <c r="BB401" s="4"/>
      <c r="BC401" s="6"/>
      <c r="BD401" s="6"/>
      <c r="BE401" s="6"/>
      <c r="BF401" s="7"/>
    </row>
    <row r="402" spans="1:58" ht="18" customHeight="1">
      <c r="A402" s="107" t="s">
        <v>15</v>
      </c>
      <c r="B402" s="111" t="s">
        <v>380</v>
      </c>
      <c r="C402" s="28">
        <v>568.11</v>
      </c>
      <c r="D402" s="28">
        <v>568.23</v>
      </c>
      <c r="E402" s="28">
        <v>568.17000000000007</v>
      </c>
      <c r="F402" s="28">
        <v>568.17000000000007</v>
      </c>
      <c r="G402" s="29">
        <v>24136.183117822799</v>
      </c>
      <c r="H402" s="29">
        <v>19980.907333729399</v>
      </c>
      <c r="I402" s="27">
        <f t="shared" si="16"/>
        <v>1</v>
      </c>
      <c r="J402" s="27">
        <f t="shared" si="17"/>
        <v>1</v>
      </c>
      <c r="K402" s="27">
        <f t="shared" si="15"/>
        <v>1</v>
      </c>
      <c r="L402" s="25">
        <v>370.18507799999998</v>
      </c>
      <c r="M402" s="25">
        <v>372.47271415773315</v>
      </c>
      <c r="N402" s="38">
        <v>0.47830567096918131</v>
      </c>
      <c r="O402" s="38">
        <v>-6.0569406618521393</v>
      </c>
      <c r="P402" s="71">
        <v>-7.9701633457288645</v>
      </c>
      <c r="Q402" s="53">
        <v>43886</v>
      </c>
      <c r="R402" s="23">
        <v>9</v>
      </c>
      <c r="S402" s="24">
        <v>370.18507799999998</v>
      </c>
      <c r="T402" s="24">
        <v>372.47271415773315</v>
      </c>
      <c r="U402" s="20">
        <v>0.47830567096918131</v>
      </c>
      <c r="V402" s="20">
        <v>-6.0569406618521393</v>
      </c>
      <c r="W402" s="20">
        <v>-7.9701633457288645</v>
      </c>
      <c r="X402" s="22" t="s">
        <v>17</v>
      </c>
      <c r="Y402" s="23"/>
      <c r="Z402" s="24" t="s">
        <v>17</v>
      </c>
      <c r="AA402" s="24" t="s">
        <v>17</v>
      </c>
      <c r="AB402" s="20" t="s">
        <v>17</v>
      </c>
      <c r="AC402" s="20" t="s">
        <v>17</v>
      </c>
      <c r="AD402" s="20" t="s">
        <v>17</v>
      </c>
      <c r="AE402" s="22" t="s">
        <v>17</v>
      </c>
      <c r="AF402" s="23"/>
      <c r="AG402" s="24" t="s">
        <v>17</v>
      </c>
      <c r="AH402" s="24" t="s">
        <v>17</v>
      </c>
      <c r="AI402" s="20" t="s">
        <v>17</v>
      </c>
      <c r="AJ402" s="20" t="s">
        <v>17</v>
      </c>
      <c r="AK402" s="20" t="s">
        <v>17</v>
      </c>
      <c r="AL402" s="22" t="s">
        <v>17</v>
      </c>
      <c r="AM402" s="23" t="s">
        <v>17</v>
      </c>
      <c r="AN402" s="24" t="s">
        <v>17</v>
      </c>
      <c r="AO402" s="24" t="s">
        <v>17</v>
      </c>
      <c r="AP402" s="20" t="s">
        <v>17</v>
      </c>
      <c r="AQ402" s="20" t="s">
        <v>17</v>
      </c>
      <c r="AR402" s="20" t="s">
        <v>17</v>
      </c>
      <c r="AS402" s="21"/>
      <c r="AT402" s="20"/>
      <c r="AU402" s="4"/>
      <c r="AV402" s="20"/>
      <c r="AW402" s="20" t="s">
        <v>17</v>
      </c>
      <c r="AX402" s="20" t="s">
        <v>17</v>
      </c>
      <c r="AY402" s="20" t="s">
        <v>17</v>
      </c>
      <c r="AZ402" s="5"/>
      <c r="BA402" s="6"/>
      <c r="BB402" s="4"/>
      <c r="BC402" s="6"/>
      <c r="BD402" s="6"/>
      <c r="BE402" s="6"/>
      <c r="BF402" s="7"/>
    </row>
    <row r="403" spans="1:58" ht="18" customHeight="1">
      <c r="A403" s="106" t="s">
        <v>15</v>
      </c>
      <c r="B403" s="93" t="s">
        <v>381</v>
      </c>
      <c r="C403" s="28">
        <v>568.73</v>
      </c>
      <c r="D403" s="28">
        <v>568.85</v>
      </c>
      <c r="E403" s="28">
        <v>568.79</v>
      </c>
      <c r="F403" s="28">
        <v>568.79</v>
      </c>
      <c r="G403" s="29">
        <v>24185.118755859301</v>
      </c>
      <c r="H403" s="29">
        <v>20036.4625228724</v>
      </c>
      <c r="I403" s="27">
        <f t="shared" si="16"/>
        <v>1</v>
      </c>
      <c r="J403" s="27">
        <f t="shared" si="17"/>
        <v>1</v>
      </c>
      <c r="K403" s="27">
        <f t="shared" si="15"/>
        <v>1</v>
      </c>
      <c r="L403" s="25">
        <v>376.61016699999999</v>
      </c>
      <c r="M403" s="25">
        <v>378.87593419143798</v>
      </c>
      <c r="N403" s="38">
        <v>0.46565120390251735</v>
      </c>
      <c r="O403" s="38">
        <v>-7.5781164960072589</v>
      </c>
      <c r="P403" s="71">
        <v>-9.4407213116173274</v>
      </c>
      <c r="Q403" s="53">
        <v>44020</v>
      </c>
      <c r="R403" s="23">
        <v>10</v>
      </c>
      <c r="S403" s="24">
        <v>376.61016699999999</v>
      </c>
      <c r="T403" s="24">
        <v>378.87593419143798</v>
      </c>
      <c r="U403" s="20">
        <v>0.46565120390251735</v>
      </c>
      <c r="V403" s="20">
        <v>-7.5781164960072589</v>
      </c>
      <c r="W403" s="20">
        <v>-9.4407213116173274</v>
      </c>
      <c r="X403" s="22" t="s">
        <v>17</v>
      </c>
      <c r="Y403" s="23"/>
      <c r="Z403" s="24" t="s">
        <v>17</v>
      </c>
      <c r="AA403" s="24" t="s">
        <v>17</v>
      </c>
      <c r="AB403" s="20" t="s">
        <v>17</v>
      </c>
      <c r="AC403" s="20" t="s">
        <v>17</v>
      </c>
      <c r="AD403" s="20" t="s">
        <v>17</v>
      </c>
      <c r="AE403" s="22" t="s">
        <v>17</v>
      </c>
      <c r="AF403" s="23"/>
      <c r="AG403" s="24" t="s">
        <v>17</v>
      </c>
      <c r="AH403" s="24" t="s">
        <v>17</v>
      </c>
      <c r="AI403" s="20" t="s">
        <v>17</v>
      </c>
      <c r="AJ403" s="20" t="s">
        <v>17</v>
      </c>
      <c r="AK403" s="20" t="s">
        <v>17</v>
      </c>
      <c r="AL403" s="22" t="s">
        <v>17</v>
      </c>
      <c r="AM403" s="23" t="s">
        <v>17</v>
      </c>
      <c r="AN403" s="24" t="s">
        <v>17</v>
      </c>
      <c r="AO403" s="24" t="s">
        <v>17</v>
      </c>
      <c r="AP403" s="20" t="s">
        <v>17</v>
      </c>
      <c r="AQ403" s="20" t="s">
        <v>17</v>
      </c>
      <c r="AR403" s="20" t="s">
        <v>17</v>
      </c>
      <c r="AS403" s="21"/>
      <c r="AT403" s="20"/>
      <c r="AU403" s="4"/>
      <c r="AV403" s="20"/>
      <c r="AW403" s="20" t="s">
        <v>17</v>
      </c>
      <c r="AX403" s="20" t="s">
        <v>17</v>
      </c>
      <c r="AY403" s="20" t="s">
        <v>17</v>
      </c>
      <c r="AZ403" s="5"/>
      <c r="BA403" s="6"/>
      <c r="BB403" s="4"/>
      <c r="BC403" s="6"/>
      <c r="BD403" s="6"/>
      <c r="BE403" s="6"/>
      <c r="BF403" s="7"/>
    </row>
    <row r="404" spans="1:58" ht="18" customHeight="1">
      <c r="A404" s="106" t="s">
        <v>15</v>
      </c>
      <c r="B404" s="93" t="s">
        <v>382</v>
      </c>
      <c r="C404" s="28">
        <v>569.63</v>
      </c>
      <c r="D404" s="28">
        <v>569.75</v>
      </c>
      <c r="E404" s="28">
        <v>569.69000000000005</v>
      </c>
      <c r="F404" s="28">
        <v>569.69000000000005</v>
      </c>
      <c r="G404" s="29">
        <v>24259.9540320165</v>
      </c>
      <c r="H404" s="29">
        <v>20121.246613696701</v>
      </c>
      <c r="I404" s="27">
        <f t="shared" si="16"/>
        <v>1</v>
      </c>
      <c r="J404" s="27">
        <f t="shared" si="17"/>
        <v>1</v>
      </c>
      <c r="K404" s="27">
        <f t="shared" si="15"/>
        <v>1</v>
      </c>
      <c r="L404" s="25">
        <v>370.49674400000004</v>
      </c>
      <c r="M404" s="25">
        <v>372.7639935893161</v>
      </c>
      <c r="N404" s="38">
        <v>0.47303687239708125</v>
      </c>
      <c r="O404" s="38">
        <v>-7.8101148866837056</v>
      </c>
      <c r="P404" s="71">
        <v>-9.7022623762720315</v>
      </c>
      <c r="Q404" s="53">
        <v>44146</v>
      </c>
      <c r="R404" s="23">
        <v>9</v>
      </c>
      <c r="S404" s="24">
        <v>370.49674400000004</v>
      </c>
      <c r="T404" s="24">
        <v>372.7639935893161</v>
      </c>
      <c r="U404" s="20">
        <v>0.47303687239708125</v>
      </c>
      <c r="V404" s="20">
        <v>-7.8101148866837056</v>
      </c>
      <c r="W404" s="20">
        <v>-9.7022623762720315</v>
      </c>
      <c r="X404" s="22" t="s">
        <v>17</v>
      </c>
      <c r="Y404" s="23"/>
      <c r="Z404" s="24" t="s">
        <v>17</v>
      </c>
      <c r="AA404" s="24" t="s">
        <v>17</v>
      </c>
      <c r="AB404" s="20" t="s">
        <v>17</v>
      </c>
      <c r="AC404" s="20" t="s">
        <v>17</v>
      </c>
      <c r="AD404" s="20" t="s">
        <v>17</v>
      </c>
      <c r="AE404" s="22" t="s">
        <v>17</v>
      </c>
      <c r="AF404" s="23"/>
      <c r="AG404" s="24" t="s">
        <v>17</v>
      </c>
      <c r="AH404" s="24" t="s">
        <v>17</v>
      </c>
      <c r="AI404" s="20" t="s">
        <v>17</v>
      </c>
      <c r="AJ404" s="20" t="s">
        <v>17</v>
      </c>
      <c r="AK404" s="20" t="s">
        <v>17</v>
      </c>
      <c r="AL404" s="22" t="s">
        <v>17</v>
      </c>
      <c r="AM404" s="23" t="s">
        <v>17</v>
      </c>
      <c r="AN404" s="24" t="s">
        <v>17</v>
      </c>
      <c r="AO404" s="24" t="s">
        <v>17</v>
      </c>
      <c r="AP404" s="20" t="s">
        <v>17</v>
      </c>
      <c r="AQ404" s="20" t="s">
        <v>17</v>
      </c>
      <c r="AR404" s="20" t="s">
        <v>17</v>
      </c>
      <c r="AS404" s="21"/>
      <c r="AT404" s="20"/>
      <c r="AU404" s="4"/>
      <c r="AV404" s="20"/>
      <c r="AW404" s="20" t="s">
        <v>17</v>
      </c>
      <c r="AX404" s="20" t="s">
        <v>17</v>
      </c>
      <c r="AY404" s="20" t="s">
        <v>17</v>
      </c>
      <c r="AZ404" s="5"/>
      <c r="BA404" s="6"/>
      <c r="BB404" s="4"/>
      <c r="BC404" s="6"/>
      <c r="BD404" s="6"/>
      <c r="BE404" s="6"/>
      <c r="BF404" s="7"/>
    </row>
    <row r="405" spans="1:58" ht="18" customHeight="1">
      <c r="A405" s="107" t="s">
        <v>15</v>
      </c>
      <c r="B405" s="93" t="s">
        <v>383</v>
      </c>
      <c r="C405" s="28">
        <v>570.83000000000004</v>
      </c>
      <c r="D405" s="28">
        <v>570.9</v>
      </c>
      <c r="E405" s="28">
        <v>570.86500000000001</v>
      </c>
      <c r="F405" s="28">
        <v>570.86500000000001</v>
      </c>
      <c r="G405" s="29">
        <v>24365.149326560098</v>
      </c>
      <c r="H405" s="29">
        <v>20224.1395618346</v>
      </c>
      <c r="I405" s="27">
        <f t="shared" si="16"/>
        <v>1</v>
      </c>
      <c r="J405" s="27">
        <f t="shared" si="17"/>
        <v>1</v>
      </c>
      <c r="K405" s="27">
        <f t="shared" si="15"/>
        <v>1</v>
      </c>
      <c r="L405" s="25">
        <v>372.52083700000003</v>
      </c>
      <c r="M405" s="25">
        <v>374.82516967958389</v>
      </c>
      <c r="N405" s="38">
        <v>0.47877569481680204</v>
      </c>
      <c r="O405" s="38">
        <v>-6.7281348949269626</v>
      </c>
      <c r="P405" s="71">
        <v>-8.6432376741941717</v>
      </c>
      <c r="Q405" s="53">
        <v>43895</v>
      </c>
      <c r="R405" s="23">
        <v>7</v>
      </c>
      <c r="S405" s="24">
        <v>372.52083700000003</v>
      </c>
      <c r="T405" s="24">
        <v>374.82516967958389</v>
      </c>
      <c r="U405" s="20">
        <v>0.47877569481680204</v>
      </c>
      <c r="V405" s="20">
        <v>-6.7281348949269626</v>
      </c>
      <c r="W405" s="20">
        <v>-8.6432376741941717</v>
      </c>
      <c r="X405" s="22" t="s">
        <v>17</v>
      </c>
      <c r="Y405" s="23"/>
      <c r="Z405" s="24" t="s">
        <v>17</v>
      </c>
      <c r="AA405" s="24" t="s">
        <v>17</v>
      </c>
      <c r="AB405" s="20" t="s">
        <v>17</v>
      </c>
      <c r="AC405" s="20" t="s">
        <v>17</v>
      </c>
      <c r="AD405" s="20" t="s">
        <v>17</v>
      </c>
      <c r="AE405" s="22" t="s">
        <v>17</v>
      </c>
      <c r="AF405" s="23"/>
      <c r="AG405" s="24" t="s">
        <v>17</v>
      </c>
      <c r="AH405" s="24" t="s">
        <v>17</v>
      </c>
      <c r="AI405" s="20" t="s">
        <v>17</v>
      </c>
      <c r="AJ405" s="20" t="s">
        <v>17</v>
      </c>
      <c r="AK405" s="20" t="s">
        <v>17</v>
      </c>
      <c r="AL405" s="22" t="s">
        <v>17</v>
      </c>
      <c r="AM405" s="23" t="s">
        <v>17</v>
      </c>
      <c r="AN405" s="24" t="s">
        <v>17</v>
      </c>
      <c r="AO405" s="24" t="s">
        <v>17</v>
      </c>
      <c r="AP405" s="20" t="s">
        <v>17</v>
      </c>
      <c r="AQ405" s="20" t="s">
        <v>17</v>
      </c>
      <c r="AR405" s="20" t="s">
        <v>17</v>
      </c>
      <c r="AS405" s="21"/>
      <c r="AT405" s="20"/>
      <c r="AU405" s="4"/>
      <c r="AV405" s="20"/>
      <c r="AW405" s="20" t="s">
        <v>17</v>
      </c>
      <c r="AX405" s="20" t="s">
        <v>17</v>
      </c>
      <c r="AY405" s="20" t="s">
        <v>17</v>
      </c>
      <c r="AZ405" s="5"/>
      <c r="BA405" s="6"/>
      <c r="BB405" s="4"/>
      <c r="BC405" s="6"/>
      <c r="BD405" s="6"/>
      <c r="BE405" s="6"/>
      <c r="BF405" s="7"/>
    </row>
    <row r="406" spans="1:58" ht="18" customHeight="1">
      <c r="A406" s="106" t="s">
        <v>15</v>
      </c>
      <c r="B406" s="93" t="s">
        <v>384</v>
      </c>
      <c r="C406" s="28">
        <v>572.26</v>
      </c>
      <c r="D406" s="28">
        <v>572.38</v>
      </c>
      <c r="E406" s="28">
        <v>572.31999999999994</v>
      </c>
      <c r="F406" s="28">
        <v>572.31999999999994</v>
      </c>
      <c r="G406" s="29">
        <v>24487.172839046201</v>
      </c>
      <c r="H406" s="29">
        <v>20341.536405253799</v>
      </c>
      <c r="I406" s="27">
        <f t="shared" si="16"/>
        <v>1</v>
      </c>
      <c r="J406" s="27">
        <f t="shared" si="17"/>
        <v>1</v>
      </c>
      <c r="K406" s="27">
        <f t="shared" si="15"/>
        <v>1</v>
      </c>
      <c r="L406" s="25">
        <v>372.48486049999997</v>
      </c>
      <c r="M406" s="25">
        <v>374.72463465980252</v>
      </c>
      <c r="N406" s="38">
        <v>0.46479965264811796</v>
      </c>
      <c r="O406" s="38">
        <v>-6.9469005003494066</v>
      </c>
      <c r="P406" s="71">
        <v>-8.8060991109418794</v>
      </c>
      <c r="Q406" s="53">
        <v>44131</v>
      </c>
      <c r="R406" s="23">
        <v>9</v>
      </c>
      <c r="S406" s="24">
        <v>372.48486049999997</v>
      </c>
      <c r="T406" s="24">
        <v>374.72463465980252</v>
      </c>
      <c r="U406" s="20">
        <v>0.46479965264811796</v>
      </c>
      <c r="V406" s="20">
        <v>-6.9469005003494066</v>
      </c>
      <c r="W406" s="20">
        <v>-8.8060991109418794</v>
      </c>
      <c r="X406" s="22" t="s">
        <v>17</v>
      </c>
      <c r="Y406" s="23"/>
      <c r="Z406" s="24" t="s">
        <v>17</v>
      </c>
      <c r="AA406" s="24" t="s">
        <v>17</v>
      </c>
      <c r="AB406" s="20" t="s">
        <v>17</v>
      </c>
      <c r="AC406" s="20" t="s">
        <v>17</v>
      </c>
      <c r="AD406" s="20" t="s">
        <v>17</v>
      </c>
      <c r="AE406" s="22" t="s">
        <v>17</v>
      </c>
      <c r="AF406" s="23"/>
      <c r="AG406" s="24" t="s">
        <v>17</v>
      </c>
      <c r="AH406" s="24" t="s">
        <v>17</v>
      </c>
      <c r="AI406" s="20" t="s">
        <v>17</v>
      </c>
      <c r="AJ406" s="20" t="s">
        <v>17</v>
      </c>
      <c r="AK406" s="20" t="s">
        <v>17</v>
      </c>
      <c r="AL406" s="22" t="s">
        <v>17</v>
      </c>
      <c r="AM406" s="23" t="s">
        <v>17</v>
      </c>
      <c r="AN406" s="24" t="s">
        <v>17</v>
      </c>
      <c r="AO406" s="24" t="s">
        <v>17</v>
      </c>
      <c r="AP406" s="20" t="s">
        <v>17</v>
      </c>
      <c r="AQ406" s="20" t="s">
        <v>17</v>
      </c>
      <c r="AR406" s="20" t="s">
        <v>17</v>
      </c>
      <c r="AS406" s="21"/>
      <c r="AT406" s="20"/>
      <c r="AU406" s="4"/>
      <c r="AV406" s="20"/>
      <c r="AW406" s="20" t="s">
        <v>17</v>
      </c>
      <c r="AX406" s="20" t="s">
        <v>17</v>
      </c>
      <c r="AY406" s="20" t="s">
        <v>17</v>
      </c>
      <c r="AZ406" s="5"/>
      <c r="BA406" s="6"/>
      <c r="BB406" s="4"/>
      <c r="BC406" s="6"/>
      <c r="BD406" s="6"/>
      <c r="BE406" s="6"/>
      <c r="BF406" s="7"/>
    </row>
    <row r="407" spans="1:58" ht="18" customHeight="1">
      <c r="A407" s="106" t="s">
        <v>15</v>
      </c>
      <c r="B407" s="93" t="s">
        <v>385</v>
      </c>
      <c r="C407" s="28">
        <v>573.55999999999995</v>
      </c>
      <c r="D407" s="28">
        <v>573.67999999999995</v>
      </c>
      <c r="E407" s="28">
        <v>573.61999999999989</v>
      </c>
      <c r="F407" s="28">
        <v>573.61999999999989</v>
      </c>
      <c r="G407" s="29">
        <v>24589.523978244499</v>
      </c>
      <c r="H407" s="29">
        <v>20440.412212986299</v>
      </c>
      <c r="I407" s="27">
        <f t="shared" si="16"/>
        <v>2</v>
      </c>
      <c r="J407" s="27">
        <f t="shared" si="17"/>
        <v>2</v>
      </c>
      <c r="K407" s="27">
        <f t="shared" si="15"/>
        <v>1</v>
      </c>
      <c r="L407" s="25">
        <v>368.84986391666666</v>
      </c>
      <c r="M407" s="25">
        <v>371.07614154426454</v>
      </c>
      <c r="N407" s="38">
        <v>0.46716346608532966</v>
      </c>
      <c r="O407" s="38">
        <v>-5.4095910503414446</v>
      </c>
      <c r="P407" s="71">
        <v>-7.2694295422818245</v>
      </c>
      <c r="Q407" s="53">
        <v>44033</v>
      </c>
      <c r="R407" s="23">
        <v>10</v>
      </c>
      <c r="S407" s="24">
        <v>369.15433949999999</v>
      </c>
      <c r="T407" s="24">
        <v>371.37195236372264</v>
      </c>
      <c r="U407" s="1">
        <v>0.46495962298509497</v>
      </c>
      <c r="V407" s="2">
        <v>-5.4095910503414446</v>
      </c>
      <c r="W407" s="2">
        <v>-7.2694295422818245</v>
      </c>
      <c r="X407" s="22">
        <v>44039</v>
      </c>
      <c r="Y407" s="23" t="s">
        <v>88</v>
      </c>
      <c r="Z407" s="24">
        <v>368.54538833333328</v>
      </c>
      <c r="AA407" s="24">
        <v>370.78033072480645</v>
      </c>
      <c r="AB407" s="1">
        <v>0.46936730918556435</v>
      </c>
      <c r="AC407" s="2"/>
      <c r="AD407" s="2"/>
      <c r="AE407" s="22" t="s">
        <v>17</v>
      </c>
      <c r="AF407" s="23"/>
      <c r="AG407" s="24" t="s">
        <v>17</v>
      </c>
      <c r="AH407" s="24" t="s">
        <v>17</v>
      </c>
      <c r="AI407" s="1" t="s">
        <v>17</v>
      </c>
      <c r="AJ407" s="2" t="s">
        <v>17</v>
      </c>
      <c r="AK407" s="2" t="s">
        <v>17</v>
      </c>
      <c r="AL407" s="22" t="s">
        <v>17</v>
      </c>
      <c r="AM407" s="23" t="s">
        <v>17</v>
      </c>
      <c r="AN407" s="24" t="s">
        <v>17</v>
      </c>
      <c r="AO407" s="24" t="s">
        <v>17</v>
      </c>
      <c r="AP407" s="20" t="s">
        <v>17</v>
      </c>
      <c r="AQ407" s="20" t="s">
        <v>17</v>
      </c>
      <c r="AR407" s="20" t="s">
        <v>17</v>
      </c>
      <c r="AS407" s="3"/>
      <c r="AT407" s="2"/>
      <c r="AU407" s="4"/>
      <c r="AV407" s="2"/>
      <c r="AW407" s="1" t="s">
        <v>17</v>
      </c>
      <c r="AX407" s="2" t="s">
        <v>17</v>
      </c>
      <c r="AY407" s="2" t="s">
        <v>17</v>
      </c>
      <c r="AZ407" s="5"/>
      <c r="BA407" s="6"/>
      <c r="BB407" s="4"/>
      <c r="BC407" s="6"/>
      <c r="BD407" s="6"/>
      <c r="BE407" s="6"/>
      <c r="BF407" s="7"/>
    </row>
    <row r="408" spans="1:58" ht="18" customHeight="1">
      <c r="A408" s="106" t="s">
        <v>15</v>
      </c>
      <c r="B408" s="93" t="s">
        <v>386</v>
      </c>
      <c r="C408" s="28">
        <v>574.88</v>
      </c>
      <c r="D408" s="28">
        <v>575</v>
      </c>
      <c r="E408" s="28">
        <v>574.94000000000005</v>
      </c>
      <c r="F408" s="28">
        <v>574.94000000000005</v>
      </c>
      <c r="G408" s="29">
        <v>24691.8400074651</v>
      </c>
      <c r="H408" s="29">
        <v>20536.364467818199</v>
      </c>
      <c r="I408" s="27">
        <f t="shared" si="16"/>
        <v>2</v>
      </c>
      <c r="J408" s="27">
        <f t="shared" si="17"/>
        <v>2</v>
      </c>
      <c r="K408" s="27">
        <f t="shared" si="15"/>
        <v>2</v>
      </c>
      <c r="L408" s="25">
        <v>368.19130949999999</v>
      </c>
      <c r="M408" s="25">
        <v>370.41294864601036</v>
      </c>
      <c r="N408" s="38">
        <v>0.467021033958126</v>
      </c>
      <c r="O408" s="38">
        <v>-6.0109336883972242</v>
      </c>
      <c r="P408" s="71">
        <v>-7.8790178242297282</v>
      </c>
      <c r="Q408" s="53">
        <v>44068</v>
      </c>
      <c r="R408" s="23">
        <v>9</v>
      </c>
      <c r="S408" s="24">
        <v>368.67281150000002</v>
      </c>
      <c r="T408" s="24">
        <v>370.90138898588009</v>
      </c>
      <c r="U408" s="20">
        <v>0.46786883139326996</v>
      </c>
      <c r="V408" s="20">
        <v>-5.9499348546423469</v>
      </c>
      <c r="W408" s="20">
        <v>-7.8214101802154268</v>
      </c>
      <c r="X408" s="22">
        <v>44068</v>
      </c>
      <c r="Y408" s="23">
        <v>9</v>
      </c>
      <c r="Z408" s="24">
        <v>367.70980750000001</v>
      </c>
      <c r="AA408" s="24">
        <v>369.92450830614064</v>
      </c>
      <c r="AB408" s="20">
        <v>0.46617323652298204</v>
      </c>
      <c r="AC408" s="20">
        <v>-6.0719325221521014</v>
      </c>
      <c r="AD408" s="20">
        <v>-7.9366254682440296</v>
      </c>
      <c r="AE408" s="22" t="s">
        <v>17</v>
      </c>
      <c r="AF408" s="23"/>
      <c r="AG408" s="24" t="s">
        <v>17</v>
      </c>
      <c r="AH408" s="24" t="s">
        <v>17</v>
      </c>
      <c r="AI408" s="20" t="s">
        <v>17</v>
      </c>
      <c r="AJ408" s="20" t="s">
        <v>17</v>
      </c>
      <c r="AK408" s="20" t="s">
        <v>17</v>
      </c>
      <c r="AL408" s="22" t="s">
        <v>17</v>
      </c>
      <c r="AM408" s="23" t="s">
        <v>17</v>
      </c>
      <c r="AN408" s="24" t="s">
        <v>17</v>
      </c>
      <c r="AO408" s="24" t="s">
        <v>17</v>
      </c>
      <c r="AP408" s="20" t="s">
        <v>17</v>
      </c>
      <c r="AQ408" s="20" t="s">
        <v>17</v>
      </c>
      <c r="AR408" s="20" t="s">
        <v>17</v>
      </c>
      <c r="AS408" s="21"/>
      <c r="AT408" s="20"/>
      <c r="AU408" s="4"/>
      <c r="AV408" s="20"/>
      <c r="AW408" s="20" t="s">
        <v>17</v>
      </c>
      <c r="AX408" s="20" t="s">
        <v>17</v>
      </c>
      <c r="AY408" s="20" t="s">
        <v>17</v>
      </c>
      <c r="AZ408" s="5"/>
      <c r="BA408" s="6"/>
      <c r="BB408" s="4"/>
      <c r="BC408" s="6"/>
      <c r="BD408" s="6"/>
      <c r="BE408" s="6"/>
      <c r="BF408" s="7"/>
    </row>
    <row r="409" spans="1:58" ht="18" customHeight="1">
      <c r="A409" s="106" t="s">
        <v>15</v>
      </c>
      <c r="B409" s="93" t="s">
        <v>387</v>
      </c>
      <c r="C409" s="28">
        <v>576.85</v>
      </c>
      <c r="D409" s="28">
        <v>576.97</v>
      </c>
      <c r="E409" s="28">
        <v>576.91000000000008</v>
      </c>
      <c r="F409" s="28">
        <v>576.91000000000008</v>
      </c>
      <c r="G409" s="29">
        <v>24855.793591139602</v>
      </c>
      <c r="H409" s="29">
        <v>20678.5980799348</v>
      </c>
      <c r="I409" s="27">
        <f t="shared" si="16"/>
        <v>1</v>
      </c>
      <c r="J409" s="27">
        <f t="shared" si="17"/>
        <v>1</v>
      </c>
      <c r="K409" s="27">
        <f t="shared" si="15"/>
        <v>0</v>
      </c>
      <c r="L409" s="25">
        <v>371.40761733333329</v>
      </c>
      <c r="M409" s="25">
        <v>373.69644402997227</v>
      </c>
      <c r="N409" s="38">
        <v>0.47637181725934674</v>
      </c>
      <c r="O409" s="38"/>
      <c r="P409" s="71"/>
      <c r="Q409" s="53">
        <v>44144</v>
      </c>
      <c r="R409" s="23">
        <v>3</v>
      </c>
      <c r="S409" s="24">
        <v>371.40761733333329</v>
      </c>
      <c r="T409" s="24">
        <v>373.69644402997227</v>
      </c>
      <c r="U409" s="20">
        <v>0.47637181725934674</v>
      </c>
      <c r="V409" s="20"/>
      <c r="W409" s="20"/>
      <c r="X409" s="22" t="s">
        <v>17</v>
      </c>
      <c r="Y409" s="23"/>
      <c r="Z409" s="24" t="s">
        <v>17</v>
      </c>
      <c r="AA409" s="24" t="s">
        <v>17</v>
      </c>
      <c r="AB409" s="20" t="s">
        <v>17</v>
      </c>
      <c r="AC409" s="20" t="s">
        <v>17</v>
      </c>
      <c r="AD409" s="20" t="s">
        <v>17</v>
      </c>
      <c r="AE409" s="22" t="s">
        <v>17</v>
      </c>
      <c r="AF409" s="23"/>
      <c r="AG409" s="24" t="s">
        <v>17</v>
      </c>
      <c r="AH409" s="24" t="s">
        <v>17</v>
      </c>
      <c r="AI409" s="20" t="s">
        <v>17</v>
      </c>
      <c r="AJ409" s="20" t="s">
        <v>17</v>
      </c>
      <c r="AK409" s="20" t="s">
        <v>17</v>
      </c>
      <c r="AL409" s="22" t="s">
        <v>17</v>
      </c>
      <c r="AM409" s="23" t="s">
        <v>17</v>
      </c>
      <c r="AN409" s="24" t="s">
        <v>17</v>
      </c>
      <c r="AO409" s="24" t="s">
        <v>17</v>
      </c>
      <c r="AP409" s="20" t="s">
        <v>17</v>
      </c>
      <c r="AQ409" s="20" t="s">
        <v>17</v>
      </c>
      <c r="AR409" s="20" t="s">
        <v>17</v>
      </c>
      <c r="AS409" s="21"/>
      <c r="AT409" s="20"/>
      <c r="AU409" s="4"/>
      <c r="AV409" s="20"/>
      <c r="AW409" s="20" t="s">
        <v>17</v>
      </c>
      <c r="AX409" s="20" t="s">
        <v>17</v>
      </c>
      <c r="AY409" s="20" t="s">
        <v>17</v>
      </c>
      <c r="AZ409" s="5"/>
      <c r="BA409" s="6"/>
      <c r="BB409" s="4"/>
      <c r="BC409" s="6"/>
      <c r="BD409" s="6"/>
      <c r="BE409" s="6"/>
      <c r="BF409" s="7"/>
    </row>
    <row r="410" spans="1:58" ht="18" customHeight="1">
      <c r="A410" s="106" t="s">
        <v>15</v>
      </c>
      <c r="B410" s="93" t="s">
        <v>388</v>
      </c>
      <c r="C410" s="28">
        <v>578.23500000000001</v>
      </c>
      <c r="D410" s="28">
        <v>578.35500000000002</v>
      </c>
      <c r="E410" s="28">
        <v>578.29500000000007</v>
      </c>
      <c r="F410" s="28">
        <v>578.29500000000007</v>
      </c>
      <c r="G410" s="29">
        <v>24972.866295515199</v>
      </c>
      <c r="H410" s="29">
        <v>20785.026126721099</v>
      </c>
      <c r="I410" s="27">
        <f t="shared" si="16"/>
        <v>2</v>
      </c>
      <c r="J410" s="27">
        <f t="shared" si="17"/>
        <v>2</v>
      </c>
      <c r="K410" s="27">
        <f t="shared" si="15"/>
        <v>1</v>
      </c>
      <c r="L410" s="25">
        <v>370.92948950000005</v>
      </c>
      <c r="M410" s="25">
        <v>373.21601426287043</v>
      </c>
      <c r="N410" s="38">
        <v>0.47711266853700529</v>
      </c>
      <c r="O410" s="38">
        <v>-6.6993049434111995</v>
      </c>
      <c r="P410" s="71">
        <v>-8.6118752998256554</v>
      </c>
      <c r="Q410" s="53">
        <v>44041</v>
      </c>
      <c r="R410" s="23">
        <v>10</v>
      </c>
      <c r="S410" s="24">
        <v>371.35890800000004</v>
      </c>
      <c r="T410" s="24">
        <v>373.65301562607095</v>
      </c>
      <c r="U410" s="1">
        <v>0.47814258910361396</v>
      </c>
      <c r="V410" s="2">
        <v>-6.6993049434111995</v>
      </c>
      <c r="W410" s="2">
        <v>-8.6118752998256554</v>
      </c>
      <c r="X410" s="22">
        <v>44049</v>
      </c>
      <c r="Y410" s="23" t="s">
        <v>88</v>
      </c>
      <c r="Z410" s="24">
        <v>370.50007100000005</v>
      </c>
      <c r="AA410" s="24">
        <v>372.77901289966985</v>
      </c>
      <c r="AB410" s="1">
        <v>0.47608274797039662</v>
      </c>
      <c r="AC410" s="2"/>
      <c r="AD410" s="2"/>
      <c r="AE410" s="22" t="s">
        <v>17</v>
      </c>
      <c r="AF410" s="23"/>
      <c r="AG410" s="24" t="s">
        <v>17</v>
      </c>
      <c r="AH410" s="24" t="s">
        <v>17</v>
      </c>
      <c r="AI410" s="1" t="s">
        <v>17</v>
      </c>
      <c r="AJ410" s="2" t="s">
        <v>17</v>
      </c>
      <c r="AK410" s="2" t="s">
        <v>17</v>
      </c>
      <c r="AL410" s="22" t="s">
        <v>17</v>
      </c>
      <c r="AM410" s="23" t="s">
        <v>17</v>
      </c>
      <c r="AN410" s="24" t="s">
        <v>17</v>
      </c>
      <c r="AO410" s="24" t="s">
        <v>17</v>
      </c>
      <c r="AP410" s="20" t="s">
        <v>17</v>
      </c>
      <c r="AQ410" s="20" t="s">
        <v>17</v>
      </c>
      <c r="AR410" s="20" t="s">
        <v>17</v>
      </c>
      <c r="AS410" s="3"/>
      <c r="AT410" s="2"/>
      <c r="AU410" s="4"/>
      <c r="AV410" s="2"/>
      <c r="AW410" s="1" t="s">
        <v>17</v>
      </c>
      <c r="AX410" s="2" t="s">
        <v>17</v>
      </c>
      <c r="AY410" s="2" t="s">
        <v>17</v>
      </c>
      <c r="AZ410" s="5"/>
      <c r="BA410" s="6"/>
      <c r="BB410" s="4"/>
      <c r="BC410" s="6"/>
      <c r="BD410" s="6"/>
      <c r="BE410" s="6"/>
      <c r="BF410" s="7"/>
    </row>
    <row r="411" spans="1:58" ht="18" customHeight="1">
      <c r="A411" s="106" t="s">
        <v>15</v>
      </c>
      <c r="B411" s="93" t="s">
        <v>389</v>
      </c>
      <c r="C411" s="28">
        <v>579.41</v>
      </c>
      <c r="D411" s="28">
        <v>579.53</v>
      </c>
      <c r="E411" s="28">
        <v>579.47</v>
      </c>
      <c r="F411" s="28">
        <v>579.47</v>
      </c>
      <c r="G411" s="29">
        <v>25067.937968161299</v>
      </c>
      <c r="H411" s="29">
        <v>20882.833556531201</v>
      </c>
      <c r="I411" s="27">
        <f t="shared" si="16"/>
        <v>1</v>
      </c>
      <c r="J411" s="27">
        <f t="shared" si="17"/>
        <v>1</v>
      </c>
      <c r="K411" s="27">
        <f t="shared" si="15"/>
        <v>1</v>
      </c>
      <c r="L411" s="25">
        <v>373.17553150000003</v>
      </c>
      <c r="M411" s="25">
        <v>375.46512076110133</v>
      </c>
      <c r="N411" s="38">
        <v>0.47487784205624273</v>
      </c>
      <c r="O411" s="38">
        <v>-6.6695539978145479</v>
      </c>
      <c r="P411" s="71">
        <v>-8.5690653660395188</v>
      </c>
      <c r="Q411" s="53">
        <v>43881</v>
      </c>
      <c r="R411" s="23">
        <v>9</v>
      </c>
      <c r="S411" s="24">
        <v>373.17553150000003</v>
      </c>
      <c r="T411" s="24">
        <v>375.46512076110133</v>
      </c>
      <c r="U411" s="20">
        <v>0.47487784205624273</v>
      </c>
      <c r="V411" s="20">
        <v>-6.6695539978145479</v>
      </c>
      <c r="W411" s="20">
        <v>-8.5690653660395188</v>
      </c>
      <c r="X411" s="22" t="s">
        <v>17</v>
      </c>
      <c r="Y411" s="23"/>
      <c r="Z411" s="24" t="s">
        <v>17</v>
      </c>
      <c r="AA411" s="24" t="s">
        <v>17</v>
      </c>
      <c r="AB411" s="20" t="s">
        <v>17</v>
      </c>
      <c r="AC411" s="20" t="s">
        <v>17</v>
      </c>
      <c r="AD411" s="20" t="s">
        <v>17</v>
      </c>
      <c r="AE411" s="22" t="s">
        <v>17</v>
      </c>
      <c r="AF411" s="23"/>
      <c r="AG411" s="24" t="s">
        <v>17</v>
      </c>
      <c r="AH411" s="24" t="s">
        <v>17</v>
      </c>
      <c r="AI411" s="20" t="s">
        <v>17</v>
      </c>
      <c r="AJ411" s="20" t="s">
        <v>17</v>
      </c>
      <c r="AK411" s="20" t="s">
        <v>17</v>
      </c>
      <c r="AL411" s="22" t="s">
        <v>17</v>
      </c>
      <c r="AM411" s="23" t="s">
        <v>17</v>
      </c>
      <c r="AN411" s="24" t="s">
        <v>17</v>
      </c>
      <c r="AO411" s="24" t="s">
        <v>17</v>
      </c>
      <c r="AP411" s="20" t="s">
        <v>17</v>
      </c>
      <c r="AQ411" s="20" t="s">
        <v>17</v>
      </c>
      <c r="AR411" s="20" t="s">
        <v>17</v>
      </c>
      <c r="AS411" s="21"/>
      <c r="AT411" s="20"/>
      <c r="AU411" s="4"/>
      <c r="AV411" s="20"/>
      <c r="AW411" s="20" t="s">
        <v>17</v>
      </c>
      <c r="AX411" s="20" t="s">
        <v>17</v>
      </c>
      <c r="AY411" s="20" t="s">
        <v>17</v>
      </c>
      <c r="AZ411" s="5"/>
      <c r="BA411" s="6"/>
      <c r="BB411" s="4"/>
      <c r="BC411" s="6"/>
      <c r="BD411" s="6"/>
      <c r="BE411" s="6"/>
      <c r="BF411" s="7"/>
    </row>
    <row r="412" spans="1:58" ht="18" customHeight="1">
      <c r="A412" s="106" t="s">
        <v>15</v>
      </c>
      <c r="B412" s="93" t="s">
        <v>390</v>
      </c>
      <c r="C412" s="28">
        <v>579.82000000000005</v>
      </c>
      <c r="D412" s="28">
        <v>579.94000000000005</v>
      </c>
      <c r="E412" s="28">
        <v>579.88000000000011</v>
      </c>
      <c r="F412" s="28">
        <v>579.88000000000011</v>
      </c>
      <c r="G412" s="29">
        <v>25101.316668006501</v>
      </c>
      <c r="H412" s="29">
        <v>20919.1546956159</v>
      </c>
      <c r="I412" s="27">
        <f t="shared" si="16"/>
        <v>2</v>
      </c>
      <c r="J412" s="27">
        <f t="shared" si="17"/>
        <v>2</v>
      </c>
      <c r="K412" s="27">
        <f t="shared" si="15"/>
        <v>1</v>
      </c>
      <c r="L412" s="25">
        <v>373.45127850000006</v>
      </c>
      <c r="M412" s="25">
        <v>375.67955927409565</v>
      </c>
      <c r="N412" s="38">
        <v>0.4618163903113981</v>
      </c>
      <c r="O412" s="38">
        <v>-4.2389406081254632</v>
      </c>
      <c r="P412" s="71">
        <v>-6.0633216749818031</v>
      </c>
      <c r="Q412" s="53">
        <v>44048</v>
      </c>
      <c r="R412" s="23">
        <v>10</v>
      </c>
      <c r="S412" s="24">
        <v>373.16623300000003</v>
      </c>
      <c r="T412" s="24">
        <v>375.36520863518928</v>
      </c>
      <c r="U412" s="1">
        <v>0.45609526671408496</v>
      </c>
      <c r="V412" s="2">
        <v>-4.2389406081254632</v>
      </c>
      <c r="W412" s="2">
        <v>-6.0633216749818031</v>
      </c>
      <c r="X412" s="22">
        <v>44054</v>
      </c>
      <c r="Y412" s="23" t="s">
        <v>88</v>
      </c>
      <c r="Z412" s="24">
        <v>373.73632400000002</v>
      </c>
      <c r="AA412" s="24">
        <v>375.99390991300203</v>
      </c>
      <c r="AB412" s="1">
        <v>0.46753751390871123</v>
      </c>
      <c r="AC412" s="2"/>
      <c r="AD412" s="2"/>
      <c r="AE412" s="22" t="s">
        <v>17</v>
      </c>
      <c r="AF412" s="23"/>
      <c r="AG412" s="24" t="s">
        <v>17</v>
      </c>
      <c r="AH412" s="24" t="s">
        <v>17</v>
      </c>
      <c r="AI412" s="1" t="s">
        <v>17</v>
      </c>
      <c r="AJ412" s="2" t="s">
        <v>17</v>
      </c>
      <c r="AK412" s="2" t="s">
        <v>17</v>
      </c>
      <c r="AL412" s="22" t="s">
        <v>17</v>
      </c>
      <c r="AM412" s="23" t="s">
        <v>17</v>
      </c>
      <c r="AN412" s="24" t="s">
        <v>17</v>
      </c>
      <c r="AO412" s="24" t="s">
        <v>17</v>
      </c>
      <c r="AP412" s="20" t="s">
        <v>17</v>
      </c>
      <c r="AQ412" s="20" t="s">
        <v>17</v>
      </c>
      <c r="AR412" s="20" t="s">
        <v>17</v>
      </c>
      <c r="AS412" s="3"/>
      <c r="AT412" s="2"/>
      <c r="AU412" s="4"/>
      <c r="AV412" s="2"/>
      <c r="AW412" s="1" t="s">
        <v>17</v>
      </c>
      <c r="AX412" s="2" t="s">
        <v>17</v>
      </c>
      <c r="AY412" s="2" t="s">
        <v>17</v>
      </c>
      <c r="AZ412" s="5"/>
      <c r="BA412" s="6"/>
      <c r="BB412" s="4"/>
      <c r="BC412" s="6"/>
      <c r="BD412" s="6"/>
      <c r="BE412" s="6"/>
      <c r="BF412" s="7"/>
    </row>
    <row r="413" spans="1:58" ht="18" customHeight="1">
      <c r="A413" s="106" t="s">
        <v>15</v>
      </c>
      <c r="B413" s="93" t="s">
        <v>391</v>
      </c>
      <c r="C413" s="28">
        <v>580</v>
      </c>
      <c r="D413" s="28">
        <v>580.12</v>
      </c>
      <c r="E413" s="28">
        <v>580.05999999999995</v>
      </c>
      <c r="F413" s="28">
        <v>580.05999999999995</v>
      </c>
      <c r="G413" s="29">
        <v>25116.298755922799</v>
      </c>
      <c r="H413" s="29">
        <v>20935.427613814099</v>
      </c>
      <c r="I413" s="27">
        <f t="shared" si="16"/>
        <v>1</v>
      </c>
      <c r="J413" s="27">
        <f t="shared" si="17"/>
        <v>1</v>
      </c>
      <c r="K413" s="27">
        <f t="shared" si="15"/>
        <v>1</v>
      </c>
      <c r="L413" s="25">
        <v>372.10525250000001</v>
      </c>
      <c r="M413" s="25">
        <v>374.40488326945712</v>
      </c>
      <c r="N413" s="38">
        <v>0.47833239772931968</v>
      </c>
      <c r="O413" s="38">
        <v>-6.1517682900068538</v>
      </c>
      <c r="P413" s="71">
        <v>-8.0650978809241316</v>
      </c>
      <c r="Q413" s="53">
        <v>44025</v>
      </c>
      <c r="R413" s="23">
        <v>10</v>
      </c>
      <c r="S413" s="24">
        <v>372.10525250000001</v>
      </c>
      <c r="T413" s="24">
        <v>374.40488326945712</v>
      </c>
      <c r="U413" s="20">
        <v>0.47833239772931968</v>
      </c>
      <c r="V413" s="20">
        <v>-6.1517682900068538</v>
      </c>
      <c r="W413" s="20">
        <v>-8.0650978809241316</v>
      </c>
      <c r="X413" s="22" t="s">
        <v>17</v>
      </c>
      <c r="Y413" s="23"/>
      <c r="Z413" s="24" t="s">
        <v>17</v>
      </c>
      <c r="AA413" s="24" t="s">
        <v>17</v>
      </c>
      <c r="AB413" s="20" t="s">
        <v>17</v>
      </c>
      <c r="AC413" s="20" t="s">
        <v>17</v>
      </c>
      <c r="AD413" s="20" t="s">
        <v>17</v>
      </c>
      <c r="AE413" s="22" t="s">
        <v>17</v>
      </c>
      <c r="AF413" s="23"/>
      <c r="AG413" s="24" t="s">
        <v>17</v>
      </c>
      <c r="AH413" s="24" t="s">
        <v>17</v>
      </c>
      <c r="AI413" s="20" t="s">
        <v>17</v>
      </c>
      <c r="AJ413" s="20" t="s">
        <v>17</v>
      </c>
      <c r="AK413" s="20" t="s">
        <v>17</v>
      </c>
      <c r="AL413" s="22" t="s">
        <v>17</v>
      </c>
      <c r="AM413" s="23" t="s">
        <v>17</v>
      </c>
      <c r="AN413" s="24" t="s">
        <v>17</v>
      </c>
      <c r="AO413" s="24" t="s">
        <v>17</v>
      </c>
      <c r="AP413" s="20" t="s">
        <v>17</v>
      </c>
      <c r="AQ413" s="20" t="s">
        <v>17</v>
      </c>
      <c r="AR413" s="20" t="s">
        <v>17</v>
      </c>
      <c r="AS413" s="21"/>
      <c r="AT413" s="20"/>
      <c r="AU413" s="4"/>
      <c r="AV413" s="20"/>
      <c r="AW413" s="20" t="s">
        <v>17</v>
      </c>
      <c r="AX413" s="20" t="s">
        <v>17</v>
      </c>
      <c r="AY413" s="20" t="s">
        <v>17</v>
      </c>
      <c r="AZ413" s="5"/>
      <c r="BA413" s="6"/>
      <c r="BB413" s="4"/>
      <c r="BC413" s="6"/>
      <c r="BD413" s="6"/>
      <c r="BE413" s="6"/>
      <c r="BF413" s="7"/>
    </row>
    <row r="414" spans="1:58" ht="18" customHeight="1">
      <c r="A414" s="106" t="s">
        <v>15</v>
      </c>
      <c r="B414" s="93" t="s">
        <v>392</v>
      </c>
      <c r="C414" s="28">
        <v>582.66</v>
      </c>
      <c r="D414" s="28">
        <v>582.78</v>
      </c>
      <c r="E414" s="28">
        <v>582.72</v>
      </c>
      <c r="F414" s="28">
        <v>582.72</v>
      </c>
      <c r="G414" s="29">
        <v>25344.301100095901</v>
      </c>
      <c r="H414" s="29">
        <v>21163.960830153399</v>
      </c>
      <c r="I414" s="27">
        <f t="shared" si="16"/>
        <v>1</v>
      </c>
      <c r="J414" s="27">
        <f t="shared" si="17"/>
        <v>1</v>
      </c>
      <c r="K414" s="27">
        <f t="shared" si="15"/>
        <v>1</v>
      </c>
      <c r="L414" s="25">
        <v>370.72009349999996</v>
      </c>
      <c r="M414" s="25">
        <v>372.97463668010857</v>
      </c>
      <c r="N414" s="38">
        <v>0.47009865618963254</v>
      </c>
      <c r="O414" s="38">
        <v>-5.6772518264929239</v>
      </c>
      <c r="P414" s="71">
        <v>-7.5576464512514541</v>
      </c>
      <c r="Q414" s="53">
        <v>44146</v>
      </c>
      <c r="R414" s="23">
        <v>9</v>
      </c>
      <c r="S414" s="24">
        <v>370.72009349999996</v>
      </c>
      <c r="T414" s="24">
        <v>372.97463668010857</v>
      </c>
      <c r="U414" s="20">
        <v>0.47009865618963254</v>
      </c>
      <c r="V414" s="20">
        <v>-5.6772518264929239</v>
      </c>
      <c r="W414" s="20">
        <v>-7.5576464512514541</v>
      </c>
      <c r="X414" s="22" t="s">
        <v>17</v>
      </c>
      <c r="Y414" s="23"/>
      <c r="Z414" s="24" t="s">
        <v>17</v>
      </c>
      <c r="AA414" s="24" t="s">
        <v>17</v>
      </c>
      <c r="AB414" s="20" t="s">
        <v>17</v>
      </c>
      <c r="AC414" s="20" t="s">
        <v>17</v>
      </c>
      <c r="AD414" s="20" t="s">
        <v>17</v>
      </c>
      <c r="AE414" s="22" t="s">
        <v>17</v>
      </c>
      <c r="AF414" s="23"/>
      <c r="AG414" s="24" t="s">
        <v>17</v>
      </c>
      <c r="AH414" s="24" t="s">
        <v>17</v>
      </c>
      <c r="AI414" s="20" t="s">
        <v>17</v>
      </c>
      <c r="AJ414" s="20" t="s">
        <v>17</v>
      </c>
      <c r="AK414" s="20" t="s">
        <v>17</v>
      </c>
      <c r="AL414" s="22" t="s">
        <v>17</v>
      </c>
      <c r="AM414" s="23" t="s">
        <v>17</v>
      </c>
      <c r="AN414" s="24" t="s">
        <v>17</v>
      </c>
      <c r="AO414" s="24" t="s">
        <v>17</v>
      </c>
      <c r="AP414" s="20" t="s">
        <v>17</v>
      </c>
      <c r="AQ414" s="20" t="s">
        <v>17</v>
      </c>
      <c r="AR414" s="20" t="s">
        <v>17</v>
      </c>
      <c r="AS414" s="21"/>
      <c r="AT414" s="20"/>
      <c r="AU414" s="4"/>
      <c r="AV414" s="20"/>
      <c r="AW414" s="20" t="s">
        <v>17</v>
      </c>
      <c r="AX414" s="20" t="s">
        <v>17</v>
      </c>
      <c r="AY414" s="20" t="s">
        <v>17</v>
      </c>
      <c r="AZ414" s="5"/>
      <c r="BA414" s="6"/>
      <c r="BB414" s="4"/>
      <c r="BC414" s="6"/>
      <c r="BD414" s="6"/>
      <c r="BE414" s="6"/>
      <c r="BF414" s="7"/>
    </row>
    <row r="415" spans="1:58" ht="18" customHeight="1">
      <c r="A415" s="107" t="s">
        <v>15</v>
      </c>
      <c r="B415" s="93" t="s">
        <v>393</v>
      </c>
      <c r="C415" s="28">
        <v>584.15</v>
      </c>
      <c r="D415" s="28">
        <v>584.27</v>
      </c>
      <c r="E415" s="28">
        <v>584.21</v>
      </c>
      <c r="F415" s="28">
        <v>584.21</v>
      </c>
      <c r="G415" s="29">
        <v>25465.769507471599</v>
      </c>
      <c r="H415" s="29">
        <v>21283.573379911599</v>
      </c>
      <c r="I415" s="27">
        <f t="shared" si="16"/>
        <v>1</v>
      </c>
      <c r="J415" s="27">
        <f t="shared" si="17"/>
        <v>1</v>
      </c>
      <c r="K415" s="27">
        <f t="shared" si="15"/>
        <v>1</v>
      </c>
      <c r="L415" s="25">
        <v>367.445087</v>
      </c>
      <c r="M415" s="25">
        <v>369.60655749820216</v>
      </c>
      <c r="N415" s="38">
        <v>0.45529654391329721</v>
      </c>
      <c r="O415" s="38">
        <v>-5.3195241057760745</v>
      </c>
      <c r="P415" s="71">
        <v>-7.1407102814292633</v>
      </c>
      <c r="Q415" s="53">
        <v>43893</v>
      </c>
      <c r="R415" s="23">
        <v>9</v>
      </c>
      <c r="S415" s="24">
        <v>367.445087</v>
      </c>
      <c r="T415" s="24">
        <v>369.60655749820216</v>
      </c>
      <c r="U415" s="20">
        <v>0.45529654391329721</v>
      </c>
      <c r="V415" s="20">
        <v>-5.3195241057760745</v>
      </c>
      <c r="W415" s="20">
        <v>-7.1407102814292633</v>
      </c>
      <c r="X415" s="22" t="s">
        <v>17</v>
      </c>
      <c r="Y415" s="23"/>
      <c r="Z415" s="24" t="s">
        <v>17</v>
      </c>
      <c r="AA415" s="24" t="s">
        <v>17</v>
      </c>
      <c r="AB415" s="20" t="s">
        <v>17</v>
      </c>
      <c r="AC415" s="20" t="s">
        <v>17</v>
      </c>
      <c r="AD415" s="20" t="s">
        <v>17</v>
      </c>
      <c r="AE415" s="22" t="s">
        <v>17</v>
      </c>
      <c r="AF415" s="23"/>
      <c r="AG415" s="24" t="s">
        <v>17</v>
      </c>
      <c r="AH415" s="24" t="s">
        <v>17</v>
      </c>
      <c r="AI415" s="20" t="s">
        <v>17</v>
      </c>
      <c r="AJ415" s="20" t="s">
        <v>17</v>
      </c>
      <c r="AK415" s="20" t="s">
        <v>17</v>
      </c>
      <c r="AL415" s="22" t="s">
        <v>17</v>
      </c>
      <c r="AM415" s="23" t="s">
        <v>17</v>
      </c>
      <c r="AN415" s="24" t="s">
        <v>17</v>
      </c>
      <c r="AO415" s="24" t="s">
        <v>17</v>
      </c>
      <c r="AP415" s="20" t="s">
        <v>17</v>
      </c>
      <c r="AQ415" s="20" t="s">
        <v>17</v>
      </c>
      <c r="AR415" s="20" t="s">
        <v>17</v>
      </c>
      <c r="AS415" s="21"/>
      <c r="AT415" s="20"/>
      <c r="AU415" s="4"/>
      <c r="AV415" s="20"/>
      <c r="AW415" s="20" t="s">
        <v>17</v>
      </c>
      <c r="AX415" s="20" t="s">
        <v>17</v>
      </c>
      <c r="AY415" s="20" t="s">
        <v>17</v>
      </c>
      <c r="AZ415" s="5"/>
      <c r="BA415" s="6"/>
      <c r="BB415" s="4"/>
      <c r="BC415" s="6"/>
      <c r="BD415" s="6"/>
      <c r="BE415" s="6"/>
      <c r="BF415" s="7"/>
    </row>
    <row r="416" spans="1:58" ht="18" customHeight="1">
      <c r="A416" s="106" t="s">
        <v>15</v>
      </c>
      <c r="B416" s="93" t="s">
        <v>394</v>
      </c>
      <c r="C416" s="28">
        <v>585.54</v>
      </c>
      <c r="D416" s="28">
        <v>585.66</v>
      </c>
      <c r="E416" s="28">
        <v>585.59999999999991</v>
      </c>
      <c r="F416" s="28">
        <v>585.59999999999991</v>
      </c>
      <c r="G416" s="29">
        <v>25576.059928922801</v>
      </c>
      <c r="H416" s="29">
        <v>21408.0120508334</v>
      </c>
      <c r="I416" s="27">
        <f t="shared" si="16"/>
        <v>2</v>
      </c>
      <c r="J416" s="27">
        <f t="shared" si="17"/>
        <v>2</v>
      </c>
      <c r="K416" s="27">
        <f t="shared" si="15"/>
        <v>2</v>
      </c>
      <c r="L416" s="25">
        <v>368.90602174999998</v>
      </c>
      <c r="M416" s="25">
        <v>371.17652384392306</v>
      </c>
      <c r="N416" s="38">
        <v>0.47636423144614692</v>
      </c>
      <c r="O416" s="38">
        <v>-5.3428141412852348</v>
      </c>
      <c r="P416" s="71">
        <v>-7.2482710670698225</v>
      </c>
      <c r="Q416" s="53">
        <v>44062</v>
      </c>
      <c r="R416" s="23">
        <v>10</v>
      </c>
      <c r="S416" s="24">
        <v>370.23517149999998</v>
      </c>
      <c r="T416" s="24">
        <v>372.52038997983902</v>
      </c>
      <c r="U416" s="20">
        <v>0.4777355285479068</v>
      </c>
      <c r="V416" s="20">
        <v>-5.3461906158264183</v>
      </c>
      <c r="W416" s="20">
        <v>-7.2571327300180455</v>
      </c>
      <c r="X416" s="22">
        <v>44062</v>
      </c>
      <c r="Y416" s="23">
        <v>10</v>
      </c>
      <c r="Z416" s="24">
        <v>367.57687199999998</v>
      </c>
      <c r="AA416" s="24">
        <v>369.83265770800705</v>
      </c>
      <c r="AB416" s="20">
        <v>0.47499293434438705</v>
      </c>
      <c r="AC416" s="20">
        <v>-5.3394376667440513</v>
      </c>
      <c r="AD416" s="20">
        <v>-7.2394094041215995</v>
      </c>
      <c r="AE416" s="22" t="s">
        <v>17</v>
      </c>
      <c r="AF416" s="23"/>
      <c r="AG416" s="24" t="s">
        <v>17</v>
      </c>
      <c r="AH416" s="24" t="s">
        <v>17</v>
      </c>
      <c r="AI416" s="20" t="s">
        <v>17</v>
      </c>
      <c r="AJ416" s="20" t="s">
        <v>17</v>
      </c>
      <c r="AK416" s="20" t="s">
        <v>17</v>
      </c>
      <c r="AL416" s="22" t="s">
        <v>17</v>
      </c>
      <c r="AM416" s="23" t="s">
        <v>17</v>
      </c>
      <c r="AN416" s="24" t="s">
        <v>17</v>
      </c>
      <c r="AO416" s="24" t="s">
        <v>17</v>
      </c>
      <c r="AP416" s="20" t="s">
        <v>17</v>
      </c>
      <c r="AQ416" s="20" t="s">
        <v>17</v>
      </c>
      <c r="AR416" s="20" t="s">
        <v>17</v>
      </c>
      <c r="AS416" s="21"/>
      <c r="AT416" s="20"/>
      <c r="AU416" s="4"/>
      <c r="AV416" s="20"/>
      <c r="AW416" s="20" t="s">
        <v>17</v>
      </c>
      <c r="AX416" s="20" t="s">
        <v>17</v>
      </c>
      <c r="AY416" s="20" t="s">
        <v>17</v>
      </c>
      <c r="AZ416" s="5"/>
      <c r="BA416" s="6"/>
      <c r="BB416" s="4"/>
      <c r="BC416" s="6"/>
      <c r="BD416" s="6"/>
      <c r="BE416" s="6"/>
      <c r="BF416" s="7"/>
    </row>
    <row r="417" spans="1:58" ht="18" customHeight="1">
      <c r="A417" s="107" t="s">
        <v>15</v>
      </c>
      <c r="B417" s="93" t="s">
        <v>395</v>
      </c>
      <c r="C417" s="28">
        <v>586.64</v>
      </c>
      <c r="D417" s="28">
        <v>586.76</v>
      </c>
      <c r="E417" s="28">
        <v>586.70000000000005</v>
      </c>
      <c r="F417" s="28">
        <v>586.70000000000005</v>
      </c>
      <c r="G417" s="29">
        <v>25663.379644397301</v>
      </c>
      <c r="H417" s="29">
        <v>21505.9078977344</v>
      </c>
      <c r="I417" s="27">
        <f t="shared" si="16"/>
        <v>1</v>
      </c>
      <c r="J417" s="27">
        <f t="shared" si="17"/>
        <v>1</v>
      </c>
      <c r="K417" s="27">
        <f t="shared" si="15"/>
        <v>1</v>
      </c>
      <c r="L417" s="25">
        <v>364.18199849999996</v>
      </c>
      <c r="M417" s="25">
        <v>366.34354797373868</v>
      </c>
      <c r="N417" s="38">
        <v>0.45939280781515102</v>
      </c>
      <c r="O417" s="38">
        <v>-5.8105449076075733</v>
      </c>
      <c r="P417" s="71">
        <v>-7.6481161388681773</v>
      </c>
      <c r="Q417" s="53">
        <v>43888</v>
      </c>
      <c r="R417" s="23">
        <v>9</v>
      </c>
      <c r="S417" s="24">
        <v>364.18199849999996</v>
      </c>
      <c r="T417" s="24">
        <v>366.34354797373868</v>
      </c>
      <c r="U417" s="20">
        <v>0.45939280781515102</v>
      </c>
      <c r="V417" s="20">
        <v>-5.8105449076075733</v>
      </c>
      <c r="W417" s="20">
        <v>-7.6481161388681773</v>
      </c>
      <c r="X417" s="22" t="s">
        <v>17</v>
      </c>
      <c r="Y417" s="23"/>
      <c r="Z417" s="24" t="s">
        <v>17</v>
      </c>
      <c r="AA417" s="24" t="s">
        <v>17</v>
      </c>
      <c r="AB417" s="20" t="s">
        <v>17</v>
      </c>
      <c r="AC417" s="20" t="s">
        <v>17</v>
      </c>
      <c r="AD417" s="20" t="s">
        <v>17</v>
      </c>
      <c r="AE417" s="22" t="s">
        <v>17</v>
      </c>
      <c r="AF417" s="23"/>
      <c r="AG417" s="24" t="s">
        <v>17</v>
      </c>
      <c r="AH417" s="24" t="s">
        <v>17</v>
      </c>
      <c r="AI417" s="20" t="s">
        <v>17</v>
      </c>
      <c r="AJ417" s="20" t="s">
        <v>17</v>
      </c>
      <c r="AK417" s="20" t="s">
        <v>17</v>
      </c>
      <c r="AL417" s="22" t="s">
        <v>17</v>
      </c>
      <c r="AM417" s="23" t="s">
        <v>17</v>
      </c>
      <c r="AN417" s="24" t="s">
        <v>17</v>
      </c>
      <c r="AO417" s="24" t="s">
        <v>17</v>
      </c>
      <c r="AP417" s="20" t="s">
        <v>17</v>
      </c>
      <c r="AQ417" s="20" t="s">
        <v>17</v>
      </c>
      <c r="AR417" s="20" t="s">
        <v>17</v>
      </c>
      <c r="AS417" s="21"/>
      <c r="AT417" s="20"/>
      <c r="AU417" s="4"/>
      <c r="AV417" s="20"/>
      <c r="AW417" s="20" t="s">
        <v>17</v>
      </c>
      <c r="AX417" s="20" t="s">
        <v>17</v>
      </c>
      <c r="AY417" s="20" t="s">
        <v>17</v>
      </c>
      <c r="AZ417" s="5"/>
      <c r="BA417" s="6"/>
      <c r="BB417" s="4"/>
      <c r="BC417" s="6"/>
      <c r="BD417" s="6"/>
      <c r="BE417" s="6"/>
      <c r="BF417" s="7"/>
    </row>
    <row r="418" spans="1:58" ht="18" customHeight="1">
      <c r="A418" s="106" t="s">
        <v>15</v>
      </c>
      <c r="B418" s="93" t="s">
        <v>396</v>
      </c>
      <c r="C418" s="28">
        <v>588.17999999999995</v>
      </c>
      <c r="D418" s="28">
        <v>588.29999999999995</v>
      </c>
      <c r="E418" s="28">
        <v>588.24</v>
      </c>
      <c r="F418" s="28">
        <v>588.24</v>
      </c>
      <c r="G418" s="29">
        <v>25790.937578454399</v>
      </c>
      <c r="H418" s="29">
        <v>21632.339465666999</v>
      </c>
      <c r="I418" s="27">
        <f t="shared" si="16"/>
        <v>1</v>
      </c>
      <c r="J418" s="27">
        <f t="shared" si="17"/>
        <v>1</v>
      </c>
      <c r="K418" s="27">
        <f t="shared" si="15"/>
        <v>1</v>
      </c>
      <c r="L418" s="25">
        <v>363.12628599999999</v>
      </c>
      <c r="M418" s="25">
        <v>365.26035784707136</v>
      </c>
      <c r="N418" s="38">
        <v>0.45487161333346293</v>
      </c>
      <c r="O418" s="38">
        <v>-4.9292442002681902</v>
      </c>
      <c r="P418" s="71">
        <v>-6.7487306536020419</v>
      </c>
      <c r="Q418" s="53">
        <v>44112</v>
      </c>
      <c r="R418" s="23">
        <v>9</v>
      </c>
      <c r="S418" s="24">
        <v>363.12628599999999</v>
      </c>
      <c r="T418" s="24">
        <v>365.26035784707136</v>
      </c>
      <c r="U418" s="20">
        <v>0.45487161333346293</v>
      </c>
      <c r="V418" s="20">
        <v>-4.9292442002681902</v>
      </c>
      <c r="W418" s="20">
        <v>-6.7487306536020419</v>
      </c>
      <c r="X418" s="22" t="s">
        <v>17</v>
      </c>
      <c r="Y418" s="23"/>
      <c r="Z418" s="24" t="s">
        <v>17</v>
      </c>
      <c r="AA418" s="24" t="s">
        <v>17</v>
      </c>
      <c r="AB418" s="20" t="s">
        <v>17</v>
      </c>
      <c r="AC418" s="20" t="s">
        <v>17</v>
      </c>
      <c r="AD418" s="20" t="s">
        <v>17</v>
      </c>
      <c r="AE418" s="22" t="s">
        <v>17</v>
      </c>
      <c r="AF418" s="23"/>
      <c r="AG418" s="24" t="s">
        <v>17</v>
      </c>
      <c r="AH418" s="24" t="s">
        <v>17</v>
      </c>
      <c r="AI418" s="20" t="s">
        <v>17</v>
      </c>
      <c r="AJ418" s="20" t="s">
        <v>17</v>
      </c>
      <c r="AK418" s="20" t="s">
        <v>17</v>
      </c>
      <c r="AL418" s="22" t="s">
        <v>17</v>
      </c>
      <c r="AM418" s="23" t="s">
        <v>17</v>
      </c>
      <c r="AN418" s="24" t="s">
        <v>17</v>
      </c>
      <c r="AO418" s="24" t="s">
        <v>17</v>
      </c>
      <c r="AP418" s="20" t="s">
        <v>17</v>
      </c>
      <c r="AQ418" s="20" t="s">
        <v>17</v>
      </c>
      <c r="AR418" s="20" t="s">
        <v>17</v>
      </c>
      <c r="AS418" s="21"/>
      <c r="AT418" s="20"/>
      <c r="AU418" s="4"/>
      <c r="AV418" s="20"/>
      <c r="AW418" s="20" t="s">
        <v>17</v>
      </c>
      <c r="AX418" s="20" t="s">
        <v>17</v>
      </c>
      <c r="AY418" s="20" t="s">
        <v>17</v>
      </c>
      <c r="AZ418" s="5"/>
      <c r="BA418" s="6"/>
      <c r="BB418" s="4"/>
      <c r="BC418" s="6"/>
      <c r="BD418" s="6"/>
      <c r="BE418" s="6"/>
      <c r="BF418" s="7"/>
    </row>
    <row r="419" spans="1:58" ht="18" customHeight="1">
      <c r="A419" s="107" t="s">
        <v>15</v>
      </c>
      <c r="B419" s="93" t="s">
        <v>397</v>
      </c>
      <c r="C419" s="28">
        <v>589.75</v>
      </c>
      <c r="D419" s="28">
        <v>589.87</v>
      </c>
      <c r="E419" s="28">
        <v>589.80999999999995</v>
      </c>
      <c r="F419" s="28">
        <v>589.80999999999995</v>
      </c>
      <c r="G419" s="29">
        <v>25927.399491636901</v>
      </c>
      <c r="H419" s="29">
        <v>21752.7225650951</v>
      </c>
      <c r="I419" s="27">
        <f t="shared" si="16"/>
        <v>1</v>
      </c>
      <c r="J419" s="27">
        <f t="shared" si="17"/>
        <v>1</v>
      </c>
      <c r="K419" s="27">
        <f t="shared" si="15"/>
        <v>1</v>
      </c>
      <c r="L419" s="25">
        <v>366.69597599999997</v>
      </c>
      <c r="M419" s="25">
        <v>368.85568856836505</v>
      </c>
      <c r="N419" s="38">
        <v>0.45585560368444078</v>
      </c>
      <c r="O419" s="38">
        <v>-5.9234887183122753</v>
      </c>
      <c r="P419" s="71">
        <v>-7.7469111330500384</v>
      </c>
      <c r="Q419" s="53">
        <v>43900</v>
      </c>
      <c r="R419" s="23">
        <v>9</v>
      </c>
      <c r="S419" s="24">
        <v>366.69597599999997</v>
      </c>
      <c r="T419" s="24">
        <v>368.85568856836505</v>
      </c>
      <c r="U419" s="20">
        <v>0.45585560368444078</v>
      </c>
      <c r="V419" s="20">
        <v>-5.9234887183122753</v>
      </c>
      <c r="W419" s="20">
        <v>-7.7469111330500384</v>
      </c>
      <c r="X419" s="22" t="s">
        <v>17</v>
      </c>
      <c r="Y419" s="23"/>
      <c r="Z419" s="24" t="s">
        <v>17</v>
      </c>
      <c r="AA419" s="24" t="s">
        <v>17</v>
      </c>
      <c r="AB419" s="20" t="s">
        <v>17</v>
      </c>
      <c r="AC419" s="20" t="s">
        <v>17</v>
      </c>
      <c r="AD419" s="20" t="s">
        <v>17</v>
      </c>
      <c r="AE419" s="22" t="s">
        <v>17</v>
      </c>
      <c r="AF419" s="23"/>
      <c r="AG419" s="24" t="s">
        <v>17</v>
      </c>
      <c r="AH419" s="24" t="s">
        <v>17</v>
      </c>
      <c r="AI419" s="20" t="s">
        <v>17</v>
      </c>
      <c r="AJ419" s="20" t="s">
        <v>17</v>
      </c>
      <c r="AK419" s="20" t="s">
        <v>17</v>
      </c>
      <c r="AL419" s="22" t="s">
        <v>17</v>
      </c>
      <c r="AM419" s="23" t="s">
        <v>17</v>
      </c>
      <c r="AN419" s="24" t="s">
        <v>17</v>
      </c>
      <c r="AO419" s="24" t="s">
        <v>17</v>
      </c>
      <c r="AP419" s="20" t="s">
        <v>17</v>
      </c>
      <c r="AQ419" s="20" t="s">
        <v>17</v>
      </c>
      <c r="AR419" s="20" t="s">
        <v>17</v>
      </c>
      <c r="AS419" s="21"/>
      <c r="AT419" s="20"/>
      <c r="AU419" s="4"/>
      <c r="AV419" s="20"/>
      <c r="AW419" s="20" t="s">
        <v>17</v>
      </c>
      <c r="AX419" s="20" t="s">
        <v>17</v>
      </c>
      <c r="AY419" s="20" t="s">
        <v>17</v>
      </c>
      <c r="AZ419" s="5"/>
      <c r="BA419" s="6"/>
      <c r="BB419" s="4"/>
      <c r="BC419" s="6"/>
      <c r="BD419" s="6"/>
      <c r="BE419" s="6"/>
      <c r="BF419" s="7"/>
    </row>
    <row r="420" spans="1:58" ht="18" customHeight="1">
      <c r="A420" s="106" t="s">
        <v>15</v>
      </c>
      <c r="B420" s="93" t="s">
        <v>398</v>
      </c>
      <c r="C420" s="28">
        <v>591.01</v>
      </c>
      <c r="D420" s="28">
        <v>591.13</v>
      </c>
      <c r="E420" s="28">
        <v>591.06999999999994</v>
      </c>
      <c r="F420" s="28">
        <v>591.06999999999994</v>
      </c>
      <c r="G420" s="29">
        <v>26037.6778171777</v>
      </c>
      <c r="H420" s="29">
        <v>21841.918111305898</v>
      </c>
      <c r="I420" s="27">
        <f t="shared" si="16"/>
        <v>2</v>
      </c>
      <c r="J420" s="27">
        <f t="shared" si="17"/>
        <v>2</v>
      </c>
      <c r="K420" s="27">
        <f t="shared" si="15"/>
        <v>1</v>
      </c>
      <c r="L420" s="25">
        <v>366.43308524999998</v>
      </c>
      <c r="M420" s="25">
        <v>368.63678242168595</v>
      </c>
      <c r="N420" s="38">
        <v>0.46547212896097534</v>
      </c>
      <c r="O420" s="38">
        <v>-6.9052658554528135</v>
      </c>
      <c r="P420" s="71">
        <v>-8.7694842291828898</v>
      </c>
      <c r="Q420" s="53">
        <v>44046</v>
      </c>
      <c r="R420" s="23">
        <v>10</v>
      </c>
      <c r="S420" s="24">
        <v>367.13399849999996</v>
      </c>
      <c r="T420" s="24">
        <v>369.34466846436771</v>
      </c>
      <c r="U420" s="1">
        <v>0.46605459343251887</v>
      </c>
      <c r="V420" s="2">
        <v>-6.9052658554528135</v>
      </c>
      <c r="W420" s="2">
        <v>-8.7694842291828898</v>
      </c>
      <c r="X420" s="22">
        <v>44054</v>
      </c>
      <c r="Y420" s="23" t="s">
        <v>88</v>
      </c>
      <c r="Z420" s="24">
        <v>365.73217199999999</v>
      </c>
      <c r="AA420" s="24">
        <v>367.92889637900419</v>
      </c>
      <c r="AB420" s="1">
        <v>0.46488966448943181</v>
      </c>
      <c r="AC420" s="2"/>
      <c r="AD420" s="2"/>
      <c r="AE420" s="22" t="s">
        <v>17</v>
      </c>
      <c r="AF420" s="23"/>
      <c r="AG420" s="24" t="s">
        <v>17</v>
      </c>
      <c r="AH420" s="24" t="s">
        <v>17</v>
      </c>
      <c r="AI420" s="1" t="s">
        <v>17</v>
      </c>
      <c r="AJ420" s="2" t="s">
        <v>17</v>
      </c>
      <c r="AK420" s="2" t="s">
        <v>17</v>
      </c>
      <c r="AL420" s="22" t="s">
        <v>17</v>
      </c>
      <c r="AM420" s="23" t="s">
        <v>17</v>
      </c>
      <c r="AN420" s="24" t="s">
        <v>17</v>
      </c>
      <c r="AO420" s="24" t="s">
        <v>17</v>
      </c>
      <c r="AP420" s="20" t="s">
        <v>17</v>
      </c>
      <c r="AQ420" s="20" t="s">
        <v>17</v>
      </c>
      <c r="AR420" s="20" t="s">
        <v>17</v>
      </c>
      <c r="AS420" s="3"/>
      <c r="AT420" s="2"/>
      <c r="AU420" s="4"/>
      <c r="AV420" s="2"/>
      <c r="AW420" s="1" t="s">
        <v>17</v>
      </c>
      <c r="AX420" s="2" t="s">
        <v>17</v>
      </c>
      <c r="AY420" s="2" t="s">
        <v>17</v>
      </c>
      <c r="AZ420" s="5"/>
      <c r="BA420" s="6"/>
      <c r="BB420" s="4"/>
      <c r="BC420" s="6"/>
      <c r="BD420" s="6"/>
      <c r="BE420" s="6"/>
      <c r="BF420" s="7"/>
    </row>
    <row r="421" spans="1:58" ht="18" customHeight="1">
      <c r="A421" s="106" t="s">
        <v>15</v>
      </c>
      <c r="B421" s="93" t="s">
        <v>399</v>
      </c>
      <c r="C421" s="28">
        <v>592.75</v>
      </c>
      <c r="D421" s="28">
        <v>592.87</v>
      </c>
      <c r="E421" s="28">
        <v>592.80999999999995</v>
      </c>
      <c r="F421" s="28">
        <v>592.80999999999995</v>
      </c>
      <c r="G421" s="29">
        <v>26185.914969680402</v>
      </c>
      <c r="H421" s="29">
        <v>21952.632007141001</v>
      </c>
      <c r="I421" s="27">
        <f t="shared" si="16"/>
        <v>2</v>
      </c>
      <c r="J421" s="27">
        <f t="shared" si="17"/>
        <v>1</v>
      </c>
      <c r="K421" s="27">
        <f t="shared" si="15"/>
        <v>1</v>
      </c>
      <c r="L421" s="25">
        <v>366.50245825000002</v>
      </c>
      <c r="M421" s="25">
        <v>371.9806594212439</v>
      </c>
      <c r="N421" s="38">
        <v>0.46715737868185947</v>
      </c>
      <c r="O421" s="38">
        <v>-5.1659376005580571</v>
      </c>
      <c r="P421" s="71">
        <v>-7.0345671152854949</v>
      </c>
      <c r="Q421" s="53">
        <v>44117</v>
      </c>
      <c r="R421" s="23">
        <v>9</v>
      </c>
      <c r="S421" s="24">
        <v>364.93199849999996</v>
      </c>
      <c r="T421" s="24">
        <v>367.13460883154772</v>
      </c>
      <c r="U421" s="20">
        <v>0.46715737868185947</v>
      </c>
      <c r="V421" s="20">
        <v>-5.1659376005580571</v>
      </c>
      <c r="W421" s="20">
        <v>-7.0345671152854949</v>
      </c>
      <c r="X421" s="22">
        <v>44208</v>
      </c>
      <c r="Y421" s="23" t="s">
        <v>88</v>
      </c>
      <c r="Z421" s="24">
        <v>368.07291800000002</v>
      </c>
      <c r="AA421" s="24">
        <v>376.82671001094002</v>
      </c>
      <c r="AB421" s="20" t="s">
        <v>17</v>
      </c>
      <c r="AC421" s="20"/>
      <c r="AD421" s="20"/>
      <c r="AE421" s="22" t="s">
        <v>17</v>
      </c>
      <c r="AF421" s="23"/>
      <c r="AG421" s="24" t="s">
        <v>17</v>
      </c>
      <c r="AH421" s="24" t="s">
        <v>17</v>
      </c>
      <c r="AI421" s="20" t="s">
        <v>17</v>
      </c>
      <c r="AJ421" s="20" t="s">
        <v>17</v>
      </c>
      <c r="AK421" s="20" t="s">
        <v>17</v>
      </c>
      <c r="AL421" s="22" t="s">
        <v>17</v>
      </c>
      <c r="AM421" s="23" t="s">
        <v>17</v>
      </c>
      <c r="AN421" s="24" t="s">
        <v>17</v>
      </c>
      <c r="AO421" s="24" t="s">
        <v>17</v>
      </c>
      <c r="AP421" s="20" t="s">
        <v>17</v>
      </c>
      <c r="AQ421" s="20" t="s">
        <v>17</v>
      </c>
      <c r="AR421" s="20" t="s">
        <v>17</v>
      </c>
      <c r="AS421" s="21"/>
      <c r="AT421" s="20"/>
      <c r="AU421" s="4"/>
      <c r="AV421" s="20"/>
      <c r="AW421" s="20" t="s">
        <v>17</v>
      </c>
      <c r="AX421" s="20" t="s">
        <v>17</v>
      </c>
      <c r="AY421" s="20" t="s">
        <v>17</v>
      </c>
      <c r="AZ421" s="5"/>
      <c r="BA421" s="6"/>
      <c r="BB421" s="4"/>
      <c r="BC421" s="6"/>
      <c r="BD421" s="6"/>
      <c r="BE421" s="6"/>
      <c r="BF421" s="7"/>
    </row>
    <row r="422" spans="1:58" ht="18" customHeight="1">
      <c r="A422" s="106" t="s">
        <v>15</v>
      </c>
      <c r="B422" s="93" t="s">
        <v>400</v>
      </c>
      <c r="C422" s="28">
        <v>594.07000000000005</v>
      </c>
      <c r="D422" s="28">
        <v>594.19000000000005</v>
      </c>
      <c r="E422" s="28">
        <v>594.13000000000011</v>
      </c>
      <c r="F422" s="28">
        <v>594.13000000000011</v>
      </c>
      <c r="G422" s="29">
        <v>26287.706811617201</v>
      </c>
      <c r="H422" s="29">
        <v>22032.746958107698</v>
      </c>
      <c r="I422" s="27">
        <f t="shared" si="16"/>
        <v>1</v>
      </c>
      <c r="J422" s="27">
        <f t="shared" si="17"/>
        <v>1</v>
      </c>
      <c r="K422" s="27">
        <f t="shared" si="15"/>
        <v>1</v>
      </c>
      <c r="L422" s="25">
        <v>366.82406450000002</v>
      </c>
      <c r="M422" s="25">
        <v>369.0348202403149</v>
      </c>
      <c r="N422" s="38">
        <v>0.46646646709125328</v>
      </c>
      <c r="O422" s="38">
        <v>-7.0458671608110146</v>
      </c>
      <c r="P422" s="71">
        <v>-8.9117330291760268</v>
      </c>
      <c r="Q422" s="53">
        <v>43873</v>
      </c>
      <c r="R422" s="23">
        <v>9</v>
      </c>
      <c r="S422" s="24">
        <v>366.82406450000002</v>
      </c>
      <c r="T422" s="24">
        <v>369.0348202403149</v>
      </c>
      <c r="U422" s="20">
        <v>0.46646646709125328</v>
      </c>
      <c r="V422" s="20">
        <v>-7.0458671608110146</v>
      </c>
      <c r="W422" s="20">
        <v>-8.9117330291760268</v>
      </c>
      <c r="X422" s="22" t="s">
        <v>17</v>
      </c>
      <c r="Y422" s="23"/>
      <c r="Z422" s="24" t="s">
        <v>17</v>
      </c>
      <c r="AA422" s="24" t="s">
        <v>17</v>
      </c>
      <c r="AB422" s="20" t="s">
        <v>17</v>
      </c>
      <c r="AC422" s="20" t="s">
        <v>17</v>
      </c>
      <c r="AD422" s="20" t="s">
        <v>17</v>
      </c>
      <c r="AE422" s="22" t="s">
        <v>17</v>
      </c>
      <c r="AF422" s="23"/>
      <c r="AG422" s="24" t="s">
        <v>17</v>
      </c>
      <c r="AH422" s="24" t="s">
        <v>17</v>
      </c>
      <c r="AI422" s="20" t="s">
        <v>17</v>
      </c>
      <c r="AJ422" s="20" t="s">
        <v>17</v>
      </c>
      <c r="AK422" s="20" t="s">
        <v>17</v>
      </c>
      <c r="AL422" s="22" t="s">
        <v>17</v>
      </c>
      <c r="AM422" s="23" t="s">
        <v>17</v>
      </c>
      <c r="AN422" s="24" t="s">
        <v>17</v>
      </c>
      <c r="AO422" s="24" t="s">
        <v>17</v>
      </c>
      <c r="AP422" s="20" t="s">
        <v>17</v>
      </c>
      <c r="AQ422" s="20" t="s">
        <v>17</v>
      </c>
      <c r="AR422" s="20" t="s">
        <v>17</v>
      </c>
      <c r="AS422" s="21"/>
      <c r="AT422" s="20"/>
      <c r="AU422" s="4"/>
      <c r="AV422" s="20"/>
      <c r="AW422" s="20" t="s">
        <v>17</v>
      </c>
      <c r="AX422" s="20" t="s">
        <v>17</v>
      </c>
      <c r="AY422" s="20" t="s">
        <v>17</v>
      </c>
      <c r="AZ422" s="5"/>
      <c r="BA422" s="6"/>
      <c r="BB422" s="4"/>
      <c r="BC422" s="6"/>
      <c r="BD422" s="6"/>
      <c r="BE422" s="6"/>
      <c r="BF422" s="7"/>
    </row>
    <row r="423" spans="1:58" ht="18" customHeight="1">
      <c r="A423" s="106" t="s">
        <v>15</v>
      </c>
      <c r="B423" s="93" t="s">
        <v>401</v>
      </c>
      <c r="C423" s="28">
        <v>595.38</v>
      </c>
      <c r="D423" s="28">
        <v>595.5</v>
      </c>
      <c r="E423" s="28">
        <v>595.44000000000005</v>
      </c>
      <c r="F423" s="28">
        <v>595.44000000000005</v>
      </c>
      <c r="G423" s="29">
        <v>26379.917499587598</v>
      </c>
      <c r="H423" s="29">
        <v>22113.799470585702</v>
      </c>
      <c r="I423" s="27">
        <f t="shared" si="16"/>
        <v>2</v>
      </c>
      <c r="J423" s="27">
        <f t="shared" si="17"/>
        <v>2</v>
      </c>
      <c r="K423" s="27">
        <f t="shared" ref="K423:K486" si="18">COUNT(V423,AC423,AJ423,AQ423,AX423,BF423)</f>
        <v>2</v>
      </c>
      <c r="L423" s="25">
        <v>366.60790399999996</v>
      </c>
      <c r="M423" s="25">
        <v>368.83670859600517</v>
      </c>
      <c r="N423" s="38">
        <v>0.47053885943904028</v>
      </c>
      <c r="O423" s="38">
        <v>-6.5456232625846766</v>
      </c>
      <c r="P423" s="71">
        <v>-8.4277787003408378</v>
      </c>
      <c r="Q423" s="53">
        <v>44112</v>
      </c>
      <c r="R423" s="23">
        <v>9</v>
      </c>
      <c r="S423" s="24">
        <v>364.01708550000001</v>
      </c>
      <c r="T423" s="24">
        <v>366.22130809192447</v>
      </c>
      <c r="U423" s="20">
        <v>0.46867433031860806</v>
      </c>
      <c r="V423" s="20">
        <v>-6.481607279957613</v>
      </c>
      <c r="W423" s="20">
        <v>-8.3563046012320452</v>
      </c>
      <c r="X423" s="22">
        <v>44112</v>
      </c>
      <c r="Y423" s="23">
        <v>9</v>
      </c>
      <c r="Z423" s="24">
        <v>369.19872249999997</v>
      </c>
      <c r="AA423" s="24">
        <v>371.45210910008586</v>
      </c>
      <c r="AB423" s="20">
        <v>0.4724033885594725</v>
      </c>
      <c r="AC423" s="20">
        <v>-6.6096392452117403</v>
      </c>
      <c r="AD423" s="20">
        <v>-8.4992527994496303</v>
      </c>
      <c r="AE423" s="22"/>
      <c r="AF423" s="23"/>
      <c r="AG423" s="24"/>
      <c r="AH423" s="24"/>
      <c r="AI423" s="20" t="s">
        <v>17</v>
      </c>
      <c r="AJ423" s="20"/>
      <c r="AK423" s="20"/>
      <c r="AL423" s="22" t="s">
        <v>17</v>
      </c>
      <c r="AM423" s="23" t="s">
        <v>17</v>
      </c>
      <c r="AN423" s="24" t="s">
        <v>17</v>
      </c>
      <c r="AO423" s="24" t="s">
        <v>17</v>
      </c>
      <c r="AP423" s="20" t="s">
        <v>17</v>
      </c>
      <c r="AQ423" s="20" t="s">
        <v>17</v>
      </c>
      <c r="AR423" s="20" t="s">
        <v>17</v>
      </c>
      <c r="AS423" s="21"/>
      <c r="AT423" s="20"/>
      <c r="AU423" s="4"/>
      <c r="AV423" s="20"/>
      <c r="AW423" s="20" t="s">
        <v>17</v>
      </c>
      <c r="AX423" s="20" t="s">
        <v>17</v>
      </c>
      <c r="AY423" s="20" t="s">
        <v>17</v>
      </c>
      <c r="AZ423" s="5"/>
      <c r="BA423" s="6"/>
      <c r="BB423" s="4"/>
      <c r="BC423" s="6"/>
      <c r="BD423" s="6"/>
      <c r="BE423" s="6"/>
      <c r="BF423" s="7"/>
    </row>
    <row r="424" spans="1:58" ht="18" customHeight="1">
      <c r="A424" s="107" t="s">
        <v>15</v>
      </c>
      <c r="B424" s="111" t="s">
        <v>402</v>
      </c>
      <c r="C424" s="28">
        <v>597</v>
      </c>
      <c r="D424" s="28">
        <v>597.12</v>
      </c>
      <c r="E424" s="28">
        <v>597.05999999999995</v>
      </c>
      <c r="F424" s="28">
        <v>597.05999999999995</v>
      </c>
      <c r="G424" s="29">
        <v>26486.8414597765</v>
      </c>
      <c r="H424" s="29">
        <v>22223.499117646999</v>
      </c>
      <c r="I424" s="27">
        <f t="shared" ref="I424:I487" si="19">COUNT(T424,AA424,AH424,AO424,AV424,BC424)</f>
        <v>1</v>
      </c>
      <c r="J424" s="27">
        <f t="shared" ref="J424:J487" si="20">COUNT(U424,AB424,AI424,AP424,AW424,BD424)</f>
        <v>1</v>
      </c>
      <c r="K424" s="27">
        <f t="shared" si="18"/>
        <v>1</v>
      </c>
      <c r="L424" s="25">
        <v>368.71849150000003</v>
      </c>
      <c r="M424" s="25">
        <v>370.9368560299115</v>
      </c>
      <c r="N424" s="38">
        <v>0.46566701961792134</v>
      </c>
      <c r="O424" s="38">
        <v>-6.3420078761029508</v>
      </c>
      <c r="P424" s="71">
        <v>-8.2046759545746362</v>
      </c>
      <c r="Q424" s="53">
        <v>43916</v>
      </c>
      <c r="R424" s="23">
        <v>9</v>
      </c>
      <c r="S424" s="24">
        <v>368.71849150000003</v>
      </c>
      <c r="T424" s="24">
        <v>370.9368560299115</v>
      </c>
      <c r="U424" s="20">
        <v>0.46566701961792134</v>
      </c>
      <c r="V424" s="20">
        <v>-6.3420078761029508</v>
      </c>
      <c r="W424" s="20">
        <v>-8.2046759545746362</v>
      </c>
      <c r="X424" s="22" t="s">
        <v>17</v>
      </c>
      <c r="Y424" s="23"/>
      <c r="Z424" s="24" t="s">
        <v>17</v>
      </c>
      <c r="AA424" s="24" t="s">
        <v>17</v>
      </c>
      <c r="AB424" s="20" t="s">
        <v>17</v>
      </c>
      <c r="AC424" s="20" t="s">
        <v>17</v>
      </c>
      <c r="AD424" s="20" t="s">
        <v>17</v>
      </c>
      <c r="AE424" s="22" t="s">
        <v>17</v>
      </c>
      <c r="AF424" s="23"/>
      <c r="AG424" s="24" t="s">
        <v>17</v>
      </c>
      <c r="AH424" s="24" t="s">
        <v>17</v>
      </c>
      <c r="AI424" s="20" t="s">
        <v>17</v>
      </c>
      <c r="AJ424" s="20" t="s">
        <v>17</v>
      </c>
      <c r="AK424" s="20" t="s">
        <v>17</v>
      </c>
      <c r="AL424" s="22" t="s">
        <v>17</v>
      </c>
      <c r="AM424" s="23" t="s">
        <v>17</v>
      </c>
      <c r="AN424" s="24" t="s">
        <v>17</v>
      </c>
      <c r="AO424" s="24" t="s">
        <v>17</v>
      </c>
      <c r="AP424" s="20" t="s">
        <v>17</v>
      </c>
      <c r="AQ424" s="20" t="s">
        <v>17</v>
      </c>
      <c r="AR424" s="20" t="s">
        <v>17</v>
      </c>
      <c r="AS424" s="21"/>
      <c r="AT424" s="20"/>
      <c r="AU424" s="4"/>
      <c r="AV424" s="20"/>
      <c r="AW424" s="20" t="s">
        <v>17</v>
      </c>
      <c r="AX424" s="20" t="s">
        <v>17</v>
      </c>
      <c r="AY424" s="20" t="s">
        <v>17</v>
      </c>
      <c r="AZ424" s="5"/>
      <c r="BA424" s="6"/>
      <c r="BB424" s="4"/>
      <c r="BC424" s="6"/>
      <c r="BD424" s="6"/>
      <c r="BE424" s="6"/>
      <c r="BF424" s="7"/>
    </row>
    <row r="425" spans="1:58" ht="18" customHeight="1">
      <c r="A425" s="106" t="s">
        <v>15</v>
      </c>
      <c r="B425" s="93" t="s">
        <v>403</v>
      </c>
      <c r="C425" s="28">
        <v>598</v>
      </c>
      <c r="D425" s="28">
        <v>598.12</v>
      </c>
      <c r="E425" s="28">
        <v>598.05999999999995</v>
      </c>
      <c r="F425" s="28">
        <v>598.05999999999995</v>
      </c>
      <c r="G425" s="29">
        <v>26554.635615345502</v>
      </c>
      <c r="H425" s="29">
        <v>22301.801298042599</v>
      </c>
      <c r="I425" s="27">
        <f t="shared" si="19"/>
        <v>1</v>
      </c>
      <c r="J425" s="27">
        <f t="shared" si="20"/>
        <v>1</v>
      </c>
      <c r="K425" s="27">
        <f t="shared" si="18"/>
        <v>1</v>
      </c>
      <c r="L425" s="25">
        <v>371.97631949999999</v>
      </c>
      <c r="M425" s="25">
        <v>374.24205009157612</v>
      </c>
      <c r="N425" s="38">
        <v>0.47144437875656919</v>
      </c>
      <c r="O425" s="38">
        <v>-6.586935335471944</v>
      </c>
      <c r="P425" s="71">
        <v>-8.4727128504982208</v>
      </c>
      <c r="Q425" s="53">
        <v>44110</v>
      </c>
      <c r="R425" s="23">
        <v>9</v>
      </c>
      <c r="S425" s="24">
        <v>371.97631949999999</v>
      </c>
      <c r="T425" s="24">
        <v>374.24205009157612</v>
      </c>
      <c r="U425" s="20">
        <v>0.47144437875656919</v>
      </c>
      <c r="V425" s="20">
        <v>-6.586935335471944</v>
      </c>
      <c r="W425" s="20">
        <v>-8.4727128504982208</v>
      </c>
      <c r="X425" s="22" t="s">
        <v>17</v>
      </c>
      <c r="Y425" s="23"/>
      <c r="Z425" s="24" t="s">
        <v>17</v>
      </c>
      <c r="AA425" s="24" t="s">
        <v>17</v>
      </c>
      <c r="AB425" s="20" t="s">
        <v>17</v>
      </c>
      <c r="AC425" s="20" t="s">
        <v>17</v>
      </c>
      <c r="AD425" s="20" t="s">
        <v>17</v>
      </c>
      <c r="AE425" s="22" t="s">
        <v>17</v>
      </c>
      <c r="AF425" s="23"/>
      <c r="AG425" s="24" t="s">
        <v>17</v>
      </c>
      <c r="AH425" s="24" t="s">
        <v>17</v>
      </c>
      <c r="AI425" s="20" t="s">
        <v>17</v>
      </c>
      <c r="AJ425" s="20" t="s">
        <v>17</v>
      </c>
      <c r="AK425" s="20" t="s">
        <v>17</v>
      </c>
      <c r="AL425" s="22" t="s">
        <v>17</v>
      </c>
      <c r="AM425" s="23" t="s">
        <v>17</v>
      </c>
      <c r="AN425" s="24" t="s">
        <v>17</v>
      </c>
      <c r="AO425" s="24" t="s">
        <v>17</v>
      </c>
      <c r="AP425" s="20" t="s">
        <v>17</v>
      </c>
      <c r="AQ425" s="20" t="s">
        <v>17</v>
      </c>
      <c r="AR425" s="20" t="s">
        <v>17</v>
      </c>
      <c r="AS425" s="21"/>
      <c r="AT425" s="20"/>
      <c r="AU425" s="4"/>
      <c r="AV425" s="20"/>
      <c r="AW425" s="20" t="s">
        <v>17</v>
      </c>
      <c r="AX425" s="20" t="s">
        <v>17</v>
      </c>
      <c r="AY425" s="20" t="s">
        <v>17</v>
      </c>
      <c r="AZ425" s="5"/>
      <c r="BA425" s="6"/>
      <c r="BB425" s="4"/>
      <c r="BC425" s="6"/>
      <c r="BD425" s="6"/>
      <c r="BE425" s="6"/>
      <c r="BF425" s="7"/>
    </row>
    <row r="426" spans="1:58" ht="18" customHeight="1">
      <c r="A426" s="107" t="s">
        <v>15</v>
      </c>
      <c r="B426" s="93" t="s">
        <v>404</v>
      </c>
      <c r="C426" s="28">
        <v>599.41</v>
      </c>
      <c r="D426" s="28">
        <v>599.53</v>
      </c>
      <c r="E426" s="28">
        <v>599.47</v>
      </c>
      <c r="F426" s="28">
        <v>599.47</v>
      </c>
      <c r="G426" s="29">
        <v>26661.066461002101</v>
      </c>
      <c r="H426" s="29">
        <v>22409.308599398901</v>
      </c>
      <c r="I426" s="27">
        <f t="shared" si="19"/>
        <v>2</v>
      </c>
      <c r="J426" s="27">
        <f t="shared" si="20"/>
        <v>1</v>
      </c>
      <c r="K426" s="27">
        <f t="shared" si="18"/>
        <v>1</v>
      </c>
      <c r="L426" s="25">
        <v>377.50242125</v>
      </c>
      <c r="M426" s="25">
        <v>379.78663720481859</v>
      </c>
      <c r="N426" s="38">
        <v>0.46833315649297269</v>
      </c>
      <c r="O426" s="38">
        <v>-6.1323346756557706</v>
      </c>
      <c r="P426" s="71">
        <v>-8.0056673016276605</v>
      </c>
      <c r="Q426" s="53">
        <v>43892</v>
      </c>
      <c r="R426" s="23">
        <v>9</v>
      </c>
      <c r="S426" s="24">
        <v>379.36919750000004</v>
      </c>
      <c r="T426" s="24">
        <v>381.6647090647387</v>
      </c>
      <c r="U426" s="20">
        <v>0.46833315649297269</v>
      </c>
      <c r="V426" s="20">
        <v>-6.1323346756557706</v>
      </c>
      <c r="W426" s="20">
        <v>-8.0056673016276605</v>
      </c>
      <c r="X426" s="22">
        <v>44151</v>
      </c>
      <c r="Y426" s="23" t="s">
        <v>88</v>
      </c>
      <c r="Z426" s="24">
        <v>375.63564500000001</v>
      </c>
      <c r="AA426" s="24">
        <v>377.90856534489848</v>
      </c>
      <c r="AB426" s="20"/>
      <c r="AC426" s="20"/>
      <c r="AD426" s="20"/>
      <c r="AE426" s="22" t="s">
        <v>17</v>
      </c>
      <c r="AF426" s="23"/>
      <c r="AG426" s="24" t="s">
        <v>17</v>
      </c>
      <c r="AH426" s="24" t="s">
        <v>17</v>
      </c>
      <c r="AI426" s="20" t="s">
        <v>17</v>
      </c>
      <c r="AJ426" s="20" t="s">
        <v>17</v>
      </c>
      <c r="AK426" s="20" t="s">
        <v>17</v>
      </c>
      <c r="AL426" s="22" t="s">
        <v>17</v>
      </c>
      <c r="AM426" s="23" t="s">
        <v>17</v>
      </c>
      <c r="AN426" s="24" t="s">
        <v>17</v>
      </c>
      <c r="AO426" s="24" t="s">
        <v>17</v>
      </c>
      <c r="AP426" s="20" t="s">
        <v>17</v>
      </c>
      <c r="AQ426" s="20" t="s">
        <v>17</v>
      </c>
      <c r="AR426" s="20" t="s">
        <v>17</v>
      </c>
      <c r="AS426" s="21"/>
      <c r="AT426" s="20"/>
      <c r="AU426" s="4"/>
      <c r="AV426" s="20"/>
      <c r="AW426" s="20" t="s">
        <v>17</v>
      </c>
      <c r="AX426" s="20" t="s">
        <v>17</v>
      </c>
      <c r="AY426" s="20" t="s">
        <v>17</v>
      </c>
      <c r="AZ426" s="5"/>
      <c r="BA426" s="6"/>
      <c r="BB426" s="4"/>
      <c r="BC426" s="6"/>
      <c r="BD426" s="6"/>
      <c r="BE426" s="6"/>
      <c r="BF426" s="7"/>
    </row>
    <row r="427" spans="1:58" ht="18" customHeight="1">
      <c r="A427" s="106" t="s">
        <v>15</v>
      </c>
      <c r="B427" s="93" t="s">
        <v>405</v>
      </c>
      <c r="C427" s="28">
        <v>600.48500000000001</v>
      </c>
      <c r="D427" s="28">
        <v>600.60500000000002</v>
      </c>
      <c r="E427" s="28">
        <v>600.54500000000007</v>
      </c>
      <c r="F427" s="28">
        <v>600.54500000000007</v>
      </c>
      <c r="G427" s="29">
        <v>26750.6970183718</v>
      </c>
      <c r="H427" s="29">
        <v>22487.530294261898</v>
      </c>
      <c r="I427" s="27">
        <f t="shared" si="19"/>
        <v>2</v>
      </c>
      <c r="J427" s="27">
        <f t="shared" si="20"/>
        <v>1</v>
      </c>
      <c r="K427" s="27">
        <f t="shared" si="18"/>
        <v>1</v>
      </c>
      <c r="L427" s="25">
        <v>384.06587983333327</v>
      </c>
      <c r="M427" s="25">
        <v>386.3608930135054</v>
      </c>
      <c r="N427" s="38">
        <v>0.46250554504245756</v>
      </c>
      <c r="O427" s="38">
        <v>-5.8599724727121938</v>
      </c>
      <c r="P427" s="71">
        <v>-7.709994652882024</v>
      </c>
      <c r="Q427" s="53">
        <v>44020</v>
      </c>
      <c r="R427" s="23">
        <v>10</v>
      </c>
      <c r="S427" s="24">
        <v>386.26053766666661</v>
      </c>
      <c r="T427" s="24">
        <v>388.56866518195136</v>
      </c>
      <c r="U427" s="20">
        <v>0.46250554504245756</v>
      </c>
      <c r="V427" s="20">
        <v>-5.8599724727121938</v>
      </c>
      <c r="W427" s="20">
        <v>-7.709994652882024</v>
      </c>
      <c r="X427" s="22">
        <v>44152</v>
      </c>
      <c r="Y427" s="23" t="s">
        <v>88</v>
      </c>
      <c r="Z427" s="24">
        <v>381.87122199999999</v>
      </c>
      <c r="AA427" s="24">
        <v>384.15312084505945</v>
      </c>
      <c r="AB427" s="20"/>
      <c r="AC427" s="20"/>
      <c r="AD427" s="20"/>
      <c r="AE427" s="22" t="s">
        <v>17</v>
      </c>
      <c r="AF427" s="23"/>
      <c r="AG427" s="24" t="s">
        <v>17</v>
      </c>
      <c r="AH427" s="24" t="s">
        <v>17</v>
      </c>
      <c r="AI427" s="20" t="s">
        <v>17</v>
      </c>
      <c r="AJ427" s="20" t="s">
        <v>17</v>
      </c>
      <c r="AK427" s="20" t="s">
        <v>17</v>
      </c>
      <c r="AL427" s="22" t="s">
        <v>17</v>
      </c>
      <c r="AM427" s="23" t="s">
        <v>17</v>
      </c>
      <c r="AN427" s="24" t="s">
        <v>17</v>
      </c>
      <c r="AO427" s="24" t="s">
        <v>17</v>
      </c>
      <c r="AP427" s="20" t="s">
        <v>17</v>
      </c>
      <c r="AQ427" s="20" t="s">
        <v>17</v>
      </c>
      <c r="AR427" s="20" t="s">
        <v>17</v>
      </c>
      <c r="AS427" s="21"/>
      <c r="AT427" s="20"/>
      <c r="AU427" s="4"/>
      <c r="AV427" s="20"/>
      <c r="AW427" s="20" t="s">
        <v>17</v>
      </c>
      <c r="AX427" s="20" t="s">
        <v>17</v>
      </c>
      <c r="AY427" s="20" t="s">
        <v>17</v>
      </c>
      <c r="AZ427" s="5"/>
      <c r="BA427" s="6"/>
      <c r="BB427" s="4"/>
      <c r="BC427" s="6"/>
      <c r="BD427" s="6"/>
      <c r="BE427" s="6"/>
      <c r="BF427" s="7"/>
    </row>
    <row r="428" spans="1:58" ht="18" customHeight="1">
      <c r="A428" s="106" t="s">
        <v>15</v>
      </c>
      <c r="B428" s="93" t="s">
        <v>406</v>
      </c>
      <c r="C428" s="28">
        <v>601.38</v>
      </c>
      <c r="D428" s="28">
        <v>601.5</v>
      </c>
      <c r="E428" s="28">
        <v>601.44000000000005</v>
      </c>
      <c r="F428" s="28">
        <v>601.44000000000005</v>
      </c>
      <c r="G428" s="29">
        <v>26827.604252565801</v>
      </c>
      <c r="H428" s="29">
        <v>22555.0339074763</v>
      </c>
      <c r="I428" s="27">
        <f t="shared" si="19"/>
        <v>2</v>
      </c>
      <c r="J428" s="27">
        <f t="shared" si="20"/>
        <v>1</v>
      </c>
      <c r="K428" s="27">
        <f t="shared" si="18"/>
        <v>1</v>
      </c>
      <c r="L428" s="25">
        <v>380.43257716666665</v>
      </c>
      <c r="M428" s="25">
        <v>382.73319456185817</v>
      </c>
      <c r="N428" s="38">
        <v>0.46745532330572104</v>
      </c>
      <c r="O428" s="38">
        <v>-4.1802690238069706</v>
      </c>
      <c r="P428" s="71">
        <v>-6.0500903170298548</v>
      </c>
      <c r="Q428" s="53">
        <v>44144</v>
      </c>
      <c r="R428" s="23">
        <v>9</v>
      </c>
      <c r="S428" s="24">
        <v>380.88078199999995</v>
      </c>
      <c r="T428" s="24">
        <v>383.18410985664525</v>
      </c>
      <c r="U428" s="20">
        <v>0.46745532330572104</v>
      </c>
      <c r="V428" s="20">
        <v>-4.1802690238069706</v>
      </c>
      <c r="W428" s="20">
        <v>-6.0500903170298548</v>
      </c>
      <c r="X428" s="22">
        <v>44159</v>
      </c>
      <c r="Y428" s="23" t="s">
        <v>88</v>
      </c>
      <c r="Z428" s="24">
        <v>379.98437233333334</v>
      </c>
      <c r="AA428" s="24">
        <v>382.28227926707109</v>
      </c>
      <c r="AB428" s="20"/>
      <c r="AC428" s="20"/>
      <c r="AD428" s="20"/>
      <c r="AE428" s="22" t="s">
        <v>17</v>
      </c>
      <c r="AF428" s="23"/>
      <c r="AG428" s="24" t="s">
        <v>17</v>
      </c>
      <c r="AH428" s="24" t="s">
        <v>17</v>
      </c>
      <c r="AI428" s="20" t="s">
        <v>17</v>
      </c>
      <c r="AJ428" s="20" t="s">
        <v>17</v>
      </c>
      <c r="AK428" s="20" t="s">
        <v>17</v>
      </c>
      <c r="AL428" s="22" t="s">
        <v>17</v>
      </c>
      <c r="AM428" s="23" t="s">
        <v>17</v>
      </c>
      <c r="AN428" s="24" t="s">
        <v>17</v>
      </c>
      <c r="AO428" s="24" t="s">
        <v>17</v>
      </c>
      <c r="AP428" s="20" t="s">
        <v>17</v>
      </c>
      <c r="AQ428" s="20" t="s">
        <v>17</v>
      </c>
      <c r="AR428" s="20" t="s">
        <v>17</v>
      </c>
      <c r="AS428" s="21"/>
      <c r="AT428" s="20"/>
      <c r="AU428" s="4"/>
      <c r="AV428" s="20"/>
      <c r="AW428" s="20" t="s">
        <v>17</v>
      </c>
      <c r="AX428" s="20" t="s">
        <v>17</v>
      </c>
      <c r="AY428" s="20" t="s">
        <v>17</v>
      </c>
      <c r="AZ428" s="5"/>
      <c r="BA428" s="6"/>
      <c r="BB428" s="4"/>
      <c r="BC428" s="6"/>
      <c r="BD428" s="6"/>
      <c r="BE428" s="6"/>
      <c r="BF428" s="7"/>
    </row>
    <row r="429" spans="1:58" ht="18" customHeight="1">
      <c r="A429" s="107" t="s">
        <v>15</v>
      </c>
      <c r="B429" s="93" t="s">
        <v>407</v>
      </c>
      <c r="C429" s="28">
        <v>604.44000000000005</v>
      </c>
      <c r="D429" s="28">
        <v>604.55999999999995</v>
      </c>
      <c r="E429" s="28">
        <v>604.5</v>
      </c>
      <c r="F429" s="28">
        <v>604.5</v>
      </c>
      <c r="G429" s="29">
        <v>27113.849194452501</v>
      </c>
      <c r="H429" s="29">
        <v>22789.178683473499</v>
      </c>
      <c r="I429" s="27">
        <f t="shared" si="19"/>
        <v>1</v>
      </c>
      <c r="J429" s="27">
        <f t="shared" si="20"/>
        <v>1</v>
      </c>
      <c r="K429" s="27">
        <f t="shared" si="18"/>
        <v>1</v>
      </c>
      <c r="L429" s="25">
        <v>385.77823850000004</v>
      </c>
      <c r="M429" s="25">
        <v>388.15396170751109</v>
      </c>
      <c r="N429" s="38">
        <v>0.47664561365690084</v>
      </c>
      <c r="O429" s="38">
        <v>-5.6635863442461298</v>
      </c>
      <c r="P429" s="71">
        <v>-7.5701687988737332</v>
      </c>
      <c r="Q429" s="53">
        <v>43887</v>
      </c>
      <c r="R429" s="23">
        <v>9</v>
      </c>
      <c r="S429" s="24">
        <v>385.77823850000004</v>
      </c>
      <c r="T429" s="24">
        <v>388.15396170751109</v>
      </c>
      <c r="U429" s="20">
        <v>0.47664561365690084</v>
      </c>
      <c r="V429" s="20">
        <v>-5.6635863442461298</v>
      </c>
      <c r="W429" s="20">
        <v>-7.5701687988737332</v>
      </c>
      <c r="X429" s="22" t="s">
        <v>17</v>
      </c>
      <c r="Y429" s="23"/>
      <c r="Z429" s="24" t="s">
        <v>17</v>
      </c>
      <c r="AA429" s="24" t="s">
        <v>17</v>
      </c>
      <c r="AB429" s="20" t="s">
        <v>17</v>
      </c>
      <c r="AC429" s="20" t="s">
        <v>17</v>
      </c>
      <c r="AD429" s="20" t="s">
        <v>17</v>
      </c>
      <c r="AE429" s="22" t="s">
        <v>17</v>
      </c>
      <c r="AF429" s="23"/>
      <c r="AG429" s="24" t="s">
        <v>17</v>
      </c>
      <c r="AH429" s="24" t="s">
        <v>17</v>
      </c>
      <c r="AI429" s="20" t="s">
        <v>17</v>
      </c>
      <c r="AJ429" s="20" t="s">
        <v>17</v>
      </c>
      <c r="AK429" s="20" t="s">
        <v>17</v>
      </c>
      <c r="AL429" s="22" t="s">
        <v>17</v>
      </c>
      <c r="AM429" s="23" t="s">
        <v>17</v>
      </c>
      <c r="AN429" s="24" t="s">
        <v>17</v>
      </c>
      <c r="AO429" s="24" t="s">
        <v>17</v>
      </c>
      <c r="AP429" s="20" t="s">
        <v>17</v>
      </c>
      <c r="AQ429" s="20" t="s">
        <v>17</v>
      </c>
      <c r="AR429" s="20" t="s">
        <v>17</v>
      </c>
      <c r="AS429" s="21"/>
      <c r="AT429" s="20"/>
      <c r="AU429" s="4"/>
      <c r="AV429" s="20"/>
      <c r="AW429" s="20" t="s">
        <v>17</v>
      </c>
      <c r="AX429" s="20" t="s">
        <v>17</v>
      </c>
      <c r="AY429" s="20" t="s">
        <v>17</v>
      </c>
      <c r="AZ429" s="5"/>
      <c r="BA429" s="6"/>
      <c r="BB429" s="4"/>
      <c r="BC429" s="6"/>
      <c r="BD429" s="6"/>
      <c r="BE429" s="6"/>
      <c r="BF429" s="7"/>
    </row>
    <row r="430" spans="1:58" ht="18" customHeight="1">
      <c r="A430" s="106" t="s">
        <v>15</v>
      </c>
      <c r="B430" s="93" t="s">
        <v>408</v>
      </c>
      <c r="C430" s="28">
        <v>606.12</v>
      </c>
      <c r="D430" s="28">
        <v>606.24</v>
      </c>
      <c r="E430" s="28">
        <v>606.18000000000006</v>
      </c>
      <c r="F430" s="28">
        <v>606.18000000000006</v>
      </c>
      <c r="G430" s="29">
        <v>27263.751017417799</v>
      </c>
      <c r="H430" s="29">
        <v>22904.202358998798</v>
      </c>
      <c r="I430" s="27">
        <f t="shared" si="19"/>
        <v>1</v>
      </c>
      <c r="J430" s="27">
        <f t="shared" si="20"/>
        <v>1</v>
      </c>
      <c r="K430" s="27">
        <f t="shared" si="18"/>
        <v>1</v>
      </c>
      <c r="L430" s="25">
        <v>387.01531650000004</v>
      </c>
      <c r="M430" s="25">
        <v>389.38731269922226</v>
      </c>
      <c r="N430" s="38">
        <v>0.47376912489771605</v>
      </c>
      <c r="O430" s="38">
        <v>-6.3888370715197151</v>
      </c>
      <c r="P430" s="71">
        <v>-8.2839135711105794</v>
      </c>
      <c r="Q430" s="53">
        <v>44145</v>
      </c>
      <c r="R430" s="23">
        <v>9</v>
      </c>
      <c r="S430" s="24">
        <v>387.01531650000004</v>
      </c>
      <c r="T430" s="24">
        <v>389.38731269922226</v>
      </c>
      <c r="U430" s="20">
        <v>0.47376912489771605</v>
      </c>
      <c r="V430" s="20">
        <v>-6.3888370715197151</v>
      </c>
      <c r="W430" s="20">
        <v>-8.2839135711105794</v>
      </c>
      <c r="X430" s="22" t="s">
        <v>17</v>
      </c>
      <c r="Y430" s="23"/>
      <c r="Z430" s="24" t="s">
        <v>17</v>
      </c>
      <c r="AA430" s="24" t="s">
        <v>17</v>
      </c>
      <c r="AB430" s="20" t="s">
        <v>17</v>
      </c>
      <c r="AC430" s="20" t="s">
        <v>17</v>
      </c>
      <c r="AD430" s="20" t="s">
        <v>17</v>
      </c>
      <c r="AE430" s="22" t="s">
        <v>17</v>
      </c>
      <c r="AF430" s="23"/>
      <c r="AG430" s="24" t="s">
        <v>17</v>
      </c>
      <c r="AH430" s="24" t="s">
        <v>17</v>
      </c>
      <c r="AI430" s="20" t="s">
        <v>17</v>
      </c>
      <c r="AJ430" s="20" t="s">
        <v>17</v>
      </c>
      <c r="AK430" s="20" t="s">
        <v>17</v>
      </c>
      <c r="AL430" s="22" t="s">
        <v>17</v>
      </c>
      <c r="AM430" s="23" t="s">
        <v>17</v>
      </c>
      <c r="AN430" s="24" t="s">
        <v>17</v>
      </c>
      <c r="AO430" s="24" t="s">
        <v>17</v>
      </c>
      <c r="AP430" s="20" t="s">
        <v>17</v>
      </c>
      <c r="AQ430" s="20" t="s">
        <v>17</v>
      </c>
      <c r="AR430" s="20" t="s">
        <v>17</v>
      </c>
      <c r="AS430" s="21"/>
      <c r="AT430" s="20"/>
      <c r="AU430" s="4"/>
      <c r="AV430" s="20"/>
      <c r="AW430" s="20" t="s">
        <v>17</v>
      </c>
      <c r="AX430" s="20" t="s">
        <v>17</v>
      </c>
      <c r="AY430" s="20" t="s">
        <v>17</v>
      </c>
      <c r="AZ430" s="5"/>
      <c r="BA430" s="6"/>
      <c r="BB430" s="4"/>
      <c r="BC430" s="6"/>
      <c r="BD430" s="6"/>
      <c r="BE430" s="6"/>
      <c r="BF430" s="7"/>
    </row>
    <row r="431" spans="1:58" ht="18" customHeight="1">
      <c r="A431" s="107" t="s">
        <v>15</v>
      </c>
      <c r="B431" s="93" t="s">
        <v>409</v>
      </c>
      <c r="C431" s="28">
        <v>607.66</v>
      </c>
      <c r="D431" s="28">
        <v>607.78</v>
      </c>
      <c r="E431" s="28">
        <v>607.72</v>
      </c>
      <c r="F431" s="28">
        <v>607.72</v>
      </c>
      <c r="G431" s="29">
        <v>27392.602478397701</v>
      </c>
      <c r="H431" s="29">
        <v>22997.5290604162</v>
      </c>
      <c r="I431" s="27">
        <f t="shared" si="19"/>
        <v>1</v>
      </c>
      <c r="J431" s="27">
        <f t="shared" si="20"/>
        <v>1</v>
      </c>
      <c r="K431" s="27">
        <f t="shared" si="18"/>
        <v>1</v>
      </c>
      <c r="L431" s="25">
        <v>392.03441099999998</v>
      </c>
      <c r="M431" s="25">
        <v>394.40880688630079</v>
      </c>
      <c r="N431" s="38">
        <v>0.46877714361026612</v>
      </c>
      <c r="O431" s="38">
        <v>-6.5534498377861627</v>
      </c>
      <c r="P431" s="71">
        <v>-8.4285584122272272</v>
      </c>
      <c r="Q431" s="53">
        <v>43899</v>
      </c>
      <c r="R431" s="23">
        <v>9</v>
      </c>
      <c r="S431" s="24">
        <v>392.03441099999998</v>
      </c>
      <c r="T431" s="24">
        <v>394.40880688630079</v>
      </c>
      <c r="U431" s="20">
        <v>0.46877714361026612</v>
      </c>
      <c r="V431" s="20">
        <v>-6.5534498377861627</v>
      </c>
      <c r="W431" s="20">
        <v>-8.4285584122272272</v>
      </c>
      <c r="X431" s="22" t="s">
        <v>17</v>
      </c>
      <c r="Y431" s="23"/>
      <c r="Z431" s="24" t="s">
        <v>17</v>
      </c>
      <c r="AA431" s="24" t="s">
        <v>17</v>
      </c>
      <c r="AB431" s="20" t="s">
        <v>17</v>
      </c>
      <c r="AC431" s="20" t="s">
        <v>17</v>
      </c>
      <c r="AD431" s="20" t="s">
        <v>17</v>
      </c>
      <c r="AE431" s="22" t="s">
        <v>17</v>
      </c>
      <c r="AF431" s="23"/>
      <c r="AG431" s="24" t="s">
        <v>17</v>
      </c>
      <c r="AH431" s="24" t="s">
        <v>17</v>
      </c>
      <c r="AI431" s="20" t="s">
        <v>17</v>
      </c>
      <c r="AJ431" s="20" t="s">
        <v>17</v>
      </c>
      <c r="AK431" s="20" t="s">
        <v>17</v>
      </c>
      <c r="AL431" s="22" t="s">
        <v>17</v>
      </c>
      <c r="AM431" s="23" t="s">
        <v>17</v>
      </c>
      <c r="AN431" s="24" t="s">
        <v>17</v>
      </c>
      <c r="AO431" s="24" t="s">
        <v>17</v>
      </c>
      <c r="AP431" s="20" t="s">
        <v>17</v>
      </c>
      <c r="AQ431" s="20" t="s">
        <v>17</v>
      </c>
      <c r="AR431" s="20" t="s">
        <v>17</v>
      </c>
      <c r="AS431" s="21"/>
      <c r="AT431" s="20"/>
      <c r="AU431" s="4"/>
      <c r="AV431" s="20"/>
      <c r="AW431" s="20" t="s">
        <v>17</v>
      </c>
      <c r="AX431" s="20" t="s">
        <v>17</v>
      </c>
      <c r="AY431" s="20" t="s">
        <v>17</v>
      </c>
      <c r="AZ431" s="5"/>
      <c r="BA431" s="6"/>
      <c r="BB431" s="4"/>
      <c r="BC431" s="6"/>
      <c r="BD431" s="6"/>
      <c r="BE431" s="6"/>
      <c r="BF431" s="7"/>
    </row>
    <row r="432" spans="1:58" ht="18" customHeight="1">
      <c r="A432" s="106" t="s">
        <v>15</v>
      </c>
      <c r="B432" s="93" t="s">
        <v>410</v>
      </c>
      <c r="C432" s="28">
        <v>609.54</v>
      </c>
      <c r="D432" s="28">
        <v>609.66</v>
      </c>
      <c r="E432" s="28">
        <v>609.59999999999991</v>
      </c>
      <c r="F432" s="28">
        <v>609.59999999999991</v>
      </c>
      <c r="G432" s="29">
        <v>27541.070431650402</v>
      </c>
      <c r="H432" s="29">
        <v>23113.307302658999</v>
      </c>
      <c r="I432" s="27">
        <f t="shared" si="19"/>
        <v>1</v>
      </c>
      <c r="J432" s="27">
        <f t="shared" si="20"/>
        <v>1</v>
      </c>
      <c r="K432" s="27">
        <f t="shared" si="18"/>
        <v>1</v>
      </c>
      <c r="L432" s="25">
        <v>390.36498</v>
      </c>
      <c r="M432" s="25">
        <v>392.79369685347729</v>
      </c>
      <c r="N432" s="38">
        <v>0.48094481878391271</v>
      </c>
      <c r="O432" s="38">
        <v>-5.2565429786058937</v>
      </c>
      <c r="P432" s="71">
        <v>-7.1803222537415445</v>
      </c>
      <c r="Q432" s="53">
        <v>44131</v>
      </c>
      <c r="R432" s="23">
        <v>9</v>
      </c>
      <c r="S432" s="24">
        <v>390.36498</v>
      </c>
      <c r="T432" s="24">
        <v>392.79369685347729</v>
      </c>
      <c r="U432" s="20">
        <v>0.48094481878391271</v>
      </c>
      <c r="V432" s="20">
        <v>-5.2565429786058937</v>
      </c>
      <c r="W432" s="20">
        <v>-7.1803222537415445</v>
      </c>
      <c r="X432" s="22" t="s">
        <v>17</v>
      </c>
      <c r="Y432" s="23"/>
      <c r="Z432" s="24" t="s">
        <v>17</v>
      </c>
      <c r="AA432" s="24" t="s">
        <v>17</v>
      </c>
      <c r="AB432" s="20" t="s">
        <v>17</v>
      </c>
      <c r="AC432" s="20" t="s">
        <v>17</v>
      </c>
      <c r="AD432" s="20" t="s">
        <v>17</v>
      </c>
      <c r="AE432" s="22" t="s">
        <v>17</v>
      </c>
      <c r="AF432" s="23"/>
      <c r="AG432" s="24" t="s">
        <v>17</v>
      </c>
      <c r="AH432" s="24" t="s">
        <v>17</v>
      </c>
      <c r="AI432" s="20" t="s">
        <v>17</v>
      </c>
      <c r="AJ432" s="20" t="s">
        <v>17</v>
      </c>
      <c r="AK432" s="20" t="s">
        <v>17</v>
      </c>
      <c r="AL432" s="22" t="s">
        <v>17</v>
      </c>
      <c r="AM432" s="23" t="s">
        <v>17</v>
      </c>
      <c r="AN432" s="24" t="s">
        <v>17</v>
      </c>
      <c r="AO432" s="24" t="s">
        <v>17</v>
      </c>
      <c r="AP432" s="20" t="s">
        <v>17</v>
      </c>
      <c r="AQ432" s="20" t="s">
        <v>17</v>
      </c>
      <c r="AR432" s="20" t="s">
        <v>17</v>
      </c>
      <c r="AS432" s="21"/>
      <c r="AT432" s="20"/>
      <c r="AU432" s="4"/>
      <c r="AV432" s="20"/>
      <c r="AW432" s="20" t="s">
        <v>17</v>
      </c>
      <c r="AX432" s="20" t="s">
        <v>17</v>
      </c>
      <c r="AY432" s="20" t="s">
        <v>17</v>
      </c>
      <c r="AZ432" s="5"/>
      <c r="BA432" s="6"/>
      <c r="BB432" s="4"/>
      <c r="BC432" s="6"/>
      <c r="BD432" s="6"/>
      <c r="BE432" s="6"/>
      <c r="BF432" s="7"/>
    </row>
    <row r="433" spans="1:58" ht="18" customHeight="1">
      <c r="A433" s="106" t="s">
        <v>15</v>
      </c>
      <c r="B433" s="93" t="s">
        <v>411</v>
      </c>
      <c r="C433" s="28">
        <v>610.17999999999995</v>
      </c>
      <c r="D433" s="28">
        <v>610.29999999999995</v>
      </c>
      <c r="E433" s="28">
        <v>610.24</v>
      </c>
      <c r="F433" s="28">
        <v>610.24</v>
      </c>
      <c r="G433" s="29">
        <v>27590.930720904598</v>
      </c>
      <c r="H433" s="29">
        <v>23155.0294929472</v>
      </c>
      <c r="I433" s="27">
        <f t="shared" si="19"/>
        <v>2</v>
      </c>
      <c r="J433" s="27">
        <f t="shared" si="20"/>
        <v>2</v>
      </c>
      <c r="K433" s="27">
        <f t="shared" si="18"/>
        <v>2</v>
      </c>
      <c r="L433" s="25">
        <v>390.86498275000002</v>
      </c>
      <c r="M433" s="25">
        <v>393.2936070838399</v>
      </c>
      <c r="N433" s="38">
        <v>0.48092160677837281</v>
      </c>
      <c r="O433" s="38">
        <v>-6.1914561292989445</v>
      </c>
      <c r="P433" s="71">
        <v>-8.1151425564124366</v>
      </c>
      <c r="Q433" s="53">
        <v>44104</v>
      </c>
      <c r="R433" s="23">
        <v>9</v>
      </c>
      <c r="S433" s="24">
        <v>389.59214150000003</v>
      </c>
      <c r="T433" s="24">
        <v>392.01839519689219</v>
      </c>
      <c r="U433" s="20">
        <v>0.48201827966076749</v>
      </c>
      <c r="V433" s="20">
        <v>-5.9630352705524192</v>
      </c>
      <c r="W433" s="20">
        <v>-7.8911083891954892</v>
      </c>
      <c r="X433" s="22">
        <v>44104</v>
      </c>
      <c r="Y433" s="23">
        <v>9</v>
      </c>
      <c r="Z433" s="24">
        <v>392.13782400000002</v>
      </c>
      <c r="AA433" s="24">
        <v>394.56881897078756</v>
      </c>
      <c r="AB433" s="20">
        <v>0.47982493389597813</v>
      </c>
      <c r="AC433" s="20">
        <v>-6.4198769880454698</v>
      </c>
      <c r="AD433" s="20">
        <v>-8.3391767236293823</v>
      </c>
      <c r="AE433" s="22"/>
      <c r="AF433" s="23"/>
      <c r="AG433" s="24"/>
      <c r="AH433" s="24"/>
      <c r="AI433" s="20" t="s">
        <v>17</v>
      </c>
      <c r="AJ433" s="20"/>
      <c r="AK433" s="20"/>
      <c r="AL433" s="22" t="s">
        <v>17</v>
      </c>
      <c r="AM433" s="23" t="s">
        <v>17</v>
      </c>
      <c r="AN433" s="24" t="s">
        <v>17</v>
      </c>
      <c r="AO433" s="24" t="s">
        <v>17</v>
      </c>
      <c r="AP433" s="20" t="s">
        <v>17</v>
      </c>
      <c r="AQ433" s="20" t="s">
        <v>17</v>
      </c>
      <c r="AR433" s="20" t="s">
        <v>17</v>
      </c>
      <c r="AS433" s="21"/>
      <c r="AT433" s="20"/>
      <c r="AU433" s="4"/>
      <c r="AV433" s="20"/>
      <c r="AW433" s="20" t="s">
        <v>17</v>
      </c>
      <c r="AX433" s="20" t="s">
        <v>17</v>
      </c>
      <c r="AY433" s="20" t="s">
        <v>17</v>
      </c>
      <c r="AZ433" s="5"/>
      <c r="BA433" s="6"/>
      <c r="BB433" s="4"/>
      <c r="BC433" s="6"/>
      <c r="BD433" s="6"/>
      <c r="BE433" s="6"/>
      <c r="BF433" s="7"/>
    </row>
    <row r="434" spans="1:58" ht="18" customHeight="1">
      <c r="A434" s="107" t="s">
        <v>15</v>
      </c>
      <c r="B434" s="111" t="s">
        <v>412</v>
      </c>
      <c r="C434" s="28">
        <v>611.08000000000004</v>
      </c>
      <c r="D434" s="28">
        <v>611.20000000000005</v>
      </c>
      <c r="E434" s="28">
        <v>611.1400000000001</v>
      </c>
      <c r="F434" s="28">
        <v>611.1400000000001</v>
      </c>
      <c r="G434" s="29">
        <v>27662.150498081301</v>
      </c>
      <c r="H434" s="29">
        <v>23218.496034547101</v>
      </c>
      <c r="I434" s="27">
        <f t="shared" si="19"/>
        <v>1</v>
      </c>
      <c r="J434" s="27">
        <f t="shared" si="20"/>
        <v>1</v>
      </c>
      <c r="K434" s="27">
        <f t="shared" si="18"/>
        <v>1</v>
      </c>
      <c r="L434" s="25">
        <v>391.94791299999997</v>
      </c>
      <c r="M434" s="25">
        <v>394.34392259149496</v>
      </c>
      <c r="N434" s="38">
        <v>0.47314873388404344</v>
      </c>
      <c r="O434" s="38">
        <v>-4.8837314258228792</v>
      </c>
      <c r="P434" s="71">
        <v>-6.776326361359053</v>
      </c>
      <c r="Q434" s="53">
        <v>43886</v>
      </c>
      <c r="R434" s="23">
        <v>9</v>
      </c>
      <c r="S434" s="24">
        <v>391.94791299999997</v>
      </c>
      <c r="T434" s="24">
        <v>394.34392259149496</v>
      </c>
      <c r="U434" s="20">
        <v>0.47314873388404344</v>
      </c>
      <c r="V434" s="20">
        <v>-4.8837314258228792</v>
      </c>
      <c r="W434" s="20">
        <v>-6.776326361359053</v>
      </c>
      <c r="X434" s="22"/>
      <c r="Y434" s="23"/>
      <c r="Z434" s="24"/>
      <c r="AA434" s="24"/>
      <c r="AB434" s="20"/>
      <c r="AC434" s="20"/>
      <c r="AD434" s="20"/>
      <c r="AE434" s="22"/>
      <c r="AF434" s="23"/>
      <c r="AG434" s="24"/>
      <c r="AH434" s="24"/>
      <c r="AI434" s="20"/>
      <c r="AJ434" s="20"/>
      <c r="AK434" s="20"/>
      <c r="AL434" s="22" t="s">
        <v>17</v>
      </c>
      <c r="AM434" s="23" t="s">
        <v>17</v>
      </c>
      <c r="AN434" s="24" t="s">
        <v>17</v>
      </c>
      <c r="AO434" s="24" t="s">
        <v>17</v>
      </c>
      <c r="AP434" s="20" t="s">
        <v>17</v>
      </c>
      <c r="AQ434" s="20" t="s">
        <v>17</v>
      </c>
      <c r="AR434" s="20" t="s">
        <v>17</v>
      </c>
      <c r="AS434" s="21"/>
      <c r="AT434" s="20"/>
      <c r="AU434" s="4"/>
      <c r="AV434" s="20"/>
      <c r="AW434" s="20" t="s">
        <v>17</v>
      </c>
      <c r="AX434" s="20" t="s">
        <v>17</v>
      </c>
      <c r="AY434" s="20" t="s">
        <v>17</v>
      </c>
      <c r="AZ434" s="5"/>
      <c r="BA434" s="6"/>
      <c r="BB434" s="4"/>
      <c r="BC434" s="6"/>
      <c r="BD434" s="6"/>
      <c r="BE434" s="6"/>
      <c r="BF434" s="7"/>
    </row>
    <row r="435" spans="1:58" ht="18" customHeight="1">
      <c r="A435" s="106" t="s">
        <v>15</v>
      </c>
      <c r="B435" s="93" t="s">
        <v>413</v>
      </c>
      <c r="C435" s="28">
        <v>612.08000000000004</v>
      </c>
      <c r="D435" s="28">
        <v>612.20000000000005</v>
      </c>
      <c r="E435" s="28">
        <v>612.1400000000001</v>
      </c>
      <c r="F435" s="28">
        <v>612.1400000000001</v>
      </c>
      <c r="G435" s="29">
        <v>27749.233631346</v>
      </c>
      <c r="H435" s="29">
        <v>23291.940151297102</v>
      </c>
      <c r="I435" s="27">
        <f t="shared" si="19"/>
        <v>1</v>
      </c>
      <c r="J435" s="27">
        <f t="shared" si="20"/>
        <v>1</v>
      </c>
      <c r="K435" s="27">
        <f t="shared" si="18"/>
        <v>1</v>
      </c>
      <c r="L435" s="25">
        <v>397.4376595</v>
      </c>
      <c r="M435" s="25">
        <v>399.93564696651993</v>
      </c>
      <c r="N435" s="38">
        <v>0.48647298147441731</v>
      </c>
      <c r="O435" s="38">
        <v>-6.8515627980884064</v>
      </c>
      <c r="P435" s="71">
        <v>-8.7974547239860748</v>
      </c>
      <c r="Q435" s="53">
        <v>44117</v>
      </c>
      <c r="R435" s="23">
        <v>9</v>
      </c>
      <c r="S435" s="24">
        <v>397.4376595</v>
      </c>
      <c r="T435" s="24">
        <v>399.93564696651993</v>
      </c>
      <c r="U435" s="20">
        <v>0.48647298147441731</v>
      </c>
      <c r="V435" s="20">
        <v>-6.8515627980884064</v>
      </c>
      <c r="W435" s="20">
        <v>-8.7974547239860748</v>
      </c>
      <c r="X435" s="22" t="s">
        <v>17</v>
      </c>
      <c r="Y435" s="23"/>
      <c r="Z435" s="24" t="s">
        <v>17</v>
      </c>
      <c r="AA435" s="24" t="s">
        <v>17</v>
      </c>
      <c r="AB435" s="20" t="s">
        <v>17</v>
      </c>
      <c r="AC435" s="20" t="s">
        <v>17</v>
      </c>
      <c r="AD435" s="20" t="s">
        <v>17</v>
      </c>
      <c r="AE435" s="22"/>
      <c r="AF435" s="23"/>
      <c r="AG435" s="24" t="s">
        <v>17</v>
      </c>
      <c r="AH435" s="24" t="s">
        <v>17</v>
      </c>
      <c r="AI435" s="20" t="s">
        <v>17</v>
      </c>
      <c r="AJ435" s="20" t="s">
        <v>17</v>
      </c>
      <c r="AK435" s="20" t="s">
        <v>17</v>
      </c>
      <c r="AL435" s="22" t="s">
        <v>17</v>
      </c>
      <c r="AM435" s="23" t="s">
        <v>17</v>
      </c>
      <c r="AN435" s="24" t="s">
        <v>17</v>
      </c>
      <c r="AO435" s="24" t="s">
        <v>17</v>
      </c>
      <c r="AP435" s="20" t="s">
        <v>17</v>
      </c>
      <c r="AQ435" s="20" t="s">
        <v>17</v>
      </c>
      <c r="AR435" s="20" t="s">
        <v>17</v>
      </c>
      <c r="AS435" s="21"/>
      <c r="AT435" s="20"/>
      <c r="AU435" s="4"/>
      <c r="AV435" s="20"/>
      <c r="AW435" s="20" t="s">
        <v>17</v>
      </c>
      <c r="AX435" s="20" t="s">
        <v>17</v>
      </c>
      <c r="AY435" s="20" t="s">
        <v>17</v>
      </c>
      <c r="AZ435" s="5"/>
      <c r="BA435" s="6"/>
      <c r="BB435" s="4"/>
      <c r="BC435" s="6"/>
      <c r="BD435" s="6"/>
      <c r="BE435" s="6"/>
      <c r="BF435" s="7"/>
    </row>
    <row r="436" spans="1:58" ht="18" customHeight="1">
      <c r="A436" s="106" t="s">
        <v>15</v>
      </c>
      <c r="B436" s="93" t="s">
        <v>414</v>
      </c>
      <c r="C436" s="28">
        <v>613.64</v>
      </c>
      <c r="D436" s="28">
        <v>613.76</v>
      </c>
      <c r="E436" s="28">
        <v>613.70000000000005</v>
      </c>
      <c r="F436" s="28">
        <v>613.70000000000005</v>
      </c>
      <c r="G436" s="29">
        <v>27893.540857966302</v>
      </c>
      <c r="H436" s="29">
        <v>23398.564502548699</v>
      </c>
      <c r="I436" s="27">
        <f t="shared" si="19"/>
        <v>1</v>
      </c>
      <c r="J436" s="27">
        <f t="shared" si="20"/>
        <v>1</v>
      </c>
      <c r="K436" s="27">
        <f t="shared" si="18"/>
        <v>1</v>
      </c>
      <c r="L436" s="25">
        <v>393.017088</v>
      </c>
      <c r="M436" s="25">
        <v>395.50779603337224</v>
      </c>
      <c r="N436" s="38">
        <v>0.49051113917197853</v>
      </c>
      <c r="O436" s="38">
        <v>-6.2637830777509951</v>
      </c>
      <c r="P436" s="71">
        <v>-8.2258276344389092</v>
      </c>
      <c r="Q436" s="53">
        <v>44018</v>
      </c>
      <c r="R436" s="23">
        <v>10</v>
      </c>
      <c r="S436" s="24">
        <v>393.017088</v>
      </c>
      <c r="T436" s="24">
        <v>395.50779603337224</v>
      </c>
      <c r="U436" s="20">
        <v>0.49051113917197853</v>
      </c>
      <c r="V436" s="20">
        <v>-6.2637830777509951</v>
      </c>
      <c r="W436" s="20">
        <v>-8.2258276344389092</v>
      </c>
      <c r="X436" s="22" t="s">
        <v>17</v>
      </c>
      <c r="Y436" s="23"/>
      <c r="Z436" s="24" t="s">
        <v>17</v>
      </c>
      <c r="AA436" s="24" t="s">
        <v>17</v>
      </c>
      <c r="AB436" s="20" t="s">
        <v>17</v>
      </c>
      <c r="AC436" s="20" t="s">
        <v>17</v>
      </c>
      <c r="AD436" s="20" t="s">
        <v>17</v>
      </c>
      <c r="AE436" s="22"/>
      <c r="AF436" s="23"/>
      <c r="AG436" s="24" t="s">
        <v>17</v>
      </c>
      <c r="AH436" s="24" t="s">
        <v>17</v>
      </c>
      <c r="AI436" s="20" t="s">
        <v>17</v>
      </c>
      <c r="AJ436" s="20" t="s">
        <v>17</v>
      </c>
      <c r="AK436" s="20" t="s">
        <v>17</v>
      </c>
      <c r="AL436" s="22" t="s">
        <v>17</v>
      </c>
      <c r="AM436" s="23" t="s">
        <v>17</v>
      </c>
      <c r="AN436" s="24" t="s">
        <v>17</v>
      </c>
      <c r="AO436" s="24" t="s">
        <v>17</v>
      </c>
      <c r="AP436" s="20" t="s">
        <v>17</v>
      </c>
      <c r="AQ436" s="20" t="s">
        <v>17</v>
      </c>
      <c r="AR436" s="20" t="s">
        <v>17</v>
      </c>
      <c r="AS436" s="21"/>
      <c r="AT436" s="20"/>
      <c r="AU436" s="4"/>
      <c r="AV436" s="20"/>
      <c r="AW436" s="20" t="s">
        <v>17</v>
      </c>
      <c r="AX436" s="20" t="s">
        <v>17</v>
      </c>
      <c r="AY436" s="20" t="s">
        <v>17</v>
      </c>
      <c r="AZ436" s="5"/>
      <c r="BA436" s="6"/>
      <c r="BB436" s="4"/>
      <c r="BC436" s="6"/>
      <c r="BD436" s="6"/>
      <c r="BE436" s="6"/>
      <c r="BF436" s="7"/>
    </row>
    <row r="437" spans="1:58" ht="18" customHeight="1">
      <c r="A437" s="106" t="s">
        <v>15</v>
      </c>
      <c r="B437" s="93" t="s">
        <v>415</v>
      </c>
      <c r="C437" s="28">
        <v>615.67999999999995</v>
      </c>
      <c r="D437" s="28">
        <v>615.79999999999995</v>
      </c>
      <c r="E437" s="28">
        <v>615.74</v>
      </c>
      <c r="F437" s="28">
        <v>615.74</v>
      </c>
      <c r="G437" s="29">
        <v>28065.8426319463</v>
      </c>
      <c r="H437" s="29">
        <v>23535.938070759101</v>
      </c>
      <c r="I437" s="27">
        <f t="shared" si="19"/>
        <v>1</v>
      </c>
      <c r="J437" s="27">
        <f t="shared" si="20"/>
        <v>1</v>
      </c>
      <c r="K437" s="27">
        <f t="shared" si="18"/>
        <v>1</v>
      </c>
      <c r="L437" s="25">
        <v>394.46104750000001</v>
      </c>
      <c r="M437" s="25">
        <v>396.8968441100829</v>
      </c>
      <c r="N437" s="38">
        <v>0.47794110618037955</v>
      </c>
      <c r="O437" s="38">
        <v>-5.3101312574870274</v>
      </c>
      <c r="P437" s="71">
        <v>-7.2218956822085456</v>
      </c>
      <c r="Q437" s="53">
        <v>44018</v>
      </c>
      <c r="R437" s="23">
        <v>10</v>
      </c>
      <c r="S437" s="24">
        <v>394.46104750000001</v>
      </c>
      <c r="T437" s="24">
        <v>396.8968441100829</v>
      </c>
      <c r="U437" s="20">
        <v>0.47794110618037955</v>
      </c>
      <c r="V437" s="20">
        <v>-5.3101312574870274</v>
      </c>
      <c r="W437" s="20">
        <v>-7.2218956822085456</v>
      </c>
      <c r="X437" s="22" t="s">
        <v>17</v>
      </c>
      <c r="Y437" s="23"/>
      <c r="Z437" s="24" t="s">
        <v>17</v>
      </c>
      <c r="AA437" s="24" t="s">
        <v>17</v>
      </c>
      <c r="AB437" s="20" t="s">
        <v>17</v>
      </c>
      <c r="AC437" s="20" t="s">
        <v>17</v>
      </c>
      <c r="AD437" s="20" t="s">
        <v>17</v>
      </c>
      <c r="AE437" s="22"/>
      <c r="AF437" s="23"/>
      <c r="AG437" s="24" t="s">
        <v>17</v>
      </c>
      <c r="AH437" s="24" t="s">
        <v>17</v>
      </c>
      <c r="AI437" s="20" t="s">
        <v>17</v>
      </c>
      <c r="AJ437" s="20" t="s">
        <v>17</v>
      </c>
      <c r="AK437" s="20" t="s">
        <v>17</v>
      </c>
      <c r="AL437" s="22" t="s">
        <v>17</v>
      </c>
      <c r="AM437" s="23" t="s">
        <v>17</v>
      </c>
      <c r="AN437" s="24" t="s">
        <v>17</v>
      </c>
      <c r="AO437" s="24" t="s">
        <v>17</v>
      </c>
      <c r="AP437" s="20" t="s">
        <v>17</v>
      </c>
      <c r="AQ437" s="20" t="s">
        <v>17</v>
      </c>
      <c r="AR437" s="20" t="s">
        <v>17</v>
      </c>
      <c r="AS437" s="21"/>
      <c r="AT437" s="20"/>
      <c r="AU437" s="4"/>
      <c r="AV437" s="20"/>
      <c r="AW437" s="20" t="s">
        <v>17</v>
      </c>
      <c r="AX437" s="20" t="s">
        <v>17</v>
      </c>
      <c r="AY437" s="20" t="s">
        <v>17</v>
      </c>
      <c r="AZ437" s="5"/>
      <c r="BA437" s="6"/>
      <c r="BB437" s="4"/>
      <c r="BC437" s="6"/>
      <c r="BD437" s="6"/>
      <c r="BE437" s="6"/>
      <c r="BF437" s="7"/>
    </row>
    <row r="438" spans="1:58" ht="18" customHeight="1">
      <c r="A438" s="107" t="s">
        <v>15</v>
      </c>
      <c r="B438" s="93" t="s">
        <v>416</v>
      </c>
      <c r="C438" s="28">
        <v>616.29999999999995</v>
      </c>
      <c r="D438" s="28">
        <v>616.41999999999996</v>
      </c>
      <c r="E438" s="28">
        <v>616.3599999999999</v>
      </c>
      <c r="F438" s="28">
        <v>616.3599999999999</v>
      </c>
      <c r="G438" s="29">
        <v>28116.9833213401</v>
      </c>
      <c r="H438" s="29">
        <v>23578.7690105318</v>
      </c>
      <c r="I438" s="27">
        <f t="shared" si="19"/>
        <v>1</v>
      </c>
      <c r="J438" s="27">
        <f t="shared" si="20"/>
        <v>1</v>
      </c>
      <c r="K438" s="27">
        <f t="shared" si="18"/>
        <v>1</v>
      </c>
      <c r="L438" s="25">
        <v>395.58756500000004</v>
      </c>
      <c r="M438" s="25">
        <v>398.03159161912401</v>
      </c>
      <c r="N438" s="38">
        <v>0.4781903268142873</v>
      </c>
      <c r="O438" s="38">
        <v>-4.6640037481486818</v>
      </c>
      <c r="P438" s="71">
        <v>-6.576765055405831</v>
      </c>
      <c r="Q438" s="53">
        <v>43893</v>
      </c>
      <c r="R438" s="23">
        <v>9</v>
      </c>
      <c r="S438" s="24">
        <v>395.58756500000004</v>
      </c>
      <c r="T438" s="24">
        <v>398.03159161912401</v>
      </c>
      <c r="U438" s="20">
        <v>0.4781903268142873</v>
      </c>
      <c r="V438" s="20">
        <v>-4.6640037481486818</v>
      </c>
      <c r="W438" s="20">
        <v>-6.576765055405831</v>
      </c>
      <c r="X438" s="22" t="s">
        <v>17</v>
      </c>
      <c r="Y438" s="23"/>
      <c r="Z438" s="24" t="s">
        <v>17</v>
      </c>
      <c r="AA438" s="24" t="s">
        <v>17</v>
      </c>
      <c r="AB438" s="20" t="s">
        <v>17</v>
      </c>
      <c r="AC438" s="20" t="s">
        <v>17</v>
      </c>
      <c r="AD438" s="20" t="s">
        <v>17</v>
      </c>
      <c r="AE438" s="22"/>
      <c r="AF438" s="23"/>
      <c r="AG438" s="24" t="s">
        <v>17</v>
      </c>
      <c r="AH438" s="24" t="s">
        <v>17</v>
      </c>
      <c r="AI438" s="20" t="s">
        <v>17</v>
      </c>
      <c r="AJ438" s="20" t="s">
        <v>17</v>
      </c>
      <c r="AK438" s="20" t="s">
        <v>17</v>
      </c>
      <c r="AL438" s="22" t="s">
        <v>17</v>
      </c>
      <c r="AM438" s="23" t="s">
        <v>17</v>
      </c>
      <c r="AN438" s="24" t="s">
        <v>17</v>
      </c>
      <c r="AO438" s="24" t="s">
        <v>17</v>
      </c>
      <c r="AP438" s="20" t="s">
        <v>17</v>
      </c>
      <c r="AQ438" s="20" t="s">
        <v>17</v>
      </c>
      <c r="AR438" s="20" t="s">
        <v>17</v>
      </c>
      <c r="AS438" s="21"/>
      <c r="AT438" s="20"/>
      <c r="AU438" s="4"/>
      <c r="AV438" s="20"/>
      <c r="AW438" s="20" t="s">
        <v>17</v>
      </c>
      <c r="AX438" s="20" t="s">
        <v>17</v>
      </c>
      <c r="AY438" s="20" t="s">
        <v>17</v>
      </c>
      <c r="AZ438" s="5"/>
      <c r="BA438" s="6"/>
      <c r="BB438" s="4"/>
      <c r="BC438" s="6"/>
      <c r="BD438" s="6"/>
      <c r="BE438" s="6"/>
      <c r="BF438" s="7"/>
    </row>
    <row r="439" spans="1:58" ht="18" customHeight="1">
      <c r="A439" s="106" t="s">
        <v>15</v>
      </c>
      <c r="B439" s="93" t="s">
        <v>417</v>
      </c>
      <c r="C439" s="28">
        <v>618.15</v>
      </c>
      <c r="D439" s="28">
        <v>618.27</v>
      </c>
      <c r="E439" s="28">
        <v>618.21</v>
      </c>
      <c r="F439" s="28">
        <v>618.21</v>
      </c>
      <c r="G439" s="29">
        <v>28271.401675728001</v>
      </c>
      <c r="H439" s="29">
        <v>23712.7739103637</v>
      </c>
      <c r="I439" s="27">
        <f t="shared" si="19"/>
        <v>1</v>
      </c>
      <c r="J439" s="27">
        <f t="shared" si="20"/>
        <v>1</v>
      </c>
      <c r="K439" s="27">
        <f t="shared" si="18"/>
        <v>1</v>
      </c>
      <c r="L439" s="25">
        <v>396.46322099999998</v>
      </c>
      <c r="M439" s="25">
        <v>399.01170729170531</v>
      </c>
      <c r="N439" s="38">
        <v>0.49691970316367851</v>
      </c>
      <c r="O439" s="38">
        <v>-6.0428294753350764</v>
      </c>
      <c r="P439" s="71">
        <v>-8.0305082879897896</v>
      </c>
      <c r="Q439" s="53">
        <v>44147</v>
      </c>
      <c r="R439" s="23">
        <v>9</v>
      </c>
      <c r="S439" s="24">
        <v>396.46322099999998</v>
      </c>
      <c r="T439" s="24">
        <v>399.01170729170531</v>
      </c>
      <c r="U439" s="20">
        <v>0.49691970316367851</v>
      </c>
      <c r="V439" s="20">
        <v>-6.0428294753350764</v>
      </c>
      <c r="W439" s="20">
        <v>-8.0305082879897896</v>
      </c>
      <c r="X439" s="22" t="s">
        <v>17</v>
      </c>
      <c r="Y439" s="23"/>
      <c r="Z439" s="24" t="s">
        <v>17</v>
      </c>
      <c r="AA439" s="24" t="s">
        <v>17</v>
      </c>
      <c r="AB439" s="20" t="s">
        <v>17</v>
      </c>
      <c r="AC439" s="20" t="s">
        <v>17</v>
      </c>
      <c r="AD439" s="20" t="s">
        <v>17</v>
      </c>
      <c r="AE439" s="22"/>
      <c r="AF439" s="23"/>
      <c r="AG439" s="24" t="s">
        <v>17</v>
      </c>
      <c r="AH439" s="24" t="s">
        <v>17</v>
      </c>
      <c r="AI439" s="20" t="s">
        <v>17</v>
      </c>
      <c r="AJ439" s="20" t="s">
        <v>17</v>
      </c>
      <c r="AK439" s="20" t="s">
        <v>17</v>
      </c>
      <c r="AL439" s="22" t="s">
        <v>17</v>
      </c>
      <c r="AM439" s="23" t="s">
        <v>17</v>
      </c>
      <c r="AN439" s="24" t="s">
        <v>17</v>
      </c>
      <c r="AO439" s="24" t="s">
        <v>17</v>
      </c>
      <c r="AP439" s="20" t="s">
        <v>17</v>
      </c>
      <c r="AQ439" s="20" t="s">
        <v>17</v>
      </c>
      <c r="AR439" s="20" t="s">
        <v>17</v>
      </c>
      <c r="AS439" s="21"/>
      <c r="AT439" s="20"/>
      <c r="AU439" s="4"/>
      <c r="AV439" s="20"/>
      <c r="AW439" s="20" t="s">
        <v>17</v>
      </c>
      <c r="AX439" s="20" t="s">
        <v>17</v>
      </c>
      <c r="AY439" s="20" t="s">
        <v>17</v>
      </c>
      <c r="AZ439" s="5"/>
      <c r="BA439" s="6"/>
      <c r="BB439" s="4"/>
      <c r="BC439" s="6"/>
      <c r="BD439" s="6"/>
      <c r="BE439" s="6"/>
      <c r="BF439" s="7"/>
    </row>
    <row r="440" spans="1:58" ht="18" customHeight="1">
      <c r="A440" s="106" t="s">
        <v>15</v>
      </c>
      <c r="B440" s="93" t="s">
        <v>418</v>
      </c>
      <c r="C440" s="28">
        <v>619.15</v>
      </c>
      <c r="D440" s="28">
        <v>619.27</v>
      </c>
      <c r="E440" s="28">
        <v>619.21</v>
      </c>
      <c r="F440" s="28">
        <v>619.21</v>
      </c>
      <c r="G440" s="29">
        <v>28353.7978609364</v>
      </c>
      <c r="H440" s="29">
        <v>23787.125783568201</v>
      </c>
      <c r="I440" s="27">
        <f t="shared" si="19"/>
        <v>1</v>
      </c>
      <c r="J440" s="27">
        <f t="shared" si="20"/>
        <v>0</v>
      </c>
      <c r="K440" s="27">
        <f t="shared" si="18"/>
        <v>0</v>
      </c>
      <c r="L440" s="25">
        <v>392.72321850000003</v>
      </c>
      <c r="M440" s="25">
        <v>395.14954855909082</v>
      </c>
      <c r="N440" s="38"/>
      <c r="O440" s="38"/>
      <c r="P440" s="71"/>
      <c r="Q440" s="22">
        <v>44027</v>
      </c>
      <c r="R440" s="23" t="s">
        <v>88</v>
      </c>
      <c r="S440" s="24">
        <v>392.72321850000003</v>
      </c>
      <c r="T440" s="24">
        <v>395.14954855909082</v>
      </c>
      <c r="U440" s="20"/>
      <c r="V440" s="20"/>
      <c r="W440" s="20"/>
      <c r="X440" s="22"/>
      <c r="Y440" s="23"/>
      <c r="Z440" s="24"/>
      <c r="AA440" s="24"/>
      <c r="AB440" s="20"/>
      <c r="AC440" s="20"/>
      <c r="AD440" s="20"/>
      <c r="AE440" s="22"/>
      <c r="AF440" s="23"/>
      <c r="AG440" s="24" t="s">
        <v>17</v>
      </c>
      <c r="AH440" s="24" t="s">
        <v>17</v>
      </c>
      <c r="AI440" s="20"/>
      <c r="AJ440" s="20"/>
      <c r="AK440" s="20"/>
      <c r="AL440" s="22" t="s">
        <v>17</v>
      </c>
      <c r="AM440" s="23" t="s">
        <v>17</v>
      </c>
      <c r="AN440" s="24" t="s">
        <v>17</v>
      </c>
      <c r="AO440" s="24" t="s">
        <v>17</v>
      </c>
      <c r="AP440" s="20" t="s">
        <v>17</v>
      </c>
      <c r="AQ440" s="20" t="s">
        <v>17</v>
      </c>
      <c r="AR440" s="20" t="s">
        <v>17</v>
      </c>
      <c r="AS440" s="21"/>
      <c r="AT440" s="20"/>
      <c r="AU440" s="4"/>
      <c r="AV440" s="20"/>
      <c r="AW440" s="20" t="s">
        <v>17</v>
      </c>
      <c r="AX440" s="20" t="s">
        <v>17</v>
      </c>
      <c r="AY440" s="20" t="s">
        <v>17</v>
      </c>
      <c r="AZ440" s="5"/>
      <c r="BA440" s="6"/>
      <c r="BB440" s="4"/>
      <c r="BC440" s="6"/>
      <c r="BD440" s="6"/>
      <c r="BE440" s="6"/>
      <c r="BF440" s="7"/>
    </row>
    <row r="441" spans="1:58" ht="18" customHeight="1">
      <c r="A441" s="106" t="s">
        <v>15</v>
      </c>
      <c r="B441" s="93" t="s">
        <v>419</v>
      </c>
      <c r="C441" s="28">
        <v>620.55999999999995</v>
      </c>
      <c r="D441" s="28">
        <v>620.67999999999995</v>
      </c>
      <c r="E441" s="28">
        <v>620.61999999999989</v>
      </c>
      <c r="F441" s="28">
        <v>620.61999999999989</v>
      </c>
      <c r="G441" s="29">
        <v>28465.016662104299</v>
      </c>
      <c r="H441" s="29">
        <v>23899.383105708501</v>
      </c>
      <c r="I441" s="27">
        <f t="shared" si="19"/>
        <v>1</v>
      </c>
      <c r="J441" s="27">
        <f t="shared" si="20"/>
        <v>1</v>
      </c>
      <c r="K441" s="27">
        <f t="shared" si="18"/>
        <v>1</v>
      </c>
      <c r="L441" s="25">
        <v>383.45065950000003</v>
      </c>
      <c r="M441" s="25">
        <v>385.84584626489197</v>
      </c>
      <c r="N441" s="38">
        <v>0.48286005573228152</v>
      </c>
      <c r="O441" s="38">
        <v>-4.6590623620271776</v>
      </c>
      <c r="P441" s="71">
        <v>-6.5905025849563037</v>
      </c>
      <c r="Q441" s="53">
        <v>44145</v>
      </c>
      <c r="R441" s="23">
        <v>9</v>
      </c>
      <c r="S441" s="24">
        <v>383.45065950000003</v>
      </c>
      <c r="T441" s="24">
        <v>385.84584626489197</v>
      </c>
      <c r="U441" s="20">
        <v>0.48286005573228152</v>
      </c>
      <c r="V441" s="20">
        <v>-4.6590623620271776</v>
      </c>
      <c r="W441" s="20">
        <v>-6.5905025849563037</v>
      </c>
      <c r="X441" s="22" t="s">
        <v>17</v>
      </c>
      <c r="Y441" s="23"/>
      <c r="Z441" s="24" t="s">
        <v>17</v>
      </c>
      <c r="AA441" s="24" t="s">
        <v>17</v>
      </c>
      <c r="AB441" s="20" t="s">
        <v>17</v>
      </c>
      <c r="AC441" s="20" t="s">
        <v>17</v>
      </c>
      <c r="AD441" s="20" t="s">
        <v>17</v>
      </c>
      <c r="AE441" s="22"/>
      <c r="AF441" s="23"/>
      <c r="AG441" s="24" t="s">
        <v>17</v>
      </c>
      <c r="AH441" s="24" t="s">
        <v>17</v>
      </c>
      <c r="AI441" s="20" t="s">
        <v>17</v>
      </c>
      <c r="AJ441" s="20" t="s">
        <v>17</v>
      </c>
      <c r="AK441" s="20" t="s">
        <v>17</v>
      </c>
      <c r="AL441" s="22" t="s">
        <v>17</v>
      </c>
      <c r="AM441" s="23" t="s">
        <v>17</v>
      </c>
      <c r="AN441" s="24" t="s">
        <v>17</v>
      </c>
      <c r="AO441" s="24" t="s">
        <v>17</v>
      </c>
      <c r="AP441" s="20" t="s">
        <v>17</v>
      </c>
      <c r="AQ441" s="20" t="s">
        <v>17</v>
      </c>
      <c r="AR441" s="20" t="s">
        <v>17</v>
      </c>
      <c r="AS441" s="21"/>
      <c r="AT441" s="20"/>
      <c r="AU441" s="4"/>
      <c r="AV441" s="20"/>
      <c r="AW441" s="20" t="s">
        <v>17</v>
      </c>
      <c r="AX441" s="20" t="s">
        <v>17</v>
      </c>
      <c r="AY441" s="20" t="s">
        <v>17</v>
      </c>
      <c r="AZ441" s="5"/>
      <c r="BA441" s="6"/>
      <c r="BB441" s="4"/>
      <c r="BC441" s="6"/>
      <c r="BD441" s="6"/>
      <c r="BE441" s="6"/>
      <c r="BF441" s="7"/>
    </row>
    <row r="442" spans="1:58" ht="18" customHeight="1">
      <c r="A442" s="107" t="s">
        <v>15</v>
      </c>
      <c r="B442" s="93" t="s">
        <v>420</v>
      </c>
      <c r="C442" s="28">
        <v>621.63</v>
      </c>
      <c r="D442" s="28">
        <v>621.75</v>
      </c>
      <c r="E442" s="28">
        <v>621.69000000000005</v>
      </c>
      <c r="F442" s="28">
        <v>621.69000000000005</v>
      </c>
      <c r="G442" s="29">
        <v>28552.415561775098</v>
      </c>
      <c r="H442" s="29">
        <v>23989.718815499</v>
      </c>
      <c r="I442" s="27">
        <f t="shared" si="19"/>
        <v>2</v>
      </c>
      <c r="J442" s="27">
        <f t="shared" si="20"/>
        <v>1</v>
      </c>
      <c r="K442" s="27">
        <f t="shared" si="18"/>
        <v>1</v>
      </c>
      <c r="L442" s="25">
        <v>374.67662383333334</v>
      </c>
      <c r="M442" s="25">
        <v>376.93874039050371</v>
      </c>
      <c r="N442" s="38">
        <v>0.46730009212292423</v>
      </c>
      <c r="O442" s="38">
        <v>-4.5440584651165183</v>
      </c>
      <c r="P442" s="71">
        <v>-6.4132588336082152</v>
      </c>
      <c r="Q442" s="53">
        <v>43887</v>
      </c>
      <c r="R442" s="23">
        <v>9</v>
      </c>
      <c r="S442" s="24">
        <v>375.95732099999998</v>
      </c>
      <c r="T442" s="24">
        <v>378.2271697883296</v>
      </c>
      <c r="U442" s="20">
        <v>0.46730009212292423</v>
      </c>
      <c r="V442" s="20">
        <v>-4.5440584651165183</v>
      </c>
      <c r="W442" s="20">
        <v>-6.4132588336082152</v>
      </c>
      <c r="X442" s="22">
        <v>44159</v>
      </c>
      <c r="Y442" s="23" t="s">
        <v>88</v>
      </c>
      <c r="Z442" s="24">
        <v>373.39592666666664</v>
      </c>
      <c r="AA442" s="24">
        <v>375.65031099267782</v>
      </c>
      <c r="AB442" s="20"/>
      <c r="AC442" s="20"/>
      <c r="AD442" s="20"/>
      <c r="AE442" s="22"/>
      <c r="AF442" s="23"/>
      <c r="AG442" s="24" t="s">
        <v>17</v>
      </c>
      <c r="AH442" s="24" t="s">
        <v>17</v>
      </c>
      <c r="AI442" s="20" t="s">
        <v>17</v>
      </c>
      <c r="AJ442" s="20" t="s">
        <v>17</v>
      </c>
      <c r="AK442" s="20" t="s">
        <v>17</v>
      </c>
      <c r="AL442" s="22" t="s">
        <v>17</v>
      </c>
      <c r="AM442" s="23" t="s">
        <v>17</v>
      </c>
      <c r="AN442" s="24" t="s">
        <v>17</v>
      </c>
      <c r="AO442" s="24" t="s">
        <v>17</v>
      </c>
      <c r="AP442" s="20" t="s">
        <v>17</v>
      </c>
      <c r="AQ442" s="20" t="s">
        <v>17</v>
      </c>
      <c r="AR442" s="20" t="s">
        <v>17</v>
      </c>
      <c r="AS442" s="21"/>
      <c r="AT442" s="20"/>
      <c r="AU442" s="4"/>
      <c r="AV442" s="20"/>
      <c r="AW442" s="20" t="s">
        <v>17</v>
      </c>
      <c r="AX442" s="20" t="s">
        <v>17</v>
      </c>
      <c r="AY442" s="20" t="s">
        <v>17</v>
      </c>
      <c r="AZ442" s="5"/>
      <c r="BA442" s="6"/>
      <c r="BB442" s="4"/>
      <c r="BC442" s="6"/>
      <c r="BD442" s="6"/>
      <c r="BE442" s="6"/>
      <c r="BF442" s="7"/>
    </row>
    <row r="443" spans="1:58" ht="18" customHeight="1">
      <c r="A443" s="106" t="s">
        <v>15</v>
      </c>
      <c r="B443" s="93" t="s">
        <v>421</v>
      </c>
      <c r="C443" s="28">
        <v>622.75</v>
      </c>
      <c r="D443" s="28">
        <v>622.87</v>
      </c>
      <c r="E443" s="28">
        <v>622.80999999999995</v>
      </c>
      <c r="F443" s="28">
        <v>622.80999999999995</v>
      </c>
      <c r="G443" s="29">
        <v>28652.876237799399</v>
      </c>
      <c r="H443" s="29">
        <v>24078.5999806338</v>
      </c>
      <c r="I443" s="27">
        <f t="shared" si="19"/>
        <v>2</v>
      </c>
      <c r="J443" s="27">
        <f t="shared" si="20"/>
        <v>1</v>
      </c>
      <c r="K443" s="27">
        <f t="shared" si="18"/>
        <v>1</v>
      </c>
      <c r="L443" s="25">
        <v>376.41473774999997</v>
      </c>
      <c r="M443" s="25">
        <v>378.74716210121676</v>
      </c>
      <c r="N443" s="38">
        <v>0.47959918264006696</v>
      </c>
      <c r="O443" s="38">
        <v>-6.4796633050888675</v>
      </c>
      <c r="P443" s="71">
        <v>-8.3980600356491344</v>
      </c>
      <c r="Q443" s="53">
        <v>44027</v>
      </c>
      <c r="R443" s="23">
        <v>10</v>
      </c>
      <c r="S443" s="24">
        <v>376.01565249999999</v>
      </c>
      <c r="T443" s="24">
        <v>378.34560395081741</v>
      </c>
      <c r="U443" s="20">
        <v>0.47959918264006696</v>
      </c>
      <c r="V443" s="20">
        <v>-6.4796633050888675</v>
      </c>
      <c r="W443" s="20">
        <v>-8.3980600356491344</v>
      </c>
      <c r="X443" s="22">
        <v>44151</v>
      </c>
      <c r="Y443" s="23" t="s">
        <v>88</v>
      </c>
      <c r="Z443" s="24">
        <v>376.81382300000001</v>
      </c>
      <c r="AA443" s="24">
        <v>379.14872025161617</v>
      </c>
      <c r="AB443" s="20"/>
      <c r="AC443" s="20"/>
      <c r="AD443" s="20"/>
      <c r="AE443" s="22"/>
      <c r="AF443" s="23"/>
      <c r="AG443" s="24" t="s">
        <v>17</v>
      </c>
      <c r="AH443" s="24" t="s">
        <v>17</v>
      </c>
      <c r="AI443" s="20" t="s">
        <v>17</v>
      </c>
      <c r="AJ443" s="20" t="s">
        <v>17</v>
      </c>
      <c r="AK443" s="20" t="s">
        <v>17</v>
      </c>
      <c r="AL443" s="22" t="s">
        <v>17</v>
      </c>
      <c r="AM443" s="23" t="s">
        <v>17</v>
      </c>
      <c r="AN443" s="24" t="s">
        <v>17</v>
      </c>
      <c r="AO443" s="24" t="s">
        <v>17</v>
      </c>
      <c r="AP443" s="20" t="s">
        <v>17</v>
      </c>
      <c r="AQ443" s="20" t="s">
        <v>17</v>
      </c>
      <c r="AR443" s="20" t="s">
        <v>17</v>
      </c>
      <c r="AS443" s="21"/>
      <c r="AT443" s="20"/>
      <c r="AU443" s="4"/>
      <c r="AV443" s="20"/>
      <c r="AW443" s="20" t="s">
        <v>17</v>
      </c>
      <c r="AX443" s="20" t="s">
        <v>17</v>
      </c>
      <c r="AY443" s="20" t="s">
        <v>17</v>
      </c>
      <c r="AZ443" s="5"/>
      <c r="BA443" s="6"/>
      <c r="BB443" s="4"/>
      <c r="BC443" s="6"/>
      <c r="BD443" s="6"/>
      <c r="BE443" s="6"/>
      <c r="BF443" s="7"/>
    </row>
    <row r="444" spans="1:58" ht="18" customHeight="1">
      <c r="A444" s="106" t="s">
        <v>15</v>
      </c>
      <c r="B444" s="93" t="s">
        <v>422</v>
      </c>
      <c r="C444" s="28">
        <v>623.88</v>
      </c>
      <c r="D444" s="28">
        <v>624</v>
      </c>
      <c r="E444" s="28">
        <v>623.94000000000005</v>
      </c>
      <c r="F444" s="28">
        <v>623.94000000000005</v>
      </c>
      <c r="G444" s="29">
        <v>28758.573672140701</v>
      </c>
      <c r="H444" s="29">
        <v>24162.317009747901</v>
      </c>
      <c r="I444" s="27">
        <f t="shared" si="19"/>
        <v>2</v>
      </c>
      <c r="J444" s="27">
        <f t="shared" si="20"/>
        <v>1</v>
      </c>
      <c r="K444" s="27">
        <f t="shared" si="18"/>
        <v>1</v>
      </c>
      <c r="L444" s="25">
        <v>368.36003599999998</v>
      </c>
      <c r="M444" s="25">
        <v>370.67720210061123</v>
      </c>
      <c r="N444" s="38">
        <v>0.48627268368006682</v>
      </c>
      <c r="O444" s="38">
        <v>-4.7564118729712668</v>
      </c>
      <c r="P444" s="71">
        <v>-6.7015026076915341</v>
      </c>
      <c r="Q444" s="53">
        <v>44146</v>
      </c>
      <c r="R444" s="23">
        <v>9</v>
      </c>
      <c r="S444" s="24">
        <v>366.96454249999999</v>
      </c>
      <c r="T444" s="24">
        <v>369.2729302590003</v>
      </c>
      <c r="U444" s="20">
        <v>0.48627268368006682</v>
      </c>
      <c r="V444" s="20">
        <v>-4.7564118729712668</v>
      </c>
      <c r="W444" s="20">
        <v>-6.7015026076915341</v>
      </c>
      <c r="X444" s="22">
        <v>44159</v>
      </c>
      <c r="Y444" s="23" t="s">
        <v>88</v>
      </c>
      <c r="Z444" s="24">
        <v>369.75552949999997</v>
      </c>
      <c r="AA444" s="24">
        <v>372.08147394222215</v>
      </c>
      <c r="AB444" s="20"/>
      <c r="AC444" s="20"/>
      <c r="AD444" s="20"/>
      <c r="AE444" s="22"/>
      <c r="AF444" s="23"/>
      <c r="AG444" s="24" t="s">
        <v>17</v>
      </c>
      <c r="AH444" s="24" t="s">
        <v>17</v>
      </c>
      <c r="AI444" s="20" t="s">
        <v>17</v>
      </c>
      <c r="AJ444" s="20" t="s">
        <v>17</v>
      </c>
      <c r="AK444" s="20" t="s">
        <v>17</v>
      </c>
      <c r="AL444" s="22" t="s">
        <v>17</v>
      </c>
      <c r="AM444" s="23" t="s">
        <v>17</v>
      </c>
      <c r="AN444" s="24" t="s">
        <v>17</v>
      </c>
      <c r="AO444" s="24" t="s">
        <v>17</v>
      </c>
      <c r="AP444" s="20" t="s">
        <v>17</v>
      </c>
      <c r="AQ444" s="20" t="s">
        <v>17</v>
      </c>
      <c r="AR444" s="20" t="s">
        <v>17</v>
      </c>
      <c r="AS444" s="21"/>
      <c r="AT444" s="20"/>
      <c r="AU444" s="4"/>
      <c r="AV444" s="20"/>
      <c r="AW444" s="20" t="s">
        <v>17</v>
      </c>
      <c r="AX444" s="20" t="s">
        <v>17</v>
      </c>
      <c r="AY444" s="20" t="s">
        <v>17</v>
      </c>
      <c r="AZ444" s="5"/>
      <c r="BA444" s="6"/>
      <c r="BB444" s="4"/>
      <c r="BC444" s="6"/>
      <c r="BD444" s="6"/>
      <c r="BE444" s="6"/>
      <c r="BF444" s="7"/>
    </row>
    <row r="445" spans="1:58" ht="18" customHeight="1">
      <c r="A445" s="106" t="s">
        <v>15</v>
      </c>
      <c r="B445" s="93" t="s">
        <v>423</v>
      </c>
      <c r="C445" s="28">
        <v>625.54</v>
      </c>
      <c r="D445" s="28">
        <v>625.65</v>
      </c>
      <c r="E445" s="28">
        <v>625.59500000000003</v>
      </c>
      <c r="F445" s="28">
        <v>625.59500000000003</v>
      </c>
      <c r="G445" s="29">
        <v>28901.748820593799</v>
      </c>
      <c r="H445" s="29">
        <v>24298.410473561999</v>
      </c>
      <c r="I445" s="27">
        <f t="shared" si="19"/>
        <v>1</v>
      </c>
      <c r="J445" s="27">
        <f t="shared" si="20"/>
        <v>1</v>
      </c>
      <c r="K445" s="27">
        <f t="shared" si="18"/>
        <v>1</v>
      </c>
      <c r="L445" s="25">
        <v>366.33573799999999</v>
      </c>
      <c r="M445" s="25">
        <v>368.60828345139907</v>
      </c>
      <c r="N445" s="38">
        <v>0.48014319255251792</v>
      </c>
      <c r="O445" s="38">
        <v>-5.4727612058114161</v>
      </c>
      <c r="P445" s="71">
        <v>-7.3933339760214878</v>
      </c>
      <c r="Q445" s="53">
        <v>44025</v>
      </c>
      <c r="R445" s="23">
        <v>10</v>
      </c>
      <c r="S445" s="24">
        <v>366.33573799999999</v>
      </c>
      <c r="T445" s="24">
        <v>368.60828345139907</v>
      </c>
      <c r="U445" s="20">
        <v>0.48014319255251792</v>
      </c>
      <c r="V445" s="20">
        <v>-5.4727612058114161</v>
      </c>
      <c r="W445" s="20">
        <v>-7.3933339760214878</v>
      </c>
      <c r="X445" s="22" t="s">
        <v>17</v>
      </c>
      <c r="Y445" s="23"/>
      <c r="Z445" s="24" t="s">
        <v>17</v>
      </c>
      <c r="AA445" s="24" t="s">
        <v>17</v>
      </c>
      <c r="AB445" s="20" t="s">
        <v>17</v>
      </c>
      <c r="AC445" s="20" t="s">
        <v>17</v>
      </c>
      <c r="AD445" s="20" t="s">
        <v>17</v>
      </c>
      <c r="AE445" s="22"/>
      <c r="AF445" s="23"/>
      <c r="AG445" s="24" t="s">
        <v>17</v>
      </c>
      <c r="AH445" s="24" t="s">
        <v>17</v>
      </c>
      <c r="AI445" s="20" t="s">
        <v>17</v>
      </c>
      <c r="AJ445" s="20" t="s">
        <v>17</v>
      </c>
      <c r="AK445" s="20" t="s">
        <v>17</v>
      </c>
      <c r="AL445" s="22" t="s">
        <v>17</v>
      </c>
      <c r="AM445" s="23" t="s">
        <v>17</v>
      </c>
      <c r="AN445" s="24" t="s">
        <v>17</v>
      </c>
      <c r="AO445" s="24" t="s">
        <v>17</v>
      </c>
      <c r="AP445" s="20" t="s">
        <v>17</v>
      </c>
      <c r="AQ445" s="20" t="s">
        <v>17</v>
      </c>
      <c r="AR445" s="20" t="s">
        <v>17</v>
      </c>
      <c r="AS445" s="21"/>
      <c r="AT445" s="20"/>
      <c r="AU445" s="4"/>
      <c r="AV445" s="20"/>
      <c r="AW445" s="20" t="s">
        <v>17</v>
      </c>
      <c r="AX445" s="20" t="s">
        <v>17</v>
      </c>
      <c r="AY445" s="20" t="s">
        <v>17</v>
      </c>
      <c r="AZ445" s="5"/>
      <c r="BA445" s="6"/>
      <c r="BB445" s="4"/>
      <c r="BC445" s="6"/>
      <c r="BD445" s="6"/>
      <c r="BE445" s="6"/>
      <c r="BF445" s="7"/>
    </row>
    <row r="446" spans="1:58" ht="18" customHeight="1">
      <c r="A446" s="107" t="s">
        <v>15</v>
      </c>
      <c r="B446" s="93" t="s">
        <v>424</v>
      </c>
      <c r="C446" s="28">
        <v>627.20000000000005</v>
      </c>
      <c r="D446" s="28">
        <v>627.32000000000005</v>
      </c>
      <c r="E446" s="28">
        <v>627.26</v>
      </c>
      <c r="F446" s="28">
        <v>627.26</v>
      </c>
      <c r="G446" s="29">
        <v>29031.581427085399</v>
      </c>
      <c r="H446" s="29">
        <v>24450.052286170001</v>
      </c>
      <c r="I446" s="27">
        <f t="shared" si="19"/>
        <v>1</v>
      </c>
      <c r="J446" s="27">
        <f t="shared" si="20"/>
        <v>1</v>
      </c>
      <c r="K446" s="27">
        <f t="shared" si="18"/>
        <v>1</v>
      </c>
      <c r="L446" s="25">
        <v>368.27951350000001</v>
      </c>
      <c r="M446" s="25">
        <v>370.59302295644522</v>
      </c>
      <c r="N446" s="38">
        <v>0.48621819257199661</v>
      </c>
      <c r="O446" s="38">
        <v>-5.6086101881273054</v>
      </c>
      <c r="P446" s="71">
        <v>-7.5534829584152918</v>
      </c>
      <c r="Q446" s="53">
        <v>43900</v>
      </c>
      <c r="R446" s="23">
        <v>9</v>
      </c>
      <c r="S446" s="24">
        <v>368.27951350000001</v>
      </c>
      <c r="T446" s="24">
        <v>370.59302295644522</v>
      </c>
      <c r="U446" s="20">
        <v>0.48621819257199661</v>
      </c>
      <c r="V446" s="20">
        <v>-5.6086101881273054</v>
      </c>
      <c r="W446" s="20">
        <v>-7.5534829584152918</v>
      </c>
      <c r="X446" s="22"/>
      <c r="Y446" s="23"/>
      <c r="Z446" s="24"/>
      <c r="AA446" s="24"/>
      <c r="AB446" s="20"/>
      <c r="AC446" s="20"/>
      <c r="AD446" s="20"/>
      <c r="AE446" s="22"/>
      <c r="AF446" s="23"/>
      <c r="AG446" s="24"/>
      <c r="AH446" s="24"/>
      <c r="AI446" s="20"/>
      <c r="AJ446" s="20"/>
      <c r="AK446" s="20"/>
      <c r="AL446" s="22" t="s">
        <v>17</v>
      </c>
      <c r="AM446" s="23" t="s">
        <v>17</v>
      </c>
      <c r="AN446" s="24" t="s">
        <v>17</v>
      </c>
      <c r="AO446" s="24" t="s">
        <v>17</v>
      </c>
      <c r="AP446" s="20" t="s">
        <v>17</v>
      </c>
      <c r="AQ446" s="20" t="s">
        <v>17</v>
      </c>
      <c r="AR446" s="20" t="s">
        <v>17</v>
      </c>
      <c r="AS446" s="21"/>
      <c r="AT446" s="20"/>
      <c r="AU446" s="4"/>
      <c r="AV446" s="20"/>
      <c r="AW446" s="20" t="s">
        <v>17</v>
      </c>
      <c r="AX446" s="20" t="s">
        <v>17</v>
      </c>
      <c r="AY446" s="20" t="s">
        <v>17</v>
      </c>
      <c r="AZ446" s="5"/>
      <c r="BA446" s="6"/>
      <c r="BB446" s="4"/>
      <c r="BC446" s="6"/>
      <c r="BD446" s="6"/>
      <c r="BE446" s="6"/>
      <c r="BF446" s="7"/>
    </row>
    <row r="447" spans="1:58" ht="18" customHeight="1">
      <c r="A447" s="106" t="s">
        <v>15</v>
      </c>
      <c r="B447" s="93" t="s">
        <v>425</v>
      </c>
      <c r="C447" s="28">
        <v>628.64</v>
      </c>
      <c r="D447" s="28">
        <v>628.76</v>
      </c>
      <c r="E447" s="28">
        <v>628.70000000000005</v>
      </c>
      <c r="F447" s="28">
        <v>628.70000000000005</v>
      </c>
      <c r="G447" s="29">
        <v>29137.401262367799</v>
      </c>
      <c r="H447" s="29">
        <v>24577.795045557701</v>
      </c>
      <c r="I447" s="27">
        <f t="shared" si="19"/>
        <v>4</v>
      </c>
      <c r="J447" s="27">
        <f t="shared" si="20"/>
        <v>4</v>
      </c>
      <c r="K447" s="27">
        <f t="shared" si="18"/>
        <v>2</v>
      </c>
      <c r="L447" s="25">
        <v>373.41059225000004</v>
      </c>
      <c r="M447" s="25">
        <v>375.66972405641644</v>
      </c>
      <c r="N447" s="38">
        <v>0.4682643927017005</v>
      </c>
      <c r="O447" s="38">
        <v>-3.9877949861895079</v>
      </c>
      <c r="P447" s="71">
        <v>-5.8640088027670512</v>
      </c>
      <c r="Q447" s="53">
        <v>44069</v>
      </c>
      <c r="R447" s="23">
        <v>9</v>
      </c>
      <c r="S447" s="24">
        <v>371.63159000000002</v>
      </c>
      <c r="T447" s="24">
        <v>373.88382145348413</v>
      </c>
      <c r="U447" s="20">
        <v>0.46907024219633442</v>
      </c>
      <c r="V447" s="20">
        <v>-3.9471311562777611</v>
      </c>
      <c r="W447" s="20">
        <v>-5.8234121250630988</v>
      </c>
      <c r="X447" s="22">
        <v>44069</v>
      </c>
      <c r="Y447" s="23">
        <v>9</v>
      </c>
      <c r="Z447" s="24">
        <v>377.59290450000003</v>
      </c>
      <c r="AA447" s="24">
        <v>379.88110002850362</v>
      </c>
      <c r="AB447" s="20">
        <v>0.46903666609243722</v>
      </c>
      <c r="AC447" s="20">
        <v>-4.0284588161012547</v>
      </c>
      <c r="AD447" s="20">
        <v>-5.9046054804710035</v>
      </c>
      <c r="AE447" s="22">
        <v>44350</v>
      </c>
      <c r="AF447" s="23" t="s">
        <v>88</v>
      </c>
      <c r="AG447" s="24">
        <v>372.46288800000002</v>
      </c>
      <c r="AH447" s="24">
        <v>374.69715627970805</v>
      </c>
      <c r="AI447" s="1">
        <v>0.46429050241791892</v>
      </c>
      <c r="AJ447" s="2"/>
      <c r="AK447" s="2"/>
      <c r="AL447" s="22">
        <v>44350</v>
      </c>
      <c r="AM447" s="23" t="s">
        <v>832</v>
      </c>
      <c r="AN447" s="24">
        <v>371.95498650000002</v>
      </c>
      <c r="AO447" s="24">
        <v>374.21681846396996</v>
      </c>
      <c r="AP447" s="20">
        <v>0.47066016010011147</v>
      </c>
      <c r="AQ447" s="20"/>
      <c r="AR447" s="20"/>
      <c r="AS447" s="21"/>
      <c r="AT447" s="20"/>
      <c r="AU447" s="4"/>
      <c r="AV447" s="20"/>
      <c r="AW447" s="20" t="s">
        <v>17</v>
      </c>
      <c r="AX447" s="20" t="s">
        <v>17</v>
      </c>
      <c r="AY447" s="20" t="s">
        <v>17</v>
      </c>
      <c r="AZ447" s="5"/>
      <c r="BA447" s="6"/>
      <c r="BB447" s="4"/>
      <c r="BC447" s="6"/>
      <c r="BD447" s="6"/>
      <c r="BE447" s="6"/>
      <c r="BF447" s="7"/>
    </row>
    <row r="448" spans="1:58" ht="18" customHeight="1">
      <c r="A448" s="106" t="s">
        <v>15</v>
      </c>
      <c r="B448" s="93" t="s">
        <v>426</v>
      </c>
      <c r="C448" s="28">
        <v>630.21</v>
      </c>
      <c r="D448" s="28">
        <v>630.33000000000004</v>
      </c>
      <c r="E448" s="28">
        <v>630.27</v>
      </c>
      <c r="F448" s="28">
        <v>630.27</v>
      </c>
      <c r="G448" s="29">
        <v>29252.0111135841</v>
      </c>
      <c r="H448" s="29">
        <v>24710.4121863361</v>
      </c>
      <c r="I448" s="27">
        <f t="shared" si="19"/>
        <v>1</v>
      </c>
      <c r="J448" s="27">
        <f t="shared" si="20"/>
        <v>1</v>
      </c>
      <c r="K448" s="27">
        <f t="shared" si="18"/>
        <v>1</v>
      </c>
      <c r="L448" s="25">
        <v>370.15128299999998</v>
      </c>
      <c r="M448" s="25">
        <v>372.46643129491508</v>
      </c>
      <c r="N448" s="38">
        <v>0.4834946329288492</v>
      </c>
      <c r="O448" s="38">
        <v>-4.9919406115329634</v>
      </c>
      <c r="P448" s="71">
        <v>-6.9259191432483602</v>
      </c>
      <c r="Q448" s="53">
        <v>44145</v>
      </c>
      <c r="R448" s="23">
        <v>9</v>
      </c>
      <c r="S448" s="24">
        <v>370.15128299999998</v>
      </c>
      <c r="T448" s="24">
        <v>372.46643129491508</v>
      </c>
      <c r="U448" s="20">
        <v>0.4834946329288492</v>
      </c>
      <c r="V448" s="20">
        <v>-4.9919406115329634</v>
      </c>
      <c r="W448" s="20">
        <v>-6.9259191432483602</v>
      </c>
      <c r="X448" s="22" t="s">
        <v>17</v>
      </c>
      <c r="Y448" s="23"/>
      <c r="Z448" s="24" t="s">
        <v>17</v>
      </c>
      <c r="AA448" s="24" t="s">
        <v>17</v>
      </c>
      <c r="AB448" s="20" t="s">
        <v>17</v>
      </c>
      <c r="AC448" s="20" t="s">
        <v>17</v>
      </c>
      <c r="AD448" s="20" t="s">
        <v>17</v>
      </c>
      <c r="AE448" s="22"/>
      <c r="AF448" s="23"/>
      <c r="AG448" s="24" t="s">
        <v>17</v>
      </c>
      <c r="AH448" s="24" t="s">
        <v>17</v>
      </c>
      <c r="AI448" s="20" t="s">
        <v>17</v>
      </c>
      <c r="AJ448" s="20" t="s">
        <v>17</v>
      </c>
      <c r="AK448" s="20" t="s">
        <v>17</v>
      </c>
      <c r="AL448" s="22" t="s">
        <v>17</v>
      </c>
      <c r="AM448" s="23" t="s">
        <v>17</v>
      </c>
      <c r="AN448" s="24" t="s">
        <v>17</v>
      </c>
      <c r="AO448" s="24" t="s">
        <v>17</v>
      </c>
      <c r="AP448" s="20" t="s">
        <v>17</v>
      </c>
      <c r="AQ448" s="20" t="s">
        <v>17</v>
      </c>
      <c r="AR448" s="20" t="s">
        <v>17</v>
      </c>
      <c r="AS448" s="21"/>
      <c r="AT448" s="20"/>
      <c r="AU448" s="4"/>
      <c r="AV448" s="20"/>
      <c r="AW448" s="20" t="s">
        <v>17</v>
      </c>
      <c r="AX448" s="20" t="s">
        <v>17</v>
      </c>
      <c r="AY448" s="20" t="s">
        <v>17</v>
      </c>
      <c r="AZ448" s="5"/>
      <c r="BA448" s="6"/>
      <c r="BB448" s="4"/>
      <c r="BC448" s="6"/>
      <c r="BD448" s="6"/>
      <c r="BE448" s="6"/>
      <c r="BF448" s="7"/>
    </row>
    <row r="449" spans="1:58" ht="18" customHeight="1">
      <c r="A449" s="107" t="s">
        <v>15</v>
      </c>
      <c r="B449" s="111" t="s">
        <v>427</v>
      </c>
      <c r="C449" s="28">
        <v>631.71</v>
      </c>
      <c r="D449" s="28">
        <v>631.83000000000004</v>
      </c>
      <c r="E449" s="28">
        <v>631.77</v>
      </c>
      <c r="F449" s="28">
        <v>631.77</v>
      </c>
      <c r="G449" s="29">
        <v>29358.701014763399</v>
      </c>
      <c r="H449" s="29">
        <v>24837.382139795998</v>
      </c>
      <c r="I449" s="27">
        <f t="shared" si="19"/>
        <v>1</v>
      </c>
      <c r="J449" s="27">
        <f t="shared" si="20"/>
        <v>1</v>
      </c>
      <c r="K449" s="27">
        <f t="shared" si="18"/>
        <v>1</v>
      </c>
      <c r="L449" s="25">
        <v>371.88640850000002</v>
      </c>
      <c r="M449" s="25">
        <v>374.15127989562313</v>
      </c>
      <c r="N449" s="38">
        <v>0.47137953852938175</v>
      </c>
      <c r="O449" s="38">
        <v>-4.1831779827802285</v>
      </c>
      <c r="P449" s="71">
        <v>-6.0686961368977554</v>
      </c>
      <c r="Q449" s="53">
        <v>43886</v>
      </c>
      <c r="R449" s="23">
        <v>9</v>
      </c>
      <c r="S449" s="24">
        <v>371.88640850000002</v>
      </c>
      <c r="T449" s="24">
        <v>374.15127989562313</v>
      </c>
      <c r="U449" s="20">
        <v>0.47137953852938175</v>
      </c>
      <c r="V449" s="20">
        <v>-4.1831779827802285</v>
      </c>
      <c r="W449" s="20">
        <v>-6.0686961368977554</v>
      </c>
      <c r="X449" s="22" t="s">
        <v>17</v>
      </c>
      <c r="Y449" s="23"/>
      <c r="Z449" s="24" t="s">
        <v>17</v>
      </c>
      <c r="AA449" s="24" t="s">
        <v>17</v>
      </c>
      <c r="AB449" s="20" t="s">
        <v>17</v>
      </c>
      <c r="AC449" s="20" t="s">
        <v>17</v>
      </c>
      <c r="AD449" s="20" t="s">
        <v>17</v>
      </c>
      <c r="AE449" s="22"/>
      <c r="AF449" s="23"/>
      <c r="AG449" s="24" t="s">
        <v>17</v>
      </c>
      <c r="AH449" s="24" t="s">
        <v>17</v>
      </c>
      <c r="AI449" s="20" t="s">
        <v>17</v>
      </c>
      <c r="AJ449" s="20" t="s">
        <v>17</v>
      </c>
      <c r="AK449" s="20" t="s">
        <v>17</v>
      </c>
      <c r="AL449" s="22" t="s">
        <v>17</v>
      </c>
      <c r="AM449" s="23" t="s">
        <v>17</v>
      </c>
      <c r="AN449" s="24" t="s">
        <v>17</v>
      </c>
      <c r="AO449" s="24" t="s">
        <v>17</v>
      </c>
      <c r="AP449" s="20" t="s">
        <v>17</v>
      </c>
      <c r="AQ449" s="20" t="s">
        <v>17</v>
      </c>
      <c r="AR449" s="20" t="s">
        <v>17</v>
      </c>
      <c r="AS449" s="21"/>
      <c r="AT449" s="20"/>
      <c r="AU449" s="4"/>
      <c r="AV449" s="20"/>
      <c r="AW449" s="20" t="s">
        <v>17</v>
      </c>
      <c r="AX449" s="20" t="s">
        <v>17</v>
      </c>
      <c r="AY449" s="20" t="s">
        <v>17</v>
      </c>
      <c r="AZ449" s="5"/>
      <c r="BA449" s="6"/>
      <c r="BB449" s="4"/>
      <c r="BC449" s="6"/>
      <c r="BD449" s="6"/>
      <c r="BE449" s="6"/>
      <c r="BF449" s="7"/>
    </row>
    <row r="450" spans="1:58" ht="18" customHeight="1">
      <c r="A450" s="106" t="s">
        <v>15</v>
      </c>
      <c r="B450" s="93" t="s">
        <v>428</v>
      </c>
      <c r="C450" s="28">
        <v>633.21</v>
      </c>
      <c r="D450" s="28">
        <v>633.33000000000004</v>
      </c>
      <c r="E450" s="28">
        <v>633.27</v>
      </c>
      <c r="F450" s="28">
        <v>633.27</v>
      </c>
      <c r="G450" s="29">
        <v>29463.5644964903</v>
      </c>
      <c r="H450" s="29">
        <v>24966.1752466291</v>
      </c>
      <c r="I450" s="27">
        <f t="shared" si="19"/>
        <v>3</v>
      </c>
      <c r="J450" s="27">
        <f t="shared" si="20"/>
        <v>4</v>
      </c>
      <c r="K450" s="27">
        <f t="shared" si="18"/>
        <v>2</v>
      </c>
      <c r="L450" s="25">
        <v>373.72913783333325</v>
      </c>
      <c r="M450" s="25">
        <v>376.06987194887165</v>
      </c>
      <c r="N450" s="38">
        <v>0.48594444990146535</v>
      </c>
      <c r="O450" s="38">
        <v>-4.7361711912933258</v>
      </c>
      <c r="P450" s="71">
        <v>-6.6856144317041233</v>
      </c>
      <c r="Q450" s="53">
        <v>44116</v>
      </c>
      <c r="R450" s="23">
        <v>9</v>
      </c>
      <c r="S450" s="24">
        <v>375.94243</v>
      </c>
      <c r="T450" s="24">
        <v>378.3128881595332</v>
      </c>
      <c r="U450" s="20">
        <v>0.4880321536782084</v>
      </c>
      <c r="V450" s="20">
        <v>-4.9279418956050813</v>
      </c>
      <c r="W450" s="20">
        <v>-6.8800705103179149</v>
      </c>
      <c r="X450" s="22">
        <v>44116</v>
      </c>
      <c r="Y450" s="23">
        <v>9</v>
      </c>
      <c r="Z450" s="24">
        <v>373.520083</v>
      </c>
      <c r="AA450" s="24">
        <v>375.86878770592739</v>
      </c>
      <c r="AB450" s="20">
        <v>0.48668946652719036</v>
      </c>
      <c r="AC450" s="20">
        <v>-4.5444004869815702</v>
      </c>
      <c r="AD450" s="20">
        <v>-6.4911583530903316</v>
      </c>
      <c r="AE450" s="22">
        <v>44215</v>
      </c>
      <c r="AF450" s="23" t="s">
        <v>88</v>
      </c>
      <c r="AG450" s="24"/>
      <c r="AH450" s="24"/>
      <c r="AI450" s="20">
        <v>0.48952459684858951</v>
      </c>
      <c r="AJ450" s="20"/>
      <c r="AK450" s="20"/>
      <c r="AL450" s="22">
        <v>44350</v>
      </c>
      <c r="AM450" s="23" t="s">
        <v>88</v>
      </c>
      <c r="AN450" s="24">
        <v>371.72490049999999</v>
      </c>
      <c r="AO450" s="24">
        <v>374.02793998115425</v>
      </c>
      <c r="AP450" s="20">
        <v>0.47953158255187311</v>
      </c>
      <c r="AQ450" s="20"/>
      <c r="AR450" s="20"/>
      <c r="AS450" s="21"/>
      <c r="AT450" s="20"/>
      <c r="AU450" s="4"/>
      <c r="AV450" s="20"/>
      <c r="AW450" s="20" t="s">
        <v>17</v>
      </c>
      <c r="AX450" s="20" t="s">
        <v>17</v>
      </c>
      <c r="AY450" s="20" t="s">
        <v>17</v>
      </c>
      <c r="AZ450" s="5"/>
      <c r="BA450" s="6"/>
      <c r="BB450" s="4"/>
      <c r="BC450" s="6"/>
      <c r="BD450" s="6"/>
      <c r="BE450" s="6"/>
      <c r="BF450" s="7"/>
    </row>
    <row r="451" spans="1:58" ht="18" customHeight="1">
      <c r="A451" s="106" t="s">
        <v>15</v>
      </c>
      <c r="B451" s="93" t="s">
        <v>429</v>
      </c>
      <c r="C451" s="28">
        <v>634.85</v>
      </c>
      <c r="D451" s="28">
        <v>634.97</v>
      </c>
      <c r="E451" s="28">
        <v>634.91000000000008</v>
      </c>
      <c r="F451" s="28">
        <v>634.91000000000008</v>
      </c>
      <c r="G451" s="29">
        <v>29580.830785725699</v>
      </c>
      <c r="H451" s="29">
        <v>25100.378587292998</v>
      </c>
      <c r="I451" s="27">
        <f t="shared" si="19"/>
        <v>1</v>
      </c>
      <c r="J451" s="27">
        <f t="shared" si="20"/>
        <v>1</v>
      </c>
      <c r="K451" s="27">
        <f t="shared" si="18"/>
        <v>1</v>
      </c>
      <c r="L451" s="25">
        <v>372.75012249999997</v>
      </c>
      <c r="M451" s="25">
        <v>375.09591846252738</v>
      </c>
      <c r="N451" s="38">
        <v>0.48648324614397609</v>
      </c>
      <c r="O451" s="38">
        <v>-6.116190302665081</v>
      </c>
      <c r="P451" s="71">
        <v>-8.0621232872409863</v>
      </c>
      <c r="Q451" s="53">
        <v>44131</v>
      </c>
      <c r="R451" s="23">
        <v>9</v>
      </c>
      <c r="S451" s="24">
        <v>372.75012249999997</v>
      </c>
      <c r="T451" s="24">
        <v>375.09591846252738</v>
      </c>
      <c r="U451" s="20">
        <v>0.48648324614397609</v>
      </c>
      <c r="V451" s="20">
        <v>-6.116190302665081</v>
      </c>
      <c r="W451" s="20">
        <v>-8.0621232872409863</v>
      </c>
      <c r="X451" s="22" t="s">
        <v>17</v>
      </c>
      <c r="Y451" s="23"/>
      <c r="Z451" s="24" t="s">
        <v>17</v>
      </c>
      <c r="AA451" s="24" t="s">
        <v>17</v>
      </c>
      <c r="AB451" s="20" t="s">
        <v>17</v>
      </c>
      <c r="AC451" s="20" t="s">
        <v>17</v>
      </c>
      <c r="AD451" s="20" t="s">
        <v>17</v>
      </c>
      <c r="AE451" s="22"/>
      <c r="AF451" s="23"/>
      <c r="AG451" s="24" t="s">
        <v>17</v>
      </c>
      <c r="AH451" s="24" t="s">
        <v>17</v>
      </c>
      <c r="AI451" s="20" t="s">
        <v>17</v>
      </c>
      <c r="AJ451" s="20" t="s">
        <v>17</v>
      </c>
      <c r="AK451" s="20" t="s">
        <v>17</v>
      </c>
      <c r="AL451" s="22" t="s">
        <v>17</v>
      </c>
      <c r="AM451" s="23" t="s">
        <v>17</v>
      </c>
      <c r="AN451" s="24" t="s">
        <v>17</v>
      </c>
      <c r="AO451" s="24" t="s">
        <v>17</v>
      </c>
      <c r="AP451" s="20" t="s">
        <v>17</v>
      </c>
      <c r="AQ451" s="20" t="s">
        <v>17</v>
      </c>
      <c r="AR451" s="20" t="s">
        <v>17</v>
      </c>
      <c r="AS451" s="21"/>
      <c r="AT451" s="20"/>
      <c r="AU451" s="4"/>
      <c r="AV451" s="20"/>
      <c r="AW451" s="20" t="s">
        <v>17</v>
      </c>
      <c r="AX451" s="20" t="s">
        <v>17</v>
      </c>
      <c r="AY451" s="20" t="s">
        <v>17</v>
      </c>
      <c r="AZ451" s="5"/>
      <c r="BA451" s="6"/>
      <c r="BB451" s="4"/>
      <c r="BC451" s="6"/>
      <c r="BD451" s="6"/>
      <c r="BE451" s="6"/>
      <c r="BF451" s="7"/>
    </row>
    <row r="452" spans="1:58" ht="18" customHeight="1">
      <c r="A452" s="107" t="s">
        <v>15</v>
      </c>
      <c r="B452" s="93" t="s">
        <v>430</v>
      </c>
      <c r="C452" s="28">
        <v>636.32000000000005</v>
      </c>
      <c r="D452" s="28">
        <v>636.44000000000005</v>
      </c>
      <c r="E452" s="28">
        <v>636.38000000000011</v>
      </c>
      <c r="F452" s="28">
        <v>636.38000000000011</v>
      </c>
      <c r="G452" s="29">
        <v>29685.840438786101</v>
      </c>
      <c r="H452" s="29">
        <v>25229.3675104412</v>
      </c>
      <c r="I452" s="27">
        <f t="shared" si="19"/>
        <v>1</v>
      </c>
      <c r="J452" s="27">
        <f t="shared" si="20"/>
        <v>1</v>
      </c>
      <c r="K452" s="27">
        <f t="shared" si="18"/>
        <v>1</v>
      </c>
      <c r="L452" s="25">
        <v>369.387609</v>
      </c>
      <c r="M452" s="25">
        <v>371.66426633301796</v>
      </c>
      <c r="N452" s="38">
        <v>0.47703784205888056</v>
      </c>
      <c r="O452" s="38">
        <v>-3.4814611585605171</v>
      </c>
      <c r="P452" s="71">
        <v>-5.3896125267960393</v>
      </c>
      <c r="Q452" s="53">
        <v>43893</v>
      </c>
      <c r="R452" s="23">
        <v>9</v>
      </c>
      <c r="S452" s="24">
        <v>369.387609</v>
      </c>
      <c r="T452" s="24">
        <v>371.66426633301796</v>
      </c>
      <c r="U452" s="20">
        <v>0.47703784205888056</v>
      </c>
      <c r="V452" s="20">
        <v>-3.4814611585605171</v>
      </c>
      <c r="W452" s="20">
        <v>-5.3896125267960393</v>
      </c>
      <c r="X452" s="22"/>
      <c r="Y452" s="23"/>
      <c r="Z452" s="24"/>
      <c r="AA452" s="24"/>
      <c r="AB452" s="20"/>
      <c r="AC452" s="20"/>
      <c r="AD452" s="20"/>
      <c r="AE452" s="22"/>
      <c r="AF452" s="23"/>
      <c r="AG452" s="24" t="s">
        <v>17</v>
      </c>
      <c r="AH452" s="24" t="s">
        <v>17</v>
      </c>
      <c r="AI452" s="20" t="s">
        <v>17</v>
      </c>
      <c r="AJ452" s="20" t="s">
        <v>17</v>
      </c>
      <c r="AK452" s="20" t="s">
        <v>17</v>
      </c>
      <c r="AL452" s="22" t="s">
        <v>17</v>
      </c>
      <c r="AM452" s="23" t="s">
        <v>17</v>
      </c>
      <c r="AN452" s="24" t="s">
        <v>17</v>
      </c>
      <c r="AO452" s="24" t="s">
        <v>17</v>
      </c>
      <c r="AP452" s="20" t="s">
        <v>17</v>
      </c>
      <c r="AQ452" s="20" t="s">
        <v>17</v>
      </c>
      <c r="AR452" s="20" t="s">
        <v>17</v>
      </c>
      <c r="AS452" s="21"/>
      <c r="AT452" s="20"/>
      <c r="AU452" s="4"/>
      <c r="AV452" s="20"/>
      <c r="AW452" s="20" t="s">
        <v>17</v>
      </c>
      <c r="AX452" s="20" t="s">
        <v>17</v>
      </c>
      <c r="AY452" s="20" t="s">
        <v>17</v>
      </c>
      <c r="AZ452" s="5"/>
      <c r="BA452" s="6"/>
      <c r="BB452" s="4"/>
      <c r="BC452" s="6"/>
      <c r="BD452" s="6"/>
      <c r="BE452" s="6"/>
      <c r="BF452" s="7"/>
    </row>
    <row r="453" spans="1:58" ht="18" customHeight="1">
      <c r="A453" s="106" t="s">
        <v>15</v>
      </c>
      <c r="B453" s="93" t="s">
        <v>431</v>
      </c>
      <c r="C453" s="28">
        <v>637.85</v>
      </c>
      <c r="D453" s="28">
        <v>637.97</v>
      </c>
      <c r="E453" s="28">
        <v>637.91000000000008</v>
      </c>
      <c r="F453" s="28">
        <v>637.91000000000008</v>
      </c>
      <c r="G453" s="29">
        <v>29795.997895445598</v>
      </c>
      <c r="H453" s="29">
        <v>25364.1871088722</v>
      </c>
      <c r="I453" s="27">
        <f t="shared" si="19"/>
        <v>1</v>
      </c>
      <c r="J453" s="27">
        <f t="shared" si="20"/>
        <v>1</v>
      </c>
      <c r="K453" s="27">
        <f t="shared" si="18"/>
        <v>1</v>
      </c>
      <c r="L453" s="25">
        <v>371.42339449999997</v>
      </c>
      <c r="M453" s="25">
        <v>373.74590328799815</v>
      </c>
      <c r="N453" s="38">
        <v>0.48337042341217717</v>
      </c>
      <c r="O453" s="38">
        <v>-4.0832032047918299</v>
      </c>
      <c r="P453" s="71">
        <v>-6.0166848984405386</v>
      </c>
      <c r="Q453" s="53">
        <v>44144</v>
      </c>
      <c r="R453" s="23">
        <v>9</v>
      </c>
      <c r="S453" s="24">
        <v>371.42339449999997</v>
      </c>
      <c r="T453" s="24">
        <v>373.74590328799815</v>
      </c>
      <c r="U453" s="20">
        <v>0.48337042341217717</v>
      </c>
      <c r="V453" s="20">
        <v>-4.0832032047918299</v>
      </c>
      <c r="W453" s="20">
        <v>-6.0166848984405386</v>
      </c>
      <c r="X453" s="22" t="s">
        <v>17</v>
      </c>
      <c r="Y453" s="23"/>
      <c r="Z453" s="24" t="s">
        <v>17</v>
      </c>
      <c r="AA453" s="24" t="s">
        <v>17</v>
      </c>
      <c r="AB453" s="20" t="s">
        <v>17</v>
      </c>
      <c r="AC453" s="20" t="s">
        <v>17</v>
      </c>
      <c r="AD453" s="20" t="s">
        <v>17</v>
      </c>
      <c r="AE453" s="22"/>
      <c r="AF453" s="23"/>
      <c r="AG453" s="24" t="s">
        <v>17</v>
      </c>
      <c r="AH453" s="24" t="s">
        <v>17</v>
      </c>
      <c r="AI453" s="20" t="s">
        <v>17</v>
      </c>
      <c r="AJ453" s="20" t="s">
        <v>17</v>
      </c>
      <c r="AK453" s="20" t="s">
        <v>17</v>
      </c>
      <c r="AL453" s="22" t="s">
        <v>17</v>
      </c>
      <c r="AM453" s="23" t="s">
        <v>17</v>
      </c>
      <c r="AN453" s="24" t="s">
        <v>17</v>
      </c>
      <c r="AO453" s="24" t="s">
        <v>17</v>
      </c>
      <c r="AP453" s="20" t="s">
        <v>17</v>
      </c>
      <c r="AQ453" s="20" t="s">
        <v>17</v>
      </c>
      <c r="AR453" s="20" t="s">
        <v>17</v>
      </c>
      <c r="AS453" s="21"/>
      <c r="AT453" s="20"/>
      <c r="AU453" s="4"/>
      <c r="AV453" s="20"/>
      <c r="AW453" s="20" t="s">
        <v>17</v>
      </c>
      <c r="AX453" s="20" t="s">
        <v>17</v>
      </c>
      <c r="AY453" s="20" t="s">
        <v>17</v>
      </c>
      <c r="AZ453" s="5"/>
      <c r="BA453" s="6"/>
      <c r="BB453" s="4"/>
      <c r="BC453" s="6"/>
      <c r="BD453" s="6"/>
      <c r="BE453" s="6"/>
      <c r="BF453" s="7"/>
    </row>
    <row r="454" spans="1:58" ht="18" customHeight="1">
      <c r="A454" s="106" t="s">
        <v>15</v>
      </c>
      <c r="B454" s="93" t="s">
        <v>432</v>
      </c>
      <c r="C454" s="28">
        <v>639.245</v>
      </c>
      <c r="D454" s="28">
        <v>639.36500000000001</v>
      </c>
      <c r="E454" s="28">
        <v>639.30500000000006</v>
      </c>
      <c r="F454" s="28">
        <v>639.30500000000006</v>
      </c>
      <c r="G454" s="29">
        <v>29896.983872058499</v>
      </c>
      <c r="H454" s="29">
        <v>25487.732940460501</v>
      </c>
      <c r="I454" s="27">
        <f t="shared" si="19"/>
        <v>3</v>
      </c>
      <c r="J454" s="27">
        <f t="shared" si="20"/>
        <v>3</v>
      </c>
      <c r="K454" s="27">
        <f t="shared" si="18"/>
        <v>2</v>
      </c>
      <c r="L454" s="25">
        <v>368.02572383333336</v>
      </c>
      <c r="M454" s="25">
        <v>370.30553142982717</v>
      </c>
      <c r="N454" s="38">
        <v>0.48099083666105119</v>
      </c>
      <c r="O454" s="38">
        <v>-3.5385310382912705</v>
      </c>
      <c r="P454" s="71">
        <v>-5.4640024691806621</v>
      </c>
      <c r="Q454" s="53">
        <v>44109</v>
      </c>
      <c r="R454" s="23">
        <v>9</v>
      </c>
      <c r="S454" s="24">
        <v>368.74501850000001</v>
      </c>
      <c r="T454" s="24">
        <v>371.05274993862906</v>
      </c>
      <c r="U454" s="20">
        <v>0.48439158619850708</v>
      </c>
      <c r="V454" s="20">
        <v>-3.4481080854730228</v>
      </c>
      <c r="W454" s="20">
        <v>-5.3856744302670512</v>
      </c>
      <c r="X454" s="22">
        <v>44109</v>
      </c>
      <c r="Y454" s="23">
        <v>9</v>
      </c>
      <c r="Z454" s="24">
        <v>366.55320699999999</v>
      </c>
      <c r="AA454" s="24">
        <v>368.81858138415259</v>
      </c>
      <c r="AB454" s="20">
        <v>0.47834412924618874</v>
      </c>
      <c r="AC454" s="20">
        <v>-3.6289539911095181</v>
      </c>
      <c r="AD454" s="20">
        <v>-5.5423305080942731</v>
      </c>
      <c r="AE454" s="22"/>
      <c r="AF454" s="23"/>
      <c r="AG454" s="24"/>
      <c r="AH454" s="24"/>
      <c r="AI454" s="20" t="s">
        <v>17</v>
      </c>
      <c r="AJ454" s="20"/>
      <c r="AK454" s="20"/>
      <c r="AL454" s="22">
        <v>44217</v>
      </c>
      <c r="AM454" s="23" t="s">
        <v>88</v>
      </c>
      <c r="AN454" s="24">
        <v>368.77894600000002</v>
      </c>
      <c r="AO454" s="24">
        <v>371.04526296669974</v>
      </c>
      <c r="AP454" s="20">
        <v>0.4802367945384578</v>
      </c>
      <c r="AQ454" s="20"/>
      <c r="AR454" s="20"/>
      <c r="AS454" s="21"/>
      <c r="AT454" s="20"/>
      <c r="AU454" s="4"/>
      <c r="AV454" s="20"/>
      <c r="AW454" s="20" t="s">
        <v>17</v>
      </c>
      <c r="AX454" s="20" t="s">
        <v>17</v>
      </c>
      <c r="AY454" s="20" t="s">
        <v>17</v>
      </c>
      <c r="AZ454" s="5"/>
      <c r="BA454" s="6"/>
      <c r="BB454" s="4"/>
      <c r="BC454" s="6"/>
      <c r="BD454" s="6"/>
      <c r="BE454" s="6"/>
      <c r="BF454" s="7"/>
    </row>
    <row r="455" spans="1:58" ht="18" customHeight="1">
      <c r="A455" s="107" t="s">
        <v>15</v>
      </c>
      <c r="B455" s="93" t="s">
        <v>433</v>
      </c>
      <c r="C455" s="28">
        <v>640.80999999999995</v>
      </c>
      <c r="D455" s="28">
        <v>640.92999999999995</v>
      </c>
      <c r="E455" s="28">
        <v>640.86999999999989</v>
      </c>
      <c r="F455" s="28">
        <v>640.86999999999989</v>
      </c>
      <c r="G455" s="29">
        <v>30007.857911771702</v>
      </c>
      <c r="H455" s="29">
        <v>25627.459352164398</v>
      </c>
      <c r="I455" s="27">
        <f t="shared" si="19"/>
        <v>2</v>
      </c>
      <c r="J455" s="27">
        <f t="shared" si="20"/>
        <v>2</v>
      </c>
      <c r="K455" s="27">
        <f t="shared" si="18"/>
        <v>1</v>
      </c>
      <c r="L455" s="25">
        <v>369.126622</v>
      </c>
      <c r="M455" s="25">
        <v>371.43935504897451</v>
      </c>
      <c r="N455" s="38">
        <v>0.48493930679416319</v>
      </c>
      <c r="O455" s="38">
        <v>-4.1765515734739633</v>
      </c>
      <c r="P455" s="71">
        <v>-6.1118693892223686</v>
      </c>
      <c r="Q455" s="53">
        <v>43888</v>
      </c>
      <c r="R455" s="23">
        <v>9</v>
      </c>
      <c r="S455" s="24">
        <v>369.03853300000003</v>
      </c>
      <c r="T455" s="24">
        <v>371.34542111778859</v>
      </c>
      <c r="U455" s="1">
        <v>0.48382945393710131</v>
      </c>
      <c r="V455" s="2">
        <v>-4.1765515734739633</v>
      </c>
      <c r="W455" s="2">
        <v>-6.1118693892223686</v>
      </c>
      <c r="X455" s="22">
        <v>44102</v>
      </c>
      <c r="Y455" s="23" t="s">
        <v>88</v>
      </c>
      <c r="Z455" s="24">
        <v>369.21471099999997</v>
      </c>
      <c r="AA455" s="24">
        <v>371.53328898016042</v>
      </c>
      <c r="AB455" s="1">
        <v>0.48604915965122508</v>
      </c>
      <c r="AC455" s="2"/>
      <c r="AD455" s="2"/>
      <c r="AE455" s="22"/>
      <c r="AF455" s="23"/>
      <c r="AG455" s="24" t="s">
        <v>17</v>
      </c>
      <c r="AH455" s="24" t="s">
        <v>17</v>
      </c>
      <c r="AI455" s="1" t="s">
        <v>17</v>
      </c>
      <c r="AJ455" s="2" t="s">
        <v>17</v>
      </c>
      <c r="AK455" s="2" t="s">
        <v>17</v>
      </c>
      <c r="AL455" s="22" t="s">
        <v>17</v>
      </c>
      <c r="AM455" s="23" t="s">
        <v>17</v>
      </c>
      <c r="AN455" s="24"/>
      <c r="AO455" s="24" t="s">
        <v>17</v>
      </c>
      <c r="AP455" s="20" t="s">
        <v>17</v>
      </c>
      <c r="AQ455" s="20" t="s">
        <v>17</v>
      </c>
      <c r="AR455" s="20" t="s">
        <v>17</v>
      </c>
      <c r="AS455" s="3"/>
      <c r="AT455" s="2"/>
      <c r="AU455" s="4"/>
      <c r="AV455" s="2"/>
      <c r="AW455" s="1" t="s">
        <v>17</v>
      </c>
      <c r="AX455" s="2" t="s">
        <v>17</v>
      </c>
      <c r="AY455" s="2" t="s">
        <v>17</v>
      </c>
      <c r="AZ455" s="5"/>
      <c r="BA455" s="6"/>
      <c r="BB455" s="4"/>
      <c r="BC455" s="6"/>
      <c r="BD455" s="6"/>
      <c r="BE455" s="6"/>
      <c r="BF455" s="7"/>
    </row>
    <row r="456" spans="1:58" ht="18" customHeight="1">
      <c r="A456" s="106" t="s">
        <v>15</v>
      </c>
      <c r="B456" s="93" t="s">
        <v>434</v>
      </c>
      <c r="C456" s="28">
        <v>642.17999999999995</v>
      </c>
      <c r="D456" s="28">
        <v>642.29999999999995</v>
      </c>
      <c r="E456" s="28">
        <v>642.24</v>
      </c>
      <c r="F456" s="28">
        <v>642.24</v>
      </c>
      <c r="G456" s="29">
        <v>30100.059400468501</v>
      </c>
      <c r="H456" s="29">
        <v>25756.199600645399</v>
      </c>
      <c r="I456" s="27">
        <f t="shared" si="19"/>
        <v>1</v>
      </c>
      <c r="J456" s="27">
        <f t="shared" si="20"/>
        <v>1</v>
      </c>
      <c r="K456" s="27">
        <f t="shared" si="18"/>
        <v>1</v>
      </c>
      <c r="L456" s="25">
        <v>364.80816950000002</v>
      </c>
      <c r="M456" s="25">
        <v>367.04997881764547</v>
      </c>
      <c r="N456" s="38">
        <v>0.47502504014795832</v>
      </c>
      <c r="O456" s="38">
        <v>-3.9553818763036208</v>
      </c>
      <c r="P456" s="71">
        <v>-5.8554820368954541</v>
      </c>
      <c r="Q456" s="53">
        <v>44144</v>
      </c>
      <c r="R456" s="23">
        <v>9</v>
      </c>
      <c r="S456" s="24">
        <v>364.80816950000002</v>
      </c>
      <c r="T456" s="24">
        <v>367.04997881764547</v>
      </c>
      <c r="U456" s="20">
        <v>0.47502504014795832</v>
      </c>
      <c r="V456" s="20">
        <v>-3.9553818763036208</v>
      </c>
      <c r="W456" s="20">
        <v>-5.8554820368954541</v>
      </c>
      <c r="X456" s="22" t="s">
        <v>17</v>
      </c>
      <c r="Y456" s="23"/>
      <c r="Z456" s="24" t="s">
        <v>17</v>
      </c>
      <c r="AA456" s="24" t="s">
        <v>17</v>
      </c>
      <c r="AB456" s="20" t="s">
        <v>17</v>
      </c>
      <c r="AC456" s="20" t="s">
        <v>17</v>
      </c>
      <c r="AD456" s="20" t="s">
        <v>17</v>
      </c>
      <c r="AE456" s="22"/>
      <c r="AF456" s="23"/>
      <c r="AG456" s="24" t="s">
        <v>17</v>
      </c>
      <c r="AH456" s="24" t="s">
        <v>17</v>
      </c>
      <c r="AI456" s="20" t="s">
        <v>17</v>
      </c>
      <c r="AJ456" s="20" t="s">
        <v>17</v>
      </c>
      <c r="AK456" s="20" t="s">
        <v>17</v>
      </c>
      <c r="AL456" s="22" t="s">
        <v>17</v>
      </c>
      <c r="AM456" s="23" t="s">
        <v>17</v>
      </c>
      <c r="AN456" s="24" t="s">
        <v>17</v>
      </c>
      <c r="AO456" s="24" t="s">
        <v>17</v>
      </c>
      <c r="AP456" s="20" t="s">
        <v>17</v>
      </c>
      <c r="AQ456" s="20" t="s">
        <v>17</v>
      </c>
      <c r="AR456" s="20" t="s">
        <v>17</v>
      </c>
      <c r="AS456" s="21"/>
      <c r="AT456" s="20"/>
      <c r="AU456" s="4"/>
      <c r="AV456" s="20"/>
      <c r="AW456" s="20" t="s">
        <v>17</v>
      </c>
      <c r="AX456" s="20" t="s">
        <v>17</v>
      </c>
      <c r="AY456" s="20" t="s">
        <v>17</v>
      </c>
      <c r="AZ456" s="5"/>
      <c r="BA456" s="6"/>
      <c r="BB456" s="4"/>
      <c r="BC456" s="6"/>
      <c r="BD456" s="6"/>
      <c r="BE456" s="6"/>
      <c r="BF456" s="7"/>
    </row>
    <row r="457" spans="1:58" ht="18" customHeight="1">
      <c r="A457" s="106" t="s">
        <v>15</v>
      </c>
      <c r="B457" s="93" t="s">
        <v>435</v>
      </c>
      <c r="C457" s="28">
        <v>643.17999999999995</v>
      </c>
      <c r="D457" s="28">
        <v>643.29999999999995</v>
      </c>
      <c r="E457" s="28">
        <v>643.24</v>
      </c>
      <c r="F457" s="28">
        <v>643.24</v>
      </c>
      <c r="G457" s="29">
        <v>30165.993183283899</v>
      </c>
      <c r="H457" s="29">
        <v>25860.0160242725</v>
      </c>
      <c r="I457" s="27">
        <f t="shared" si="19"/>
        <v>1</v>
      </c>
      <c r="J457" s="27">
        <f t="shared" si="20"/>
        <v>1</v>
      </c>
      <c r="K457" s="27">
        <f t="shared" si="18"/>
        <v>1</v>
      </c>
      <c r="L457" s="25">
        <v>364.25977649999999</v>
      </c>
      <c r="M457" s="25">
        <v>366.51321888820627</v>
      </c>
      <c r="N457" s="38">
        <v>0.4788204923493744</v>
      </c>
      <c r="O457" s="38">
        <v>-5.3521861670859927</v>
      </c>
      <c r="P457" s="71">
        <v>-7.2674681364834903</v>
      </c>
      <c r="Q457" s="53">
        <v>44117</v>
      </c>
      <c r="R457" s="23">
        <v>9</v>
      </c>
      <c r="S457" s="24">
        <v>364.25977649999999</v>
      </c>
      <c r="T457" s="24">
        <v>366.51321888820627</v>
      </c>
      <c r="U457" s="20">
        <v>0.4788204923493744</v>
      </c>
      <c r="V457" s="20">
        <v>-5.3521861670859927</v>
      </c>
      <c r="W457" s="20">
        <v>-7.2674681364834903</v>
      </c>
      <c r="X457" s="22" t="s">
        <v>17</v>
      </c>
      <c r="Y457" s="23"/>
      <c r="Z457" s="24" t="s">
        <v>17</v>
      </c>
      <c r="AA457" s="24" t="s">
        <v>17</v>
      </c>
      <c r="AB457" s="20" t="s">
        <v>17</v>
      </c>
      <c r="AC457" s="20" t="s">
        <v>17</v>
      </c>
      <c r="AD457" s="20" t="s">
        <v>17</v>
      </c>
      <c r="AE457" s="22"/>
      <c r="AF457" s="23"/>
      <c r="AG457" s="24" t="s">
        <v>17</v>
      </c>
      <c r="AH457" s="24" t="s">
        <v>17</v>
      </c>
      <c r="AI457" s="20" t="s">
        <v>17</v>
      </c>
      <c r="AJ457" s="20" t="s">
        <v>17</v>
      </c>
      <c r="AK457" s="20" t="s">
        <v>17</v>
      </c>
      <c r="AL457" s="22" t="s">
        <v>17</v>
      </c>
      <c r="AM457" s="23" t="s">
        <v>17</v>
      </c>
      <c r="AN457" s="24" t="s">
        <v>17</v>
      </c>
      <c r="AO457" s="24" t="s">
        <v>17</v>
      </c>
      <c r="AP457" s="20" t="s">
        <v>17</v>
      </c>
      <c r="AQ457" s="20" t="s">
        <v>17</v>
      </c>
      <c r="AR457" s="20" t="s">
        <v>17</v>
      </c>
      <c r="AS457" s="21"/>
      <c r="AT457" s="20"/>
      <c r="AU457" s="4"/>
      <c r="AV457" s="20"/>
      <c r="AW457" s="20" t="s">
        <v>17</v>
      </c>
      <c r="AX457" s="20" t="s">
        <v>17</v>
      </c>
      <c r="AY457" s="20" t="s">
        <v>17</v>
      </c>
      <c r="AZ457" s="5"/>
      <c r="BA457" s="6"/>
      <c r="BB457" s="4"/>
      <c r="BC457" s="6"/>
      <c r="BD457" s="6"/>
      <c r="BE457" s="6"/>
      <c r="BF457" s="7"/>
    </row>
    <row r="458" spans="1:58" ht="18" customHeight="1">
      <c r="A458" s="106" t="s">
        <v>15</v>
      </c>
      <c r="B458" s="93" t="s">
        <v>436</v>
      </c>
      <c r="C458" s="28">
        <v>645.17999999999995</v>
      </c>
      <c r="D458" s="28">
        <v>645.29999999999995</v>
      </c>
      <c r="E458" s="28">
        <v>645.24</v>
      </c>
      <c r="F458" s="28">
        <v>645.24</v>
      </c>
      <c r="G458" s="29">
        <v>30307.581061449</v>
      </c>
      <c r="H458" s="29">
        <v>26062.111073984801</v>
      </c>
      <c r="I458" s="27">
        <f t="shared" si="19"/>
        <v>1</v>
      </c>
      <c r="J458" s="27">
        <f t="shared" si="20"/>
        <v>1</v>
      </c>
      <c r="K458" s="27">
        <f t="shared" si="18"/>
        <v>1</v>
      </c>
      <c r="L458" s="25">
        <v>373.00566300000003</v>
      </c>
      <c r="M458" s="25">
        <v>375.25125029767116</v>
      </c>
      <c r="N458" s="38">
        <v>0.46596361295248023</v>
      </c>
      <c r="O458" s="38">
        <v>-4.5206277236666814</v>
      </c>
      <c r="P458" s="71">
        <v>-6.3844821754766024</v>
      </c>
      <c r="Q458" s="53">
        <v>44018</v>
      </c>
      <c r="R458" s="23">
        <v>10</v>
      </c>
      <c r="S458" s="24">
        <v>373.00566300000003</v>
      </c>
      <c r="T458" s="24">
        <v>375.25125029767116</v>
      </c>
      <c r="U458" s="20">
        <v>0.46596361295248023</v>
      </c>
      <c r="V458" s="20">
        <v>-4.5206277236666814</v>
      </c>
      <c r="W458" s="20">
        <v>-6.3844821754766024</v>
      </c>
      <c r="X458" s="22" t="s">
        <v>17</v>
      </c>
      <c r="Y458" s="23"/>
      <c r="Z458" s="24" t="s">
        <v>17</v>
      </c>
      <c r="AA458" s="24" t="s">
        <v>17</v>
      </c>
      <c r="AB458" s="20" t="s">
        <v>17</v>
      </c>
      <c r="AC458" s="20" t="s">
        <v>17</v>
      </c>
      <c r="AD458" s="20" t="s">
        <v>17</v>
      </c>
      <c r="AE458" s="22"/>
      <c r="AF458" s="23"/>
      <c r="AG458" s="24" t="s">
        <v>17</v>
      </c>
      <c r="AH458" s="24" t="s">
        <v>17</v>
      </c>
      <c r="AI458" s="20" t="s">
        <v>17</v>
      </c>
      <c r="AJ458" s="20" t="s">
        <v>17</v>
      </c>
      <c r="AK458" s="20" t="s">
        <v>17</v>
      </c>
      <c r="AL458" s="22" t="s">
        <v>17</v>
      </c>
      <c r="AM458" s="23" t="s">
        <v>17</v>
      </c>
      <c r="AN458" s="24" t="s">
        <v>17</v>
      </c>
      <c r="AO458" s="24" t="s">
        <v>17</v>
      </c>
      <c r="AP458" s="20" t="s">
        <v>17</v>
      </c>
      <c r="AQ458" s="20" t="s">
        <v>17</v>
      </c>
      <c r="AR458" s="20" t="s">
        <v>17</v>
      </c>
      <c r="AS458" s="21"/>
      <c r="AT458" s="20"/>
      <c r="AU458" s="4"/>
      <c r="AV458" s="20"/>
      <c r="AW458" s="20" t="s">
        <v>17</v>
      </c>
      <c r="AX458" s="20" t="s">
        <v>17</v>
      </c>
      <c r="AY458" s="20" t="s">
        <v>17</v>
      </c>
      <c r="AZ458" s="5"/>
      <c r="BA458" s="6"/>
      <c r="BB458" s="4"/>
      <c r="BC458" s="6"/>
      <c r="BD458" s="6"/>
      <c r="BE458" s="6"/>
      <c r="BF458" s="7"/>
    </row>
    <row r="459" spans="1:58" ht="18" customHeight="1">
      <c r="A459" s="107" t="s">
        <v>15</v>
      </c>
      <c r="B459" s="93" t="s">
        <v>437</v>
      </c>
      <c r="C459" s="28">
        <v>646.17999999999995</v>
      </c>
      <c r="D459" s="28">
        <v>646.29999999999995</v>
      </c>
      <c r="E459" s="28">
        <v>646.24</v>
      </c>
      <c r="F459" s="28">
        <v>646.24</v>
      </c>
      <c r="G459" s="29">
        <v>30384.715536394</v>
      </c>
      <c r="H459" s="29">
        <v>26156.43052691</v>
      </c>
      <c r="I459" s="27">
        <f t="shared" si="19"/>
        <v>1</v>
      </c>
      <c r="J459" s="27">
        <f t="shared" si="20"/>
        <v>1</v>
      </c>
      <c r="K459" s="27">
        <f t="shared" si="18"/>
        <v>1</v>
      </c>
      <c r="L459" s="25">
        <v>367.16595199999995</v>
      </c>
      <c r="M459" s="25">
        <v>369.44211104082444</v>
      </c>
      <c r="N459" s="38">
        <v>0.47981927358398124</v>
      </c>
      <c r="O459" s="38">
        <v>-4.3701492288049648</v>
      </c>
      <c r="P459" s="71">
        <v>-6.2894263231408898</v>
      </c>
      <c r="Q459" s="53">
        <v>43900</v>
      </c>
      <c r="R459" s="23">
        <v>9</v>
      </c>
      <c r="S459" s="24">
        <v>367.16595199999995</v>
      </c>
      <c r="T459" s="24">
        <v>369.44211104082444</v>
      </c>
      <c r="U459" s="20">
        <v>0.47981927358398124</v>
      </c>
      <c r="V459" s="20">
        <v>-4.3701492288049648</v>
      </c>
      <c r="W459" s="20">
        <v>-6.2894263231408898</v>
      </c>
      <c r="X459" s="22"/>
      <c r="Y459" s="23"/>
      <c r="Z459" s="24"/>
      <c r="AA459" s="24"/>
      <c r="AB459" s="20"/>
      <c r="AC459" s="20"/>
      <c r="AD459" s="20"/>
      <c r="AE459" s="22"/>
      <c r="AF459" s="23"/>
      <c r="AG459" s="24"/>
      <c r="AH459" s="24"/>
      <c r="AI459" s="20"/>
      <c r="AJ459" s="20"/>
      <c r="AK459" s="20"/>
      <c r="AL459" s="22" t="s">
        <v>17</v>
      </c>
      <c r="AM459" s="23" t="s">
        <v>17</v>
      </c>
      <c r="AN459" s="24" t="s">
        <v>17</v>
      </c>
      <c r="AO459" s="24" t="s">
        <v>17</v>
      </c>
      <c r="AP459" s="20" t="s">
        <v>17</v>
      </c>
      <c r="AQ459" s="20" t="s">
        <v>17</v>
      </c>
      <c r="AR459" s="20" t="s">
        <v>17</v>
      </c>
      <c r="AS459" s="21"/>
      <c r="AT459" s="20"/>
      <c r="AU459" s="4"/>
      <c r="AV459" s="20"/>
      <c r="AW459" s="20" t="s">
        <v>17</v>
      </c>
      <c r="AX459" s="20" t="s">
        <v>17</v>
      </c>
      <c r="AY459" s="20" t="s">
        <v>17</v>
      </c>
      <c r="AZ459" s="5"/>
      <c r="BA459" s="6"/>
      <c r="BB459" s="4"/>
      <c r="BC459" s="6"/>
      <c r="BD459" s="6"/>
      <c r="BE459" s="6"/>
      <c r="BF459" s="7"/>
    </row>
    <row r="460" spans="1:58" ht="18" customHeight="1">
      <c r="A460" s="106" t="s">
        <v>15</v>
      </c>
      <c r="B460" s="93" t="s">
        <v>438</v>
      </c>
      <c r="C460" s="28">
        <v>648.17999999999995</v>
      </c>
      <c r="D460" s="28">
        <v>648.29999999999995</v>
      </c>
      <c r="E460" s="28">
        <v>648.24</v>
      </c>
      <c r="F460" s="28">
        <v>648.24</v>
      </c>
      <c r="G460" s="29">
        <v>30552.7188349524</v>
      </c>
      <c r="H460" s="29">
        <v>26315.8522263821</v>
      </c>
      <c r="I460" s="27">
        <f t="shared" si="19"/>
        <v>3</v>
      </c>
      <c r="J460" s="27">
        <f t="shared" si="20"/>
        <v>3</v>
      </c>
      <c r="K460" s="27">
        <f t="shared" si="18"/>
        <v>2</v>
      </c>
      <c r="L460" s="25">
        <v>369.99027949999999</v>
      </c>
      <c r="M460" s="25">
        <v>372.24311097535843</v>
      </c>
      <c r="N460" s="38">
        <v>0.47206617539245305</v>
      </c>
      <c r="O460" s="38">
        <v>-3.9967731545124119</v>
      </c>
      <c r="P460" s="71">
        <v>-5.8888217229881024</v>
      </c>
      <c r="Q460" s="53">
        <v>44117</v>
      </c>
      <c r="R460" s="23">
        <v>9</v>
      </c>
      <c r="S460" s="24">
        <v>367.458235</v>
      </c>
      <c r="T460" s="24">
        <v>369.69937422487396</v>
      </c>
      <c r="U460" s="20">
        <v>0.47206123521204013</v>
      </c>
      <c r="V460" s="20">
        <v>-4.0559482222207732</v>
      </c>
      <c r="W460" s="20">
        <v>-5.9441931630689337</v>
      </c>
      <c r="X460" s="22">
        <v>44117</v>
      </c>
      <c r="Y460" s="23">
        <v>9</v>
      </c>
      <c r="Z460" s="24">
        <v>371.35533299999997</v>
      </c>
      <c r="AA460" s="24">
        <v>373.62936548023669</v>
      </c>
      <c r="AB460" s="20">
        <v>0.47396304902580511</v>
      </c>
      <c r="AC460" s="20">
        <v>-3.9375980868040505</v>
      </c>
      <c r="AD460" s="20">
        <v>-5.833450282907271</v>
      </c>
      <c r="AE460" s="22">
        <v>44215</v>
      </c>
      <c r="AF460" s="23" t="s">
        <v>88</v>
      </c>
      <c r="AG460" s="24"/>
      <c r="AH460" s="24"/>
      <c r="AI460" s="20">
        <v>0.47017424193951385</v>
      </c>
      <c r="AJ460" s="20"/>
      <c r="AK460" s="20"/>
      <c r="AL460" s="22">
        <v>44222</v>
      </c>
      <c r="AM460" s="23" t="s">
        <v>88</v>
      </c>
      <c r="AN460" s="24">
        <v>371.15727049999998</v>
      </c>
      <c r="AO460" s="24">
        <v>373.40059322096477</v>
      </c>
      <c r="AP460" s="20" t="s">
        <v>17</v>
      </c>
      <c r="AQ460" s="20"/>
      <c r="AR460" s="20"/>
      <c r="AS460" s="21"/>
      <c r="AT460" s="20"/>
      <c r="AU460" s="4"/>
      <c r="AV460" s="20"/>
      <c r="AW460" s="20" t="s">
        <v>17</v>
      </c>
      <c r="AX460" s="20" t="s">
        <v>17</v>
      </c>
      <c r="AY460" s="20" t="s">
        <v>17</v>
      </c>
      <c r="AZ460" s="5"/>
      <c r="BA460" s="6"/>
      <c r="BB460" s="4"/>
      <c r="BC460" s="6"/>
      <c r="BD460" s="6"/>
      <c r="BE460" s="6"/>
      <c r="BF460" s="7"/>
    </row>
    <row r="461" spans="1:58" ht="18" customHeight="1">
      <c r="A461" s="106" t="s">
        <v>15</v>
      </c>
      <c r="B461" s="93" t="s">
        <v>439</v>
      </c>
      <c r="C461" s="28">
        <v>650.29999999999995</v>
      </c>
      <c r="D461" s="28">
        <v>650.41999999999996</v>
      </c>
      <c r="E461" s="28">
        <v>650.3599999999999</v>
      </c>
      <c r="F461" s="28">
        <v>650.3599999999999</v>
      </c>
      <c r="G461" s="29">
        <v>30727.881835125001</v>
      </c>
      <c r="H461" s="29">
        <v>26462.774136432901</v>
      </c>
      <c r="I461" s="27">
        <f t="shared" si="19"/>
        <v>1</v>
      </c>
      <c r="J461" s="27">
        <f t="shared" si="20"/>
        <v>1</v>
      </c>
      <c r="K461" s="27">
        <f t="shared" si="18"/>
        <v>1</v>
      </c>
      <c r="L461" s="25">
        <v>375.85701549999999</v>
      </c>
      <c r="M461" s="25">
        <v>378.11893676001262</v>
      </c>
      <c r="N461" s="38">
        <v>0.46579230328225307</v>
      </c>
      <c r="O461" s="38">
        <v>-3.5071781324397255</v>
      </c>
      <c r="P461" s="71">
        <v>-5.3703473455687378</v>
      </c>
      <c r="Q461" s="53">
        <v>43881</v>
      </c>
      <c r="R461" s="23">
        <v>9</v>
      </c>
      <c r="S461" s="24">
        <v>375.85701549999999</v>
      </c>
      <c r="T461" s="24">
        <v>378.11893676001262</v>
      </c>
      <c r="U461" s="20">
        <v>0.46579230328225307</v>
      </c>
      <c r="V461" s="20">
        <v>-3.5071781324397255</v>
      </c>
      <c r="W461" s="20">
        <v>-5.3703473455687378</v>
      </c>
      <c r="X461" s="22" t="s">
        <v>17</v>
      </c>
      <c r="Y461" s="23"/>
      <c r="Z461" s="24" t="s">
        <v>17</v>
      </c>
      <c r="AA461" s="24" t="s">
        <v>17</v>
      </c>
      <c r="AB461" s="20" t="s">
        <v>17</v>
      </c>
      <c r="AC461" s="20" t="s">
        <v>17</v>
      </c>
      <c r="AD461" s="20" t="s">
        <v>17</v>
      </c>
      <c r="AE461" s="22"/>
      <c r="AF461" s="23"/>
      <c r="AG461" s="24" t="s">
        <v>17</v>
      </c>
      <c r="AH461" s="24" t="s">
        <v>17</v>
      </c>
      <c r="AI461" s="20" t="s">
        <v>17</v>
      </c>
      <c r="AJ461" s="20" t="s">
        <v>17</v>
      </c>
      <c r="AK461" s="20" t="s">
        <v>17</v>
      </c>
      <c r="AL461" s="22" t="s">
        <v>17</v>
      </c>
      <c r="AM461" s="23" t="s">
        <v>17</v>
      </c>
      <c r="AN461" s="24"/>
      <c r="AO461" s="24" t="s">
        <v>17</v>
      </c>
      <c r="AP461" s="20" t="s">
        <v>17</v>
      </c>
      <c r="AQ461" s="20" t="s">
        <v>17</v>
      </c>
      <c r="AR461" s="20" t="s">
        <v>17</v>
      </c>
      <c r="AS461" s="21"/>
      <c r="AT461" s="20"/>
      <c r="AU461" s="4"/>
      <c r="AV461" s="20"/>
      <c r="AW461" s="20" t="s">
        <v>17</v>
      </c>
      <c r="AX461" s="20" t="s">
        <v>17</v>
      </c>
      <c r="AY461" s="20" t="s">
        <v>17</v>
      </c>
      <c r="AZ461" s="5"/>
      <c r="BA461" s="6"/>
      <c r="BB461" s="4"/>
      <c r="BC461" s="6"/>
      <c r="BD461" s="6"/>
      <c r="BE461" s="6"/>
      <c r="BF461" s="7"/>
    </row>
    <row r="462" spans="1:58" ht="18" customHeight="1">
      <c r="A462" s="106" t="s">
        <v>15</v>
      </c>
      <c r="B462" s="93" t="s">
        <v>440</v>
      </c>
      <c r="C462" s="28">
        <v>651.30999999999995</v>
      </c>
      <c r="D462" s="28">
        <v>651.41999999999996</v>
      </c>
      <c r="E462" s="28">
        <v>651.36500000000001</v>
      </c>
      <c r="F462" s="28">
        <v>651.36500000000001</v>
      </c>
      <c r="G462" s="29">
        <v>30813.500561769801</v>
      </c>
      <c r="H462" s="29">
        <v>26537.162604093301</v>
      </c>
      <c r="I462" s="27">
        <f t="shared" si="19"/>
        <v>1</v>
      </c>
      <c r="J462" s="27">
        <f t="shared" si="20"/>
        <v>1</v>
      </c>
      <c r="K462" s="27">
        <f t="shared" si="18"/>
        <v>1</v>
      </c>
      <c r="L462" s="25">
        <v>372.814279</v>
      </c>
      <c r="M462" s="25">
        <v>375.11603100857053</v>
      </c>
      <c r="N462" s="38">
        <v>0.47786308160668867</v>
      </c>
      <c r="O462" s="38">
        <v>-4.7720629266099213</v>
      </c>
      <c r="P462" s="71">
        <v>-6.6835152530366759</v>
      </c>
      <c r="Q462" s="53">
        <v>44025</v>
      </c>
      <c r="R462" s="23">
        <v>10</v>
      </c>
      <c r="S462" s="24">
        <v>372.814279</v>
      </c>
      <c r="T462" s="24">
        <v>375.11603100857053</v>
      </c>
      <c r="U462" s="20">
        <v>0.47786308160668867</v>
      </c>
      <c r="V462" s="20">
        <v>-4.7720629266099213</v>
      </c>
      <c r="W462" s="20">
        <v>-6.6835152530366759</v>
      </c>
      <c r="X462" s="22" t="s">
        <v>17</v>
      </c>
      <c r="Y462" s="23"/>
      <c r="Z462" s="24" t="s">
        <v>17</v>
      </c>
      <c r="AA462" s="24" t="s">
        <v>17</v>
      </c>
      <c r="AB462" s="20" t="s">
        <v>17</v>
      </c>
      <c r="AC462" s="20" t="s">
        <v>17</v>
      </c>
      <c r="AD462" s="20" t="s">
        <v>17</v>
      </c>
      <c r="AE462" s="22"/>
      <c r="AF462" s="23"/>
      <c r="AG462" s="24" t="s">
        <v>17</v>
      </c>
      <c r="AH462" s="24" t="s">
        <v>17</v>
      </c>
      <c r="AI462" s="20" t="s">
        <v>17</v>
      </c>
      <c r="AJ462" s="20" t="s">
        <v>17</v>
      </c>
      <c r="AK462" s="20" t="s">
        <v>17</v>
      </c>
      <c r="AL462" s="22" t="s">
        <v>17</v>
      </c>
      <c r="AM462" s="23" t="s">
        <v>17</v>
      </c>
      <c r="AN462" s="24" t="s">
        <v>17</v>
      </c>
      <c r="AO462" s="24" t="s">
        <v>17</v>
      </c>
      <c r="AP462" s="20" t="s">
        <v>17</v>
      </c>
      <c r="AQ462" s="20" t="s">
        <v>17</v>
      </c>
      <c r="AR462" s="20" t="s">
        <v>17</v>
      </c>
      <c r="AS462" s="21"/>
      <c r="AT462" s="20"/>
      <c r="AU462" s="4"/>
      <c r="AV462" s="20"/>
      <c r="AW462" s="20" t="s">
        <v>17</v>
      </c>
      <c r="AX462" s="20" t="s">
        <v>17</v>
      </c>
      <c r="AY462" s="20" t="s">
        <v>17</v>
      </c>
      <c r="AZ462" s="5"/>
      <c r="BA462" s="6"/>
      <c r="BB462" s="4"/>
      <c r="BC462" s="6"/>
      <c r="BD462" s="6"/>
      <c r="BE462" s="6"/>
      <c r="BF462" s="7"/>
    </row>
    <row r="463" spans="1:58" ht="18" customHeight="1">
      <c r="A463" s="107" t="s">
        <v>15</v>
      </c>
      <c r="B463" s="93" t="s">
        <v>441</v>
      </c>
      <c r="C463" s="28">
        <v>653.63499999999999</v>
      </c>
      <c r="D463" s="28">
        <v>653.755</v>
      </c>
      <c r="E463" s="28">
        <v>653.69499999999994</v>
      </c>
      <c r="F463" s="28">
        <v>653.69499999999994</v>
      </c>
      <c r="G463" s="29">
        <v>31027.403664756199</v>
      </c>
      <c r="H463" s="29">
        <v>26719.429224941399</v>
      </c>
      <c r="I463" s="27">
        <f t="shared" si="19"/>
        <v>1</v>
      </c>
      <c r="J463" s="27">
        <f t="shared" si="20"/>
        <v>1</v>
      </c>
      <c r="K463" s="27">
        <f t="shared" si="18"/>
        <v>1</v>
      </c>
      <c r="L463" s="25">
        <v>381.16684350000003</v>
      </c>
      <c r="M463" s="25">
        <v>383.48813454058632</v>
      </c>
      <c r="N463" s="38">
        <v>0.47135917583940312</v>
      </c>
      <c r="O463" s="38">
        <v>-5.5926466034973421</v>
      </c>
      <c r="P463" s="71">
        <v>-7.4780833068549546</v>
      </c>
      <c r="Q463" s="53">
        <v>43899</v>
      </c>
      <c r="R463" s="23">
        <v>9</v>
      </c>
      <c r="S463" s="24">
        <v>381.16684350000003</v>
      </c>
      <c r="T463" s="24">
        <v>383.48813454058632</v>
      </c>
      <c r="U463" s="20">
        <v>0.47135917583940312</v>
      </c>
      <c r="V463" s="20">
        <v>-5.5926466034973421</v>
      </c>
      <c r="W463" s="20">
        <v>-7.4780833068549546</v>
      </c>
      <c r="X463" s="22" t="s">
        <v>17</v>
      </c>
      <c r="Y463" s="23"/>
      <c r="Z463" s="24" t="s">
        <v>17</v>
      </c>
      <c r="AA463" s="24" t="s">
        <v>17</v>
      </c>
      <c r="AB463" s="20" t="s">
        <v>17</v>
      </c>
      <c r="AC463" s="20" t="s">
        <v>17</v>
      </c>
      <c r="AD463" s="20" t="s">
        <v>17</v>
      </c>
      <c r="AE463" s="22" t="s">
        <v>17</v>
      </c>
      <c r="AF463" s="23"/>
      <c r="AG463" s="24" t="s">
        <v>17</v>
      </c>
      <c r="AH463" s="24" t="s">
        <v>17</v>
      </c>
      <c r="AI463" s="20" t="s">
        <v>17</v>
      </c>
      <c r="AJ463" s="20" t="s">
        <v>17</v>
      </c>
      <c r="AK463" s="20" t="s">
        <v>17</v>
      </c>
      <c r="AL463" s="22" t="s">
        <v>17</v>
      </c>
      <c r="AM463" s="23" t="s">
        <v>17</v>
      </c>
      <c r="AN463" s="24" t="s">
        <v>17</v>
      </c>
      <c r="AO463" s="24" t="s">
        <v>17</v>
      </c>
      <c r="AP463" s="20" t="s">
        <v>17</v>
      </c>
      <c r="AQ463" s="20" t="s">
        <v>17</v>
      </c>
      <c r="AR463" s="20" t="s">
        <v>17</v>
      </c>
      <c r="AS463" s="21"/>
      <c r="AT463" s="20"/>
      <c r="AU463" s="4"/>
      <c r="AV463" s="20"/>
      <c r="AW463" s="20" t="s">
        <v>17</v>
      </c>
      <c r="AX463" s="20" t="s">
        <v>17</v>
      </c>
      <c r="AY463" s="20" t="s">
        <v>17</v>
      </c>
      <c r="AZ463" s="5"/>
      <c r="BA463" s="6"/>
      <c r="BB463" s="4"/>
      <c r="BC463" s="6"/>
      <c r="BD463" s="6"/>
      <c r="BE463" s="6"/>
      <c r="BF463" s="7"/>
    </row>
    <row r="464" spans="1:58" ht="18" customHeight="1">
      <c r="A464" s="106" t="s">
        <v>15</v>
      </c>
      <c r="B464" s="93" t="s">
        <v>442</v>
      </c>
      <c r="C464" s="28">
        <v>656.2</v>
      </c>
      <c r="D464" s="28">
        <v>656.32</v>
      </c>
      <c r="E464" s="28">
        <v>656.26</v>
      </c>
      <c r="F464" s="28">
        <v>656.26</v>
      </c>
      <c r="G464" s="29">
        <v>31234.629235647801</v>
      </c>
      <c r="H464" s="29">
        <v>26948.363749534401</v>
      </c>
      <c r="I464" s="27">
        <f t="shared" si="19"/>
        <v>1</v>
      </c>
      <c r="J464" s="27">
        <f t="shared" si="20"/>
        <v>1</v>
      </c>
      <c r="K464" s="27">
        <f t="shared" si="18"/>
        <v>1</v>
      </c>
      <c r="L464" s="25">
        <v>387.76886366666668</v>
      </c>
      <c r="M464" s="25">
        <v>390.1460108814216</v>
      </c>
      <c r="N464" s="38">
        <v>0.47448297102681281</v>
      </c>
      <c r="O464" s="38">
        <v>-6.0819708293985419</v>
      </c>
      <c r="P464" s="71">
        <v>-7.9799027135057932</v>
      </c>
      <c r="Q464" s="53">
        <v>44118</v>
      </c>
      <c r="R464" s="23">
        <v>9</v>
      </c>
      <c r="S464" s="24">
        <v>387.76886366666668</v>
      </c>
      <c r="T464" s="24">
        <v>390.1460108814216</v>
      </c>
      <c r="U464" s="20">
        <v>0.47448297102681281</v>
      </c>
      <c r="V464" s="20">
        <v>-6.0819708293985419</v>
      </c>
      <c r="W464" s="20">
        <v>-7.9799027135057932</v>
      </c>
      <c r="X464" s="22" t="s">
        <v>17</v>
      </c>
      <c r="Y464" s="23"/>
      <c r="Z464" s="24" t="s">
        <v>17</v>
      </c>
      <c r="AA464" s="24" t="s">
        <v>17</v>
      </c>
      <c r="AB464" s="20" t="s">
        <v>17</v>
      </c>
      <c r="AC464" s="20" t="s">
        <v>17</v>
      </c>
      <c r="AD464" s="20" t="s">
        <v>17</v>
      </c>
      <c r="AE464" s="22" t="s">
        <v>17</v>
      </c>
      <c r="AF464" s="23"/>
      <c r="AG464" s="24" t="s">
        <v>17</v>
      </c>
      <c r="AH464" s="24" t="s">
        <v>17</v>
      </c>
      <c r="AI464" s="20" t="s">
        <v>17</v>
      </c>
      <c r="AJ464" s="20" t="s">
        <v>17</v>
      </c>
      <c r="AK464" s="20" t="s">
        <v>17</v>
      </c>
      <c r="AL464" s="22" t="s">
        <v>17</v>
      </c>
      <c r="AM464" s="23" t="s">
        <v>17</v>
      </c>
      <c r="AN464" s="24" t="s">
        <v>17</v>
      </c>
      <c r="AO464" s="24" t="s">
        <v>17</v>
      </c>
      <c r="AP464" s="20" t="s">
        <v>17</v>
      </c>
      <c r="AQ464" s="20" t="s">
        <v>17</v>
      </c>
      <c r="AR464" s="20" t="s">
        <v>17</v>
      </c>
      <c r="AS464" s="21"/>
      <c r="AT464" s="20"/>
      <c r="AU464" s="4"/>
      <c r="AV464" s="20"/>
      <c r="AW464" s="20" t="s">
        <v>17</v>
      </c>
      <c r="AX464" s="20" t="s">
        <v>17</v>
      </c>
      <c r="AY464" s="20" t="s">
        <v>17</v>
      </c>
      <c r="AZ464" s="5"/>
      <c r="BA464" s="6"/>
      <c r="BB464" s="4"/>
      <c r="BC464" s="6"/>
      <c r="BD464" s="6"/>
      <c r="BE464" s="6"/>
      <c r="BF464" s="7"/>
    </row>
    <row r="465" spans="1:58" ht="18" customHeight="1">
      <c r="A465" s="107" t="s">
        <v>15</v>
      </c>
      <c r="B465" s="93" t="s">
        <v>443</v>
      </c>
      <c r="C465" s="28">
        <v>657.75</v>
      </c>
      <c r="D465" s="28">
        <v>657.87</v>
      </c>
      <c r="E465" s="28">
        <v>657.81</v>
      </c>
      <c r="F465" s="28">
        <v>657.81</v>
      </c>
      <c r="G465" s="29">
        <v>31344.566881596998</v>
      </c>
      <c r="H465" s="29">
        <v>27106.210183318901</v>
      </c>
      <c r="I465" s="27">
        <f t="shared" si="19"/>
        <v>1</v>
      </c>
      <c r="J465" s="27">
        <f t="shared" si="20"/>
        <v>2</v>
      </c>
      <c r="K465" s="27">
        <f t="shared" si="18"/>
        <v>1</v>
      </c>
      <c r="L465" s="25">
        <v>391.01062949999999</v>
      </c>
      <c r="M465" s="25">
        <v>393.3913581845419</v>
      </c>
      <c r="N465" s="38">
        <v>0.47230197128922402</v>
      </c>
      <c r="O465" s="38">
        <v>-5.0480036531015404</v>
      </c>
      <c r="P465" s="71">
        <v>-6.9330360501365096</v>
      </c>
      <c r="Q465" s="53">
        <v>43887</v>
      </c>
      <c r="R465" s="23">
        <v>9</v>
      </c>
      <c r="S465" s="24">
        <v>391.01062949999999</v>
      </c>
      <c r="T465" s="24">
        <v>393.3913581845419</v>
      </c>
      <c r="U465" s="1">
        <v>0.47125809925874229</v>
      </c>
      <c r="V465" s="2">
        <v>-5.0480036531015404</v>
      </c>
      <c r="W465" s="2">
        <v>-6.9330360501365096</v>
      </c>
      <c r="X465" s="22">
        <v>44099</v>
      </c>
      <c r="Y465" s="23" t="s">
        <v>88</v>
      </c>
      <c r="Z465" s="24"/>
      <c r="AA465" s="24"/>
      <c r="AB465" s="1">
        <v>0.47334584331970575</v>
      </c>
      <c r="AC465" s="2"/>
      <c r="AD465" s="2"/>
      <c r="AE465" s="22" t="s">
        <v>17</v>
      </c>
      <c r="AF465" s="23"/>
      <c r="AG465" s="24" t="s">
        <v>17</v>
      </c>
      <c r="AH465" s="24" t="s">
        <v>17</v>
      </c>
      <c r="AI465" s="1" t="s">
        <v>17</v>
      </c>
      <c r="AJ465" s="2" t="s">
        <v>17</v>
      </c>
      <c r="AK465" s="2" t="s">
        <v>17</v>
      </c>
      <c r="AL465" s="22" t="s">
        <v>17</v>
      </c>
      <c r="AM465" s="23" t="s">
        <v>17</v>
      </c>
      <c r="AN465" s="24" t="s">
        <v>17</v>
      </c>
      <c r="AO465" s="24" t="s">
        <v>17</v>
      </c>
      <c r="AP465" s="20" t="s">
        <v>17</v>
      </c>
      <c r="AQ465" s="20" t="s">
        <v>17</v>
      </c>
      <c r="AR465" s="20" t="s">
        <v>17</v>
      </c>
      <c r="AS465" s="3"/>
      <c r="AT465" s="2"/>
      <c r="AU465" s="4"/>
      <c r="AV465" s="2"/>
      <c r="AW465" s="1" t="s">
        <v>17</v>
      </c>
      <c r="AX465" s="2" t="s">
        <v>17</v>
      </c>
      <c r="AY465" s="2" t="s">
        <v>17</v>
      </c>
      <c r="AZ465" s="5"/>
      <c r="BA465" s="6"/>
      <c r="BB465" s="4"/>
      <c r="BC465" s="6"/>
      <c r="BD465" s="6"/>
      <c r="BE465" s="6"/>
      <c r="BF465" s="7"/>
    </row>
    <row r="466" spans="1:58" ht="18" customHeight="1">
      <c r="A466" s="106" t="s">
        <v>15</v>
      </c>
      <c r="B466" s="93" t="s">
        <v>444</v>
      </c>
      <c r="C466" s="28">
        <v>658.63</v>
      </c>
      <c r="D466" s="28">
        <v>658.75</v>
      </c>
      <c r="E466" s="28">
        <v>658.69</v>
      </c>
      <c r="F466" s="28">
        <v>658.69</v>
      </c>
      <c r="G466" s="29">
        <v>31408.175356759599</v>
      </c>
      <c r="H466" s="29">
        <v>27197.624712467299</v>
      </c>
      <c r="I466" s="27">
        <f t="shared" si="19"/>
        <v>4</v>
      </c>
      <c r="J466" s="27">
        <f t="shared" si="20"/>
        <v>4</v>
      </c>
      <c r="K466" s="27">
        <f t="shared" si="18"/>
        <v>2</v>
      </c>
      <c r="L466" s="25">
        <v>397.621661125</v>
      </c>
      <c r="M466" s="25">
        <v>400.00499090164271</v>
      </c>
      <c r="N466" s="38">
        <v>0.46507529773565093</v>
      </c>
      <c r="O466" s="38">
        <v>-3.699589648494872</v>
      </c>
      <c r="P466" s="71">
        <v>-5.5469370361567734</v>
      </c>
      <c r="Q466" s="53">
        <v>44110</v>
      </c>
      <c r="R466" s="23">
        <v>9</v>
      </c>
      <c r="S466" s="24">
        <v>397.79971449999999</v>
      </c>
      <c r="T466" s="24">
        <v>400.19480362904443</v>
      </c>
      <c r="U466" s="20">
        <v>0.46600942334440454</v>
      </c>
      <c r="V466" s="20">
        <v>-3.9874461150654072</v>
      </c>
      <c r="W466" s="20">
        <v>-5.8514838084430254</v>
      </c>
      <c r="X466" s="22">
        <v>44110</v>
      </c>
      <c r="Y466" s="23">
        <v>9</v>
      </c>
      <c r="Z466" s="24">
        <v>397.73514299999999</v>
      </c>
      <c r="AA466" s="24">
        <v>400.08695979975801</v>
      </c>
      <c r="AB466" s="20">
        <v>0.45766427048654634</v>
      </c>
      <c r="AC466" s="20">
        <v>-3.4117331819243368</v>
      </c>
      <c r="AD466" s="20">
        <v>-5.2423902638705222</v>
      </c>
      <c r="AE466" s="22">
        <v>44215</v>
      </c>
      <c r="AF466" s="23" t="s">
        <v>88</v>
      </c>
      <c r="AG466" s="24">
        <v>397.42521750000003</v>
      </c>
      <c r="AH466" s="24">
        <v>399.83249109242843</v>
      </c>
      <c r="AI466" s="20">
        <v>0.46882149717153432</v>
      </c>
      <c r="AJ466" s="20"/>
      <c r="AK466" s="20"/>
      <c r="AL466" s="22">
        <v>44217</v>
      </c>
      <c r="AM466" s="23" t="s">
        <v>88</v>
      </c>
      <c r="AN466" s="24">
        <v>397.52656949999999</v>
      </c>
      <c r="AO466" s="24">
        <v>399.90570908533994</v>
      </c>
      <c r="AP466" s="20">
        <v>0.46780599994011851</v>
      </c>
      <c r="AQ466" s="20"/>
      <c r="AR466" s="20"/>
      <c r="AS466" s="21"/>
      <c r="AT466" s="20"/>
      <c r="AU466" s="4"/>
      <c r="AV466" s="20"/>
      <c r="AW466" s="20" t="s">
        <v>17</v>
      </c>
      <c r="AX466" s="20" t="s">
        <v>17</v>
      </c>
      <c r="AY466" s="20" t="s">
        <v>17</v>
      </c>
      <c r="AZ466" s="5"/>
      <c r="BA466" s="6"/>
      <c r="BB466" s="4"/>
      <c r="BC466" s="6"/>
      <c r="BD466" s="6"/>
      <c r="BE466" s="6"/>
      <c r="BF466" s="7"/>
    </row>
    <row r="467" spans="1:58" ht="18" customHeight="1">
      <c r="A467" s="107" t="s">
        <v>15</v>
      </c>
      <c r="B467" s="93" t="s">
        <v>445</v>
      </c>
      <c r="C467" s="28">
        <v>660.2</v>
      </c>
      <c r="D467" s="28">
        <v>660.32</v>
      </c>
      <c r="E467" s="28">
        <v>660.26</v>
      </c>
      <c r="F467" s="28">
        <v>660.26</v>
      </c>
      <c r="G467" s="29">
        <v>31532.1911359265</v>
      </c>
      <c r="H467" s="29">
        <v>27348.821410987399</v>
      </c>
      <c r="I467" s="27">
        <f t="shared" si="19"/>
        <v>1</v>
      </c>
      <c r="J467" s="27">
        <f t="shared" si="20"/>
        <v>1</v>
      </c>
      <c r="K467" s="27">
        <f t="shared" si="18"/>
        <v>1</v>
      </c>
      <c r="L467" s="25">
        <v>397.19746150000003</v>
      </c>
      <c r="M467" s="25">
        <v>399.5481065232359</v>
      </c>
      <c r="N467" s="38">
        <v>0.45805546844035483</v>
      </c>
      <c r="O467" s="38">
        <v>-4.1208921046521629</v>
      </c>
      <c r="P467" s="71">
        <v>-5.9531139784135823</v>
      </c>
      <c r="Q467" s="53">
        <v>43895</v>
      </c>
      <c r="R467" s="23">
        <v>8</v>
      </c>
      <c r="S467" s="24">
        <v>397.19746150000003</v>
      </c>
      <c r="T467" s="24">
        <v>399.5481065232359</v>
      </c>
      <c r="U467" s="20">
        <v>0.45805546844035483</v>
      </c>
      <c r="V467" s="20">
        <v>-4.1208921046521629</v>
      </c>
      <c r="W467" s="20">
        <v>-5.9531139784135823</v>
      </c>
      <c r="X467" s="22" t="s">
        <v>17</v>
      </c>
      <c r="Y467" s="23"/>
      <c r="Z467" s="24" t="s">
        <v>17</v>
      </c>
      <c r="AA467" s="24" t="s">
        <v>17</v>
      </c>
      <c r="AB467" s="20" t="s">
        <v>17</v>
      </c>
      <c r="AC467" s="20" t="s">
        <v>17</v>
      </c>
      <c r="AD467" s="20" t="s">
        <v>17</v>
      </c>
      <c r="AE467" s="22" t="s">
        <v>17</v>
      </c>
      <c r="AF467" s="23"/>
      <c r="AG467" s="24" t="s">
        <v>17</v>
      </c>
      <c r="AH467" s="24" t="s">
        <v>17</v>
      </c>
      <c r="AI467" s="20" t="s">
        <v>17</v>
      </c>
      <c r="AJ467" s="20" t="s">
        <v>17</v>
      </c>
      <c r="AK467" s="20" t="s">
        <v>17</v>
      </c>
      <c r="AL467" s="22" t="s">
        <v>17</v>
      </c>
      <c r="AM467" s="23" t="s">
        <v>17</v>
      </c>
      <c r="AN467" s="24"/>
      <c r="AO467" s="24" t="s">
        <v>17</v>
      </c>
      <c r="AP467" s="20" t="s">
        <v>17</v>
      </c>
      <c r="AQ467" s="20" t="s">
        <v>17</v>
      </c>
      <c r="AR467" s="20" t="s">
        <v>17</v>
      </c>
      <c r="AS467" s="21"/>
      <c r="AT467" s="20"/>
      <c r="AU467" s="4"/>
      <c r="AV467" s="20"/>
      <c r="AW467" s="20" t="s">
        <v>17</v>
      </c>
      <c r="AX467" s="20" t="s">
        <v>17</v>
      </c>
      <c r="AY467" s="20" t="s">
        <v>17</v>
      </c>
      <c r="AZ467" s="5"/>
      <c r="BA467" s="6"/>
      <c r="BB467" s="4"/>
      <c r="BC467" s="6"/>
      <c r="BD467" s="6"/>
      <c r="BE467" s="6"/>
      <c r="BF467" s="7"/>
    </row>
    <row r="468" spans="1:58" ht="18" customHeight="1">
      <c r="A468" s="106" t="s">
        <v>15</v>
      </c>
      <c r="B468" s="93" t="s">
        <v>446</v>
      </c>
      <c r="C468" s="28">
        <v>661.75</v>
      </c>
      <c r="D468" s="28">
        <v>661.86</v>
      </c>
      <c r="E468" s="28">
        <v>661.80500000000006</v>
      </c>
      <c r="F468" s="28">
        <v>661.80500000000006</v>
      </c>
      <c r="G468" s="29">
        <v>31666.3447369475</v>
      </c>
      <c r="H468" s="29">
        <v>27476.700537577901</v>
      </c>
      <c r="I468" s="27">
        <f t="shared" si="19"/>
        <v>1</v>
      </c>
      <c r="J468" s="27">
        <f t="shared" si="20"/>
        <v>1</v>
      </c>
      <c r="K468" s="27">
        <f t="shared" si="18"/>
        <v>1</v>
      </c>
      <c r="L468" s="25">
        <v>408.83659966666664</v>
      </c>
      <c r="M468" s="25">
        <v>411.35858512383436</v>
      </c>
      <c r="N468" s="38">
        <v>0.47745263741805211</v>
      </c>
      <c r="O468" s="38">
        <v>-3.6745288655657404</v>
      </c>
      <c r="P468" s="71">
        <v>-5.5843394152379489</v>
      </c>
      <c r="Q468" s="53">
        <v>44020</v>
      </c>
      <c r="R468" s="23">
        <v>10</v>
      </c>
      <c r="S468" s="24">
        <v>408.83659966666664</v>
      </c>
      <c r="T468" s="24">
        <v>411.35858512383436</v>
      </c>
      <c r="U468" s="20">
        <v>0.47745263741805211</v>
      </c>
      <c r="V468" s="20">
        <v>-3.6745288655657404</v>
      </c>
      <c r="W468" s="20">
        <v>-5.5843394152379489</v>
      </c>
      <c r="X468" s="22" t="s">
        <v>17</v>
      </c>
      <c r="Y468" s="23"/>
      <c r="Z468" s="24" t="s">
        <v>17</v>
      </c>
      <c r="AA468" s="24" t="s">
        <v>17</v>
      </c>
      <c r="AB468" s="20" t="s">
        <v>17</v>
      </c>
      <c r="AC468" s="20" t="s">
        <v>17</v>
      </c>
      <c r="AD468" s="20" t="s">
        <v>17</v>
      </c>
      <c r="AE468" s="22" t="s">
        <v>17</v>
      </c>
      <c r="AF468" s="23"/>
      <c r="AG468" s="24" t="s">
        <v>17</v>
      </c>
      <c r="AH468" s="24" t="s">
        <v>17</v>
      </c>
      <c r="AI468" s="20" t="s">
        <v>17</v>
      </c>
      <c r="AJ468" s="20" t="s">
        <v>17</v>
      </c>
      <c r="AK468" s="20" t="s">
        <v>17</v>
      </c>
      <c r="AL468" s="22" t="s">
        <v>17</v>
      </c>
      <c r="AM468" s="23" t="s">
        <v>17</v>
      </c>
      <c r="AN468" s="24" t="s">
        <v>17</v>
      </c>
      <c r="AO468" s="24" t="s">
        <v>17</v>
      </c>
      <c r="AP468" s="20" t="s">
        <v>17</v>
      </c>
      <c r="AQ468" s="20" t="s">
        <v>17</v>
      </c>
      <c r="AR468" s="20" t="s">
        <v>17</v>
      </c>
      <c r="AS468" s="21"/>
      <c r="AT468" s="20"/>
      <c r="AU468" s="4"/>
      <c r="AV468" s="20"/>
      <c r="AW468" s="20" t="s">
        <v>17</v>
      </c>
      <c r="AX468" s="20" t="s">
        <v>17</v>
      </c>
      <c r="AY468" s="20" t="s">
        <v>17</v>
      </c>
      <c r="AZ468" s="5"/>
      <c r="BA468" s="6"/>
      <c r="BB468" s="4"/>
      <c r="BC468" s="6"/>
      <c r="BD468" s="6"/>
      <c r="BE468" s="6"/>
      <c r="BF468" s="7"/>
    </row>
    <row r="469" spans="1:58" ht="18" customHeight="1">
      <c r="A469" s="106" t="s">
        <v>15</v>
      </c>
      <c r="B469" s="93" t="s">
        <v>447</v>
      </c>
      <c r="C469" s="28">
        <v>663.27499999999998</v>
      </c>
      <c r="D469" s="28">
        <v>663.39499999999998</v>
      </c>
      <c r="E469" s="28">
        <v>663.33500000000004</v>
      </c>
      <c r="F469" s="28">
        <v>663.33500000000004</v>
      </c>
      <c r="G469" s="29">
        <v>31804.8785509708</v>
      </c>
      <c r="H469" s="29">
        <v>27583.803325793298</v>
      </c>
      <c r="I469" s="27">
        <f t="shared" si="19"/>
        <v>3</v>
      </c>
      <c r="J469" s="27">
        <f t="shared" si="20"/>
        <v>3</v>
      </c>
      <c r="K469" s="27">
        <f t="shared" si="18"/>
        <v>2</v>
      </c>
      <c r="L469" s="25">
        <v>421.24411266666658</v>
      </c>
      <c r="M469" s="25">
        <v>423.7871594972201</v>
      </c>
      <c r="N469" s="38">
        <v>0.46987711944757038</v>
      </c>
      <c r="O469" s="38">
        <v>-3.8453767224859714</v>
      </c>
      <c r="P469" s="71">
        <v>-5.7125714254200322</v>
      </c>
      <c r="Q469" s="53">
        <v>44070</v>
      </c>
      <c r="R469" s="23">
        <v>9</v>
      </c>
      <c r="S469" s="24">
        <v>421.84868949999998</v>
      </c>
      <c r="T469" s="24">
        <v>424.40043215478551</v>
      </c>
      <c r="U469" s="20">
        <v>0.46818517247992908</v>
      </c>
      <c r="V469" s="20">
        <v>-3.6489965093370325</v>
      </c>
      <c r="W469" s="20">
        <v>-5.5217371992567488</v>
      </c>
      <c r="X469" s="22">
        <v>44070</v>
      </c>
      <c r="Y469" s="23">
        <v>9</v>
      </c>
      <c r="Z469" s="24">
        <v>421.92399999999998</v>
      </c>
      <c r="AA469" s="24">
        <v>424.4610819012338</v>
      </c>
      <c r="AB469" s="20">
        <v>0.4654121789871013</v>
      </c>
      <c r="AC469" s="20">
        <v>-4.0417569356349103</v>
      </c>
      <c r="AD469" s="20">
        <v>-5.9034056515833155</v>
      </c>
      <c r="AE469" s="22">
        <v>44215</v>
      </c>
      <c r="AF469" s="23" t="s">
        <v>88</v>
      </c>
      <c r="AG469" s="24"/>
      <c r="AH469" s="24"/>
      <c r="AI469" s="20">
        <v>0.47603400687568076</v>
      </c>
      <c r="AJ469" s="20"/>
      <c r="AK469" s="20"/>
      <c r="AL469" s="22">
        <v>44217</v>
      </c>
      <c r="AM469" s="23" t="s">
        <v>88</v>
      </c>
      <c r="AN469" s="24">
        <v>419.95964849999996</v>
      </c>
      <c r="AO469" s="24">
        <v>422.49996443564112</v>
      </c>
      <c r="AP469" s="20" t="s">
        <v>17</v>
      </c>
      <c r="AQ469" s="20"/>
      <c r="AR469" s="20"/>
      <c r="AS469" s="21"/>
      <c r="AT469" s="20"/>
      <c r="AU469" s="4"/>
      <c r="AV469" s="20"/>
      <c r="AW469" s="20" t="s">
        <v>17</v>
      </c>
      <c r="AX469" s="20" t="s">
        <v>17</v>
      </c>
      <c r="AY469" s="20" t="s">
        <v>17</v>
      </c>
      <c r="AZ469" s="5"/>
      <c r="BA469" s="6"/>
      <c r="BB469" s="4"/>
      <c r="BC469" s="6"/>
      <c r="BD469" s="6"/>
      <c r="BE469" s="6"/>
      <c r="BF469" s="7"/>
    </row>
    <row r="470" spans="1:58" ht="18" customHeight="1">
      <c r="A470" s="107" t="s">
        <v>15</v>
      </c>
      <c r="B470" s="111" t="s">
        <v>448</v>
      </c>
      <c r="C470" s="28">
        <v>664.8</v>
      </c>
      <c r="D470" s="28">
        <v>664.92</v>
      </c>
      <c r="E470" s="28">
        <v>664.8599999999999</v>
      </c>
      <c r="F470" s="28">
        <v>664.8599999999999</v>
      </c>
      <c r="G470" s="29">
        <v>31936.564782126301</v>
      </c>
      <c r="H470" s="29">
        <v>27684.286267869</v>
      </c>
      <c r="I470" s="27">
        <f t="shared" si="19"/>
        <v>1</v>
      </c>
      <c r="J470" s="27">
        <f t="shared" si="20"/>
        <v>1</v>
      </c>
      <c r="K470" s="27">
        <f t="shared" si="18"/>
        <v>1</v>
      </c>
      <c r="L470" s="25">
        <v>415.14597549999996</v>
      </c>
      <c r="M470" s="25">
        <v>417.72012525913783</v>
      </c>
      <c r="N470" s="38">
        <v>0.47992178466027546</v>
      </c>
      <c r="O470" s="38">
        <v>-4.0237076103071256</v>
      </c>
      <c r="P470" s="71">
        <v>-5.9433947489482275</v>
      </c>
      <c r="Q470" s="53">
        <v>43886</v>
      </c>
      <c r="R470" s="23">
        <v>9</v>
      </c>
      <c r="S470" s="24">
        <v>415.14597549999996</v>
      </c>
      <c r="T470" s="24">
        <v>417.72012525913783</v>
      </c>
      <c r="U470" s="20">
        <v>0.47992178466027546</v>
      </c>
      <c r="V470" s="20">
        <v>-4.0237076103071256</v>
      </c>
      <c r="W470" s="20">
        <v>-5.9433947489482275</v>
      </c>
      <c r="X470" s="22" t="s">
        <v>17</v>
      </c>
      <c r="Y470" s="23"/>
      <c r="Z470" s="24" t="s">
        <v>17</v>
      </c>
      <c r="AA470" s="24" t="s">
        <v>17</v>
      </c>
      <c r="AB470" s="20" t="s">
        <v>17</v>
      </c>
      <c r="AC470" s="20" t="s">
        <v>17</v>
      </c>
      <c r="AD470" s="20" t="s">
        <v>17</v>
      </c>
      <c r="AE470" s="22" t="s">
        <v>17</v>
      </c>
      <c r="AF470" s="23"/>
      <c r="AG470" s="24" t="s">
        <v>17</v>
      </c>
      <c r="AH470" s="24" t="s">
        <v>17</v>
      </c>
      <c r="AI470" s="20" t="s">
        <v>17</v>
      </c>
      <c r="AJ470" s="20" t="s">
        <v>17</v>
      </c>
      <c r="AK470" s="20" t="s">
        <v>17</v>
      </c>
      <c r="AL470" s="22" t="s">
        <v>17</v>
      </c>
      <c r="AM470" s="23" t="s">
        <v>17</v>
      </c>
      <c r="AN470" s="24"/>
      <c r="AO470" s="24" t="s">
        <v>17</v>
      </c>
      <c r="AP470" s="20" t="s">
        <v>17</v>
      </c>
      <c r="AQ470" s="20" t="s">
        <v>17</v>
      </c>
      <c r="AR470" s="20" t="s">
        <v>17</v>
      </c>
      <c r="AS470" s="21"/>
      <c r="AT470" s="20"/>
      <c r="AU470" s="4"/>
      <c r="AV470" s="20"/>
      <c r="AW470" s="20" t="s">
        <v>17</v>
      </c>
      <c r="AX470" s="20" t="s">
        <v>17</v>
      </c>
      <c r="AY470" s="20" t="s">
        <v>17</v>
      </c>
      <c r="AZ470" s="5"/>
      <c r="BA470" s="6"/>
      <c r="BB470" s="4"/>
      <c r="BC470" s="6"/>
      <c r="BD470" s="6"/>
      <c r="BE470" s="6"/>
      <c r="BF470" s="7"/>
    </row>
    <row r="471" spans="1:58" ht="18" customHeight="1">
      <c r="A471" s="106" t="s">
        <v>15</v>
      </c>
      <c r="B471" s="93" t="s">
        <v>449</v>
      </c>
      <c r="C471" s="28">
        <v>666.32</v>
      </c>
      <c r="D471" s="28">
        <v>666.44</v>
      </c>
      <c r="E471" s="28">
        <v>666.38000000000011</v>
      </c>
      <c r="F471" s="28">
        <v>666.38000000000011</v>
      </c>
      <c r="G471" s="29">
        <v>32060.929737439899</v>
      </c>
      <c r="H471" s="29">
        <v>27787.161426372</v>
      </c>
      <c r="I471" s="27">
        <f t="shared" si="19"/>
        <v>1</v>
      </c>
      <c r="J471" s="27">
        <f t="shared" si="20"/>
        <v>1</v>
      </c>
      <c r="K471" s="27">
        <f t="shared" si="18"/>
        <v>1</v>
      </c>
      <c r="L471" s="25">
        <v>381.06025299999999</v>
      </c>
      <c r="M471" s="25">
        <v>383.34952038461876</v>
      </c>
      <c r="N471" s="38">
        <v>0.46498651242554701</v>
      </c>
      <c r="O471" s="38">
        <v>-3.3949553471130933</v>
      </c>
      <c r="P471" s="71">
        <v>-5.2549013968152813</v>
      </c>
      <c r="Q471" s="53">
        <v>44027</v>
      </c>
      <c r="R471" s="23">
        <v>10</v>
      </c>
      <c r="S471" s="24">
        <v>381.06025299999999</v>
      </c>
      <c r="T471" s="24">
        <v>383.34952038461876</v>
      </c>
      <c r="U471" s="20">
        <v>0.46498651242554701</v>
      </c>
      <c r="V471" s="20">
        <v>-3.3949553471130933</v>
      </c>
      <c r="W471" s="20">
        <v>-5.2549013968152813</v>
      </c>
      <c r="X471" s="22" t="s">
        <v>17</v>
      </c>
      <c r="Y471" s="23"/>
      <c r="Z471" s="24" t="s">
        <v>17</v>
      </c>
      <c r="AA471" s="24" t="s">
        <v>17</v>
      </c>
      <c r="AB471" s="20" t="s">
        <v>17</v>
      </c>
      <c r="AC471" s="20" t="s">
        <v>17</v>
      </c>
      <c r="AD471" s="20" t="s">
        <v>17</v>
      </c>
      <c r="AE471" s="22" t="s">
        <v>17</v>
      </c>
      <c r="AF471" s="23"/>
      <c r="AG471" s="24" t="s">
        <v>17</v>
      </c>
      <c r="AH471" s="24" t="s">
        <v>17</v>
      </c>
      <c r="AI471" s="20" t="s">
        <v>17</v>
      </c>
      <c r="AJ471" s="20" t="s">
        <v>17</v>
      </c>
      <c r="AK471" s="20" t="s">
        <v>17</v>
      </c>
      <c r="AL471" s="22" t="s">
        <v>17</v>
      </c>
      <c r="AM471" s="23" t="s">
        <v>17</v>
      </c>
      <c r="AN471" s="24" t="s">
        <v>17</v>
      </c>
      <c r="AO471" s="24" t="s">
        <v>17</v>
      </c>
      <c r="AP471" s="20" t="s">
        <v>17</v>
      </c>
      <c r="AQ471" s="20" t="s">
        <v>17</v>
      </c>
      <c r="AR471" s="20" t="s">
        <v>17</v>
      </c>
      <c r="AS471" s="21"/>
      <c r="AT471" s="20"/>
      <c r="AU471" s="4"/>
      <c r="AV471" s="20"/>
      <c r="AW471" s="20" t="s">
        <v>17</v>
      </c>
      <c r="AX471" s="20" t="s">
        <v>17</v>
      </c>
      <c r="AY471" s="20" t="s">
        <v>17</v>
      </c>
      <c r="AZ471" s="5"/>
      <c r="BA471" s="6"/>
      <c r="BB471" s="4"/>
      <c r="BC471" s="6"/>
      <c r="BD471" s="6"/>
      <c r="BE471" s="6"/>
      <c r="BF471" s="7"/>
    </row>
    <row r="472" spans="1:58" ht="18" customHeight="1">
      <c r="A472" s="106" t="s">
        <v>15</v>
      </c>
      <c r="B472" s="93" t="s">
        <v>450</v>
      </c>
      <c r="C472" s="28">
        <v>667.82</v>
      </c>
      <c r="D472" s="28">
        <v>667.94</v>
      </c>
      <c r="E472" s="28">
        <v>667.88000000000011</v>
      </c>
      <c r="F472" s="28">
        <v>667.88000000000011</v>
      </c>
      <c r="G472" s="29">
        <v>32177.9390863302</v>
      </c>
      <c r="H472" s="29">
        <v>27883.335499999801</v>
      </c>
      <c r="I472" s="27">
        <f t="shared" si="19"/>
        <v>1</v>
      </c>
      <c r="J472" s="27">
        <f t="shared" si="20"/>
        <v>1</v>
      </c>
      <c r="K472" s="27">
        <f t="shared" si="18"/>
        <v>1</v>
      </c>
      <c r="L472" s="25">
        <v>374.62226399999997</v>
      </c>
      <c r="M472" s="25">
        <v>376.93185953041797</v>
      </c>
      <c r="N472" s="38">
        <v>0.47656981592147929</v>
      </c>
      <c r="O472" s="38">
        <v>-3.8929831948191218</v>
      </c>
      <c r="P472" s="71">
        <v>-5.799262458505039</v>
      </c>
      <c r="Q472" s="53">
        <v>44131</v>
      </c>
      <c r="R472" s="23">
        <v>9</v>
      </c>
      <c r="S472" s="24">
        <v>374.62226399999997</v>
      </c>
      <c r="T472" s="24">
        <v>376.93185953041797</v>
      </c>
      <c r="U472" s="20">
        <v>0.47656981592147929</v>
      </c>
      <c r="V472" s="20">
        <v>-3.8929831948191218</v>
      </c>
      <c r="W472" s="20">
        <v>-5.799262458505039</v>
      </c>
      <c r="X472" s="22" t="s">
        <v>17</v>
      </c>
      <c r="Y472" s="23"/>
      <c r="Z472" s="24" t="s">
        <v>17</v>
      </c>
      <c r="AA472" s="24" t="s">
        <v>17</v>
      </c>
      <c r="AB472" s="20" t="s">
        <v>17</v>
      </c>
      <c r="AC472" s="20" t="s">
        <v>17</v>
      </c>
      <c r="AD472" s="20" t="s">
        <v>17</v>
      </c>
      <c r="AE472" s="22" t="s">
        <v>17</v>
      </c>
      <c r="AF472" s="23"/>
      <c r="AG472" s="24" t="s">
        <v>17</v>
      </c>
      <c r="AH472" s="24" t="s">
        <v>17</v>
      </c>
      <c r="AI472" s="20" t="s">
        <v>17</v>
      </c>
      <c r="AJ472" s="20" t="s">
        <v>17</v>
      </c>
      <c r="AK472" s="20" t="s">
        <v>17</v>
      </c>
      <c r="AL472" s="22" t="s">
        <v>17</v>
      </c>
      <c r="AM472" s="23" t="s">
        <v>17</v>
      </c>
      <c r="AN472" s="24" t="s">
        <v>17</v>
      </c>
      <c r="AO472" s="24" t="s">
        <v>17</v>
      </c>
      <c r="AP472" s="20" t="s">
        <v>17</v>
      </c>
      <c r="AQ472" s="20" t="s">
        <v>17</v>
      </c>
      <c r="AR472" s="20" t="s">
        <v>17</v>
      </c>
      <c r="AS472" s="21"/>
      <c r="AT472" s="20"/>
      <c r="AU472" s="4"/>
      <c r="AV472" s="20"/>
      <c r="AW472" s="20" t="s">
        <v>17</v>
      </c>
      <c r="AX472" s="20" t="s">
        <v>17</v>
      </c>
      <c r="AY472" s="20" t="s">
        <v>17</v>
      </c>
      <c r="AZ472" s="5"/>
      <c r="BA472" s="6"/>
      <c r="BB472" s="4"/>
      <c r="BC472" s="6"/>
      <c r="BD472" s="6"/>
      <c r="BE472" s="6"/>
      <c r="BF472" s="7"/>
    </row>
    <row r="473" spans="1:58" ht="18" customHeight="1">
      <c r="A473" s="107" t="s">
        <v>15</v>
      </c>
      <c r="B473" s="93" t="s">
        <v>451</v>
      </c>
      <c r="C473" s="28">
        <v>669.22</v>
      </c>
      <c r="D473" s="28">
        <v>669.34</v>
      </c>
      <c r="E473" s="28">
        <v>669.28</v>
      </c>
      <c r="F473" s="28">
        <v>669.28</v>
      </c>
      <c r="G473" s="29">
        <v>32283.508849504498</v>
      </c>
      <c r="H473" s="29">
        <v>27969.493173434399</v>
      </c>
      <c r="I473" s="27">
        <f t="shared" si="19"/>
        <v>1</v>
      </c>
      <c r="J473" s="27">
        <f t="shared" si="20"/>
        <v>1</v>
      </c>
      <c r="K473" s="27">
        <f t="shared" si="18"/>
        <v>1</v>
      </c>
      <c r="L473" s="25">
        <v>379.2856185</v>
      </c>
      <c r="M473" s="25">
        <v>381.68083174519165</v>
      </c>
      <c r="N473" s="38">
        <v>0.48878210254010845</v>
      </c>
      <c r="O473" s="38">
        <v>-5.5390510878036148</v>
      </c>
      <c r="P473" s="71">
        <v>-7.4941794979640486</v>
      </c>
      <c r="Q473" s="53">
        <v>43888</v>
      </c>
      <c r="R473" s="23">
        <v>9</v>
      </c>
      <c r="S473" s="24">
        <v>379.2856185</v>
      </c>
      <c r="T473" s="24">
        <v>381.68083174519165</v>
      </c>
      <c r="U473" s="1">
        <v>0.48878210254010845</v>
      </c>
      <c r="V473" s="2">
        <v>-5.5390510878036148</v>
      </c>
      <c r="W473" s="2">
        <v>-7.4941794979640486</v>
      </c>
      <c r="X473" s="22"/>
      <c r="Y473" s="23"/>
      <c r="Z473" s="24"/>
      <c r="AA473" s="24"/>
      <c r="AB473" s="1"/>
      <c r="AC473" s="2"/>
      <c r="AD473" s="2"/>
      <c r="AE473" s="22" t="s">
        <v>17</v>
      </c>
      <c r="AF473" s="23"/>
      <c r="AG473" s="24" t="s">
        <v>17</v>
      </c>
      <c r="AH473" s="24" t="s">
        <v>17</v>
      </c>
      <c r="AI473" s="1" t="s">
        <v>17</v>
      </c>
      <c r="AJ473" s="2" t="s">
        <v>17</v>
      </c>
      <c r="AK473" s="2" t="s">
        <v>17</v>
      </c>
      <c r="AL473" s="22" t="s">
        <v>17</v>
      </c>
      <c r="AM473" s="23" t="s">
        <v>17</v>
      </c>
      <c r="AN473" s="24" t="s">
        <v>17</v>
      </c>
      <c r="AO473" s="24" t="s">
        <v>17</v>
      </c>
      <c r="AP473" s="20" t="s">
        <v>17</v>
      </c>
      <c r="AQ473" s="20" t="s">
        <v>17</v>
      </c>
      <c r="AR473" s="20" t="s">
        <v>17</v>
      </c>
      <c r="AS473" s="3"/>
      <c r="AT473" s="2"/>
      <c r="AU473" s="4"/>
      <c r="AV473" s="2"/>
      <c r="AW473" s="1" t="s">
        <v>17</v>
      </c>
      <c r="AX473" s="2" t="s">
        <v>17</v>
      </c>
      <c r="AY473" s="2" t="s">
        <v>17</v>
      </c>
      <c r="AZ473" s="5"/>
      <c r="BA473" s="6"/>
      <c r="BB473" s="4"/>
      <c r="BC473" s="6"/>
      <c r="BD473" s="6"/>
      <c r="BE473" s="6"/>
      <c r="BF473" s="7"/>
    </row>
    <row r="474" spans="1:58" ht="18" customHeight="1">
      <c r="A474" s="106" t="s">
        <v>15</v>
      </c>
      <c r="B474" s="93" t="s">
        <v>452</v>
      </c>
      <c r="C474" s="28">
        <v>670.9</v>
      </c>
      <c r="D474" s="28">
        <v>671.02</v>
      </c>
      <c r="E474" s="28">
        <v>670.96</v>
      </c>
      <c r="F474" s="28">
        <v>670.96</v>
      </c>
      <c r="G474" s="29">
        <v>32409.0443633707</v>
      </c>
      <c r="H474" s="29">
        <v>28074.058002515099</v>
      </c>
      <c r="I474" s="27">
        <f t="shared" si="19"/>
        <v>2</v>
      </c>
      <c r="J474" s="27">
        <f t="shared" si="20"/>
        <v>3</v>
      </c>
      <c r="K474" s="27">
        <f t="shared" si="18"/>
        <v>2</v>
      </c>
      <c r="L474" s="25">
        <v>387.03166825</v>
      </c>
      <c r="M474" s="25">
        <v>389.45897584474596</v>
      </c>
      <c r="N474" s="38">
        <v>0.48715787576636416</v>
      </c>
      <c r="O474" s="38">
        <v>-4.1719846297562091</v>
      </c>
      <c r="P474" s="71">
        <v>-6.1136629381416396</v>
      </c>
      <c r="Q474" s="53">
        <v>44104</v>
      </c>
      <c r="R474" s="23">
        <v>9</v>
      </c>
      <c r="S474" s="24">
        <v>387.20171049999999</v>
      </c>
      <c r="T474" s="24">
        <v>389.61115023649825</v>
      </c>
      <c r="U474" s="20">
        <v>0.48163305748571972</v>
      </c>
      <c r="V474" s="20">
        <v>-4.1251668174272504</v>
      </c>
      <c r="W474" s="20">
        <v>-6.0516990473701293</v>
      </c>
      <c r="X474" s="22">
        <v>44104</v>
      </c>
      <c r="Y474" s="23">
        <v>9</v>
      </c>
      <c r="Z474" s="24">
        <v>386.861626</v>
      </c>
      <c r="AA474" s="24">
        <v>389.30680145299368</v>
      </c>
      <c r="AB474" s="20">
        <v>0.48920609670699555</v>
      </c>
      <c r="AC474" s="20">
        <v>-4.2188024420851677</v>
      </c>
      <c r="AD474" s="20">
        <v>-6.17562682891315</v>
      </c>
      <c r="AE474" s="22">
        <v>44215</v>
      </c>
      <c r="AF474" s="23" t="s">
        <v>88</v>
      </c>
      <c r="AG474" s="24"/>
      <c r="AH474" s="24"/>
      <c r="AI474" s="20">
        <v>0.4906344731063772</v>
      </c>
      <c r="AJ474" s="20"/>
      <c r="AK474" s="20"/>
      <c r="AL474" s="22"/>
      <c r="AM474" s="23"/>
      <c r="AN474" s="24"/>
      <c r="AO474" s="24" t="s">
        <v>17</v>
      </c>
      <c r="AP474" s="20" t="s">
        <v>17</v>
      </c>
      <c r="AQ474" s="20"/>
      <c r="AR474" s="20"/>
      <c r="AS474" s="21"/>
      <c r="AT474" s="20"/>
      <c r="AU474" s="4"/>
      <c r="AV474" s="20"/>
      <c r="AW474" s="20" t="s">
        <v>17</v>
      </c>
      <c r="AX474" s="20" t="s">
        <v>17</v>
      </c>
      <c r="AY474" s="20" t="s">
        <v>17</v>
      </c>
      <c r="AZ474" s="5"/>
      <c r="BA474" s="6"/>
      <c r="BB474" s="4"/>
      <c r="BC474" s="6"/>
      <c r="BD474" s="6"/>
      <c r="BE474" s="6"/>
      <c r="BF474" s="7"/>
    </row>
    <row r="475" spans="1:58" ht="18" customHeight="1">
      <c r="A475" s="106" t="s">
        <v>15</v>
      </c>
      <c r="B475" s="93" t="s">
        <v>453</v>
      </c>
      <c r="C475" s="28">
        <v>677.85</v>
      </c>
      <c r="D475" s="28">
        <v>677.97</v>
      </c>
      <c r="E475" s="28">
        <v>677.91000000000008</v>
      </c>
      <c r="F475" s="28">
        <v>677.91000000000008</v>
      </c>
      <c r="G475" s="29">
        <v>32975.391636699998</v>
      </c>
      <c r="H475" s="29">
        <v>28545.330147122899</v>
      </c>
      <c r="I475" s="27">
        <f t="shared" si="19"/>
        <v>1</v>
      </c>
      <c r="J475" s="27">
        <f t="shared" si="20"/>
        <v>1</v>
      </c>
      <c r="K475" s="27">
        <f t="shared" si="18"/>
        <v>1</v>
      </c>
      <c r="L475" s="25">
        <v>448.72168399999998</v>
      </c>
      <c r="M475" s="25">
        <v>451.59754745812972</v>
      </c>
      <c r="N475" s="38">
        <v>0.49605369848548797</v>
      </c>
      <c r="O475" s="38">
        <v>-3.5074706329734084</v>
      </c>
      <c r="P475" s="71">
        <v>-5.4916854269153603</v>
      </c>
      <c r="Q475" s="53">
        <v>44047</v>
      </c>
      <c r="R475" s="23">
        <v>10</v>
      </c>
      <c r="S475" s="24">
        <v>448.72168399999998</v>
      </c>
      <c r="T475" s="24">
        <v>451.59754745812972</v>
      </c>
      <c r="U475" s="20">
        <v>0.49605369848548797</v>
      </c>
      <c r="V475" s="20">
        <v>-3.5074706329734084</v>
      </c>
      <c r="W475" s="20">
        <v>-5.4916854269153603</v>
      </c>
      <c r="X475" s="22" t="s">
        <v>17</v>
      </c>
      <c r="Y475" s="23"/>
      <c r="Z475" s="24" t="s">
        <v>17</v>
      </c>
      <c r="AA475" s="24" t="s">
        <v>17</v>
      </c>
      <c r="AB475" s="20" t="s">
        <v>17</v>
      </c>
      <c r="AC475" s="20" t="s">
        <v>17</v>
      </c>
      <c r="AD475" s="20" t="s">
        <v>17</v>
      </c>
      <c r="AE475" s="22" t="s">
        <v>17</v>
      </c>
      <c r="AF475" s="23"/>
      <c r="AG475" s="24" t="s">
        <v>17</v>
      </c>
      <c r="AH475" s="24" t="s">
        <v>17</v>
      </c>
      <c r="AI475" s="20" t="s">
        <v>17</v>
      </c>
      <c r="AJ475" s="20" t="s">
        <v>17</v>
      </c>
      <c r="AK475" s="20" t="s">
        <v>17</v>
      </c>
      <c r="AL475" s="22" t="s">
        <v>17</v>
      </c>
      <c r="AM475" s="23" t="s">
        <v>17</v>
      </c>
      <c r="AN475" s="24"/>
      <c r="AO475" s="24" t="s">
        <v>17</v>
      </c>
      <c r="AP475" s="20" t="s">
        <v>17</v>
      </c>
      <c r="AQ475" s="20" t="s">
        <v>17</v>
      </c>
      <c r="AR475" s="20" t="s">
        <v>17</v>
      </c>
      <c r="AS475" s="21"/>
      <c r="AT475" s="20"/>
      <c r="AU475" s="4"/>
      <c r="AV475" s="20"/>
      <c r="AW475" s="20" t="s">
        <v>17</v>
      </c>
      <c r="AX475" s="20" t="s">
        <v>17</v>
      </c>
      <c r="AY475" s="20" t="s">
        <v>17</v>
      </c>
      <c r="AZ475" s="5"/>
      <c r="BA475" s="6"/>
      <c r="BB475" s="4"/>
      <c r="BC475" s="6"/>
      <c r="BD475" s="6"/>
      <c r="BE475" s="6"/>
      <c r="BF475" s="7"/>
    </row>
    <row r="476" spans="1:58" ht="18" customHeight="1">
      <c r="A476" s="106" t="s">
        <v>15</v>
      </c>
      <c r="B476" s="93" t="s">
        <v>454</v>
      </c>
      <c r="C476" s="28">
        <v>684.28</v>
      </c>
      <c r="D476" s="28">
        <v>684.4</v>
      </c>
      <c r="E476" s="28">
        <v>684.33999999999992</v>
      </c>
      <c r="F476" s="28">
        <v>684.33999999999992</v>
      </c>
      <c r="G476" s="29">
        <v>33506.5522046388</v>
      </c>
      <c r="H476" s="29">
        <v>29113.493566197802</v>
      </c>
      <c r="I476" s="27">
        <f t="shared" si="19"/>
        <v>1</v>
      </c>
      <c r="J476" s="27">
        <f t="shared" si="20"/>
        <v>2</v>
      </c>
      <c r="K476" s="27">
        <f t="shared" si="18"/>
        <v>2</v>
      </c>
      <c r="L476" s="25">
        <v>391.72897899999998</v>
      </c>
      <c r="M476" s="25">
        <v>394.25562297151231</v>
      </c>
      <c r="N476" s="38">
        <v>0.50146734133926785</v>
      </c>
      <c r="O476" s="38">
        <v>-4.0701664208481203</v>
      </c>
      <c r="P476" s="71">
        <v>-6.0760357862051917</v>
      </c>
      <c r="Q476" s="53">
        <v>44048</v>
      </c>
      <c r="R476" s="23">
        <v>10</v>
      </c>
      <c r="S476" s="24"/>
      <c r="T476" s="24"/>
      <c r="U476" s="20">
        <v>0.50371024590378788</v>
      </c>
      <c r="V476" s="20">
        <v>-2.5970525991355631</v>
      </c>
      <c r="W476" s="20">
        <v>-4.6118935827507146</v>
      </c>
      <c r="X476" s="22">
        <v>44048</v>
      </c>
      <c r="Y476" s="23">
        <v>10</v>
      </c>
      <c r="Z476" s="24">
        <v>391.72897899999998</v>
      </c>
      <c r="AA476" s="24">
        <v>394.25562297151231</v>
      </c>
      <c r="AB476" s="20">
        <v>0.49922443677474782</v>
      </c>
      <c r="AC476" s="20">
        <v>-5.5432802425606775</v>
      </c>
      <c r="AD476" s="20">
        <v>-7.5401779896596688</v>
      </c>
      <c r="AE476" s="22" t="s">
        <v>17</v>
      </c>
      <c r="AF476" s="23"/>
      <c r="AG476" s="24" t="s">
        <v>17</v>
      </c>
      <c r="AH476" s="24" t="s">
        <v>17</v>
      </c>
      <c r="AI476" s="20" t="s">
        <v>17</v>
      </c>
      <c r="AJ476" s="20" t="s">
        <v>17</v>
      </c>
      <c r="AK476" s="20" t="s">
        <v>17</v>
      </c>
      <c r="AL476" s="22" t="s">
        <v>17</v>
      </c>
      <c r="AM476" s="23" t="s">
        <v>17</v>
      </c>
      <c r="AN476" s="24" t="s">
        <v>17</v>
      </c>
      <c r="AO476" s="24" t="s">
        <v>17</v>
      </c>
      <c r="AP476" s="20" t="s">
        <v>17</v>
      </c>
      <c r="AQ476" s="20" t="s">
        <v>17</v>
      </c>
      <c r="AR476" s="20" t="s">
        <v>17</v>
      </c>
      <c r="AS476" s="21"/>
      <c r="AT476" s="20"/>
      <c r="AU476" s="4"/>
      <c r="AV476" s="20"/>
      <c r="AW476" s="20" t="s">
        <v>17</v>
      </c>
      <c r="AX476" s="20" t="s">
        <v>17</v>
      </c>
      <c r="AY476" s="20" t="s">
        <v>17</v>
      </c>
      <c r="AZ476" s="5"/>
      <c r="BA476" s="6"/>
      <c r="BB476" s="4"/>
      <c r="BC476" s="6"/>
      <c r="BD476" s="6"/>
      <c r="BE476" s="6"/>
      <c r="BF476" s="7"/>
    </row>
    <row r="477" spans="1:58" ht="18" customHeight="1">
      <c r="A477" s="106" t="s">
        <v>15</v>
      </c>
      <c r="B477" s="93" t="s">
        <v>455</v>
      </c>
      <c r="C477" s="28">
        <v>691.27</v>
      </c>
      <c r="D477" s="28">
        <v>691.39</v>
      </c>
      <c r="E477" s="28">
        <v>691.32999999999993</v>
      </c>
      <c r="F477" s="28">
        <v>691.32999999999993</v>
      </c>
      <c r="G477" s="29">
        <v>34046.821365324999</v>
      </c>
      <c r="H477" s="29">
        <v>29678.225025084001</v>
      </c>
      <c r="I477" s="27">
        <f t="shared" si="19"/>
        <v>2</v>
      </c>
      <c r="J477" s="27">
        <f t="shared" si="20"/>
        <v>2</v>
      </c>
      <c r="K477" s="27">
        <f t="shared" si="18"/>
        <v>2</v>
      </c>
      <c r="L477" s="25">
        <v>396.54183175000003</v>
      </c>
      <c r="M477" s="25">
        <v>399.08128742490152</v>
      </c>
      <c r="N477" s="38">
        <v>0.49566617893870291</v>
      </c>
      <c r="O477" s="38">
        <v>-5.6608764576808195</v>
      </c>
      <c r="P477" s="71">
        <v>-7.6435411734356311</v>
      </c>
      <c r="Q477" s="53">
        <v>44070</v>
      </c>
      <c r="R477" s="23">
        <v>9</v>
      </c>
      <c r="S477" s="24">
        <v>396.58706599999999</v>
      </c>
      <c r="T477" s="24">
        <v>399.1180093286963</v>
      </c>
      <c r="U477" s="20">
        <v>0.49394814729919467</v>
      </c>
      <c r="V477" s="20">
        <v>-5.6551098760974083</v>
      </c>
      <c r="W477" s="20">
        <v>-7.630902465294187</v>
      </c>
      <c r="X477" s="22">
        <v>44070</v>
      </c>
      <c r="Y477" s="23">
        <v>9</v>
      </c>
      <c r="Z477" s="24">
        <v>396.49659750000001</v>
      </c>
      <c r="AA477" s="24">
        <v>399.04456552110673</v>
      </c>
      <c r="AB477" s="20">
        <v>0.49738421057821114</v>
      </c>
      <c r="AC477" s="20">
        <v>-5.6666430392642297</v>
      </c>
      <c r="AD477" s="20">
        <v>-7.6561798815770743</v>
      </c>
      <c r="AE477" s="22" t="s">
        <v>17</v>
      </c>
      <c r="AF477" s="23"/>
      <c r="AG477" s="24" t="s">
        <v>17</v>
      </c>
      <c r="AH477" s="24" t="s">
        <v>17</v>
      </c>
      <c r="AI477" s="20" t="s">
        <v>17</v>
      </c>
      <c r="AJ477" s="20" t="s">
        <v>17</v>
      </c>
      <c r="AK477" s="20" t="s">
        <v>17</v>
      </c>
      <c r="AL477" s="22" t="s">
        <v>17</v>
      </c>
      <c r="AM477" s="23" t="s">
        <v>17</v>
      </c>
      <c r="AN477" s="24" t="s">
        <v>17</v>
      </c>
      <c r="AO477" s="24" t="s">
        <v>17</v>
      </c>
      <c r="AP477" s="20" t="s">
        <v>17</v>
      </c>
      <c r="AQ477" s="20" t="s">
        <v>17</v>
      </c>
      <c r="AR477" s="20" t="s">
        <v>17</v>
      </c>
      <c r="AS477" s="21"/>
      <c r="AT477" s="20"/>
      <c r="AU477" s="4"/>
      <c r="AV477" s="20"/>
      <c r="AW477" s="20" t="s">
        <v>17</v>
      </c>
      <c r="AX477" s="20" t="s">
        <v>17</v>
      </c>
      <c r="AY477" s="20" t="s">
        <v>17</v>
      </c>
      <c r="AZ477" s="5"/>
      <c r="BA477" s="6"/>
      <c r="BB477" s="4"/>
      <c r="BC477" s="6"/>
      <c r="BD477" s="6"/>
      <c r="BE477" s="6"/>
      <c r="BF477" s="7"/>
    </row>
    <row r="478" spans="1:58" ht="18" customHeight="1">
      <c r="A478" s="106" t="s">
        <v>15</v>
      </c>
      <c r="B478" s="93" t="s">
        <v>456</v>
      </c>
      <c r="C478" s="28">
        <v>698.2</v>
      </c>
      <c r="D478" s="28">
        <v>698.32</v>
      </c>
      <c r="E478" s="28">
        <v>698.26</v>
      </c>
      <c r="F478" s="28">
        <v>698.26</v>
      </c>
      <c r="G478" s="29">
        <v>34618.592339849398</v>
      </c>
      <c r="H478" s="29">
        <v>30214.892684553801</v>
      </c>
      <c r="I478" s="27">
        <f t="shared" si="19"/>
        <v>2</v>
      </c>
      <c r="J478" s="27">
        <f t="shared" si="20"/>
        <v>2</v>
      </c>
      <c r="K478" s="27">
        <f t="shared" si="18"/>
        <v>2</v>
      </c>
      <c r="L478" s="25">
        <v>397.886055</v>
      </c>
      <c r="M478" s="25">
        <v>400.38455066593571</v>
      </c>
      <c r="N478" s="38">
        <v>0.48602668916164493</v>
      </c>
      <c r="O478" s="38">
        <v>-3.8837909291439821</v>
      </c>
      <c r="P478" s="71">
        <v>-5.8278976857905622</v>
      </c>
      <c r="Q478" s="53">
        <v>44011</v>
      </c>
      <c r="R478" s="23">
        <v>10</v>
      </c>
      <c r="S478" s="24">
        <v>398.34002299999997</v>
      </c>
      <c r="T478" s="24">
        <v>400.82750336396396</v>
      </c>
      <c r="U478" s="20">
        <v>0.48332938901118894</v>
      </c>
      <c r="V478" s="20">
        <v>-3.2489809365604527</v>
      </c>
      <c r="W478" s="20">
        <v>-5.1822984926052085</v>
      </c>
      <c r="X478" s="22">
        <v>44011</v>
      </c>
      <c r="Y478" s="23">
        <v>10</v>
      </c>
      <c r="Z478" s="24">
        <v>397.43208700000002</v>
      </c>
      <c r="AA478" s="24">
        <v>399.94159796790746</v>
      </c>
      <c r="AB478" s="20">
        <v>0.48872398931210093</v>
      </c>
      <c r="AC478" s="20">
        <v>-4.5186009217275114</v>
      </c>
      <c r="AD478" s="20">
        <v>-6.4734968789759151</v>
      </c>
      <c r="AE478" s="22" t="s">
        <v>17</v>
      </c>
      <c r="AF478" s="23"/>
      <c r="AG478" s="24" t="s">
        <v>17</v>
      </c>
      <c r="AH478" s="24" t="s">
        <v>17</v>
      </c>
      <c r="AI478" s="20" t="s">
        <v>17</v>
      </c>
      <c r="AJ478" s="20" t="s">
        <v>17</v>
      </c>
      <c r="AK478" s="20" t="s">
        <v>17</v>
      </c>
      <c r="AL478" s="22" t="s">
        <v>17</v>
      </c>
      <c r="AM478" s="23" t="s">
        <v>17</v>
      </c>
      <c r="AN478" s="24" t="s">
        <v>17</v>
      </c>
      <c r="AO478" s="24" t="s">
        <v>17</v>
      </c>
      <c r="AP478" s="20" t="s">
        <v>17</v>
      </c>
      <c r="AQ478" s="20" t="s">
        <v>17</v>
      </c>
      <c r="AR478" s="20" t="s">
        <v>17</v>
      </c>
      <c r="AS478" s="21"/>
      <c r="AT478" s="20"/>
      <c r="AU478" s="4"/>
      <c r="AV478" s="20"/>
      <c r="AW478" s="20" t="s">
        <v>17</v>
      </c>
      <c r="AX478" s="20" t="s">
        <v>17</v>
      </c>
      <c r="AY478" s="20" t="s">
        <v>17</v>
      </c>
      <c r="AZ478" s="5"/>
      <c r="BA478" s="6"/>
      <c r="BB478" s="4"/>
      <c r="BC478" s="6"/>
      <c r="BD478" s="6"/>
      <c r="BE478" s="6"/>
      <c r="BF478" s="7"/>
    </row>
    <row r="479" spans="1:58" ht="18" customHeight="1">
      <c r="A479" s="106" t="s">
        <v>15</v>
      </c>
      <c r="B479" s="93" t="s">
        <v>457</v>
      </c>
      <c r="C479" s="28">
        <v>704.9</v>
      </c>
      <c r="D479" s="28">
        <v>705.02</v>
      </c>
      <c r="E479" s="28">
        <v>704.96</v>
      </c>
      <c r="F479" s="28">
        <v>704.96</v>
      </c>
      <c r="G479" s="29">
        <v>35179.623456851099</v>
      </c>
      <c r="H479" s="29">
        <v>30797.142656989799</v>
      </c>
      <c r="I479" s="27">
        <f t="shared" si="19"/>
        <v>2</v>
      </c>
      <c r="J479" s="27">
        <f t="shared" si="20"/>
        <v>2</v>
      </c>
      <c r="K479" s="27">
        <f t="shared" si="18"/>
        <v>2</v>
      </c>
      <c r="L479" s="25">
        <v>404.53450450000003</v>
      </c>
      <c r="M479" s="25">
        <v>407.05510702677805</v>
      </c>
      <c r="N479" s="38">
        <v>0.48226434051057421</v>
      </c>
      <c r="O479" s="38">
        <v>-2.896035143902409</v>
      </c>
      <c r="P479" s="71">
        <v>-4.8250925059447063</v>
      </c>
      <c r="Q479" s="53">
        <v>44041</v>
      </c>
      <c r="R479" s="23">
        <v>10</v>
      </c>
      <c r="S479" s="24">
        <v>404.76150800000005</v>
      </c>
      <c r="T479" s="24">
        <v>407.29523972798904</v>
      </c>
      <c r="U479" s="20">
        <v>0.48450572249625345</v>
      </c>
      <c r="V479" s="20">
        <v>-3.7058003615015878</v>
      </c>
      <c r="W479" s="20">
        <v>-5.6438232514866016</v>
      </c>
      <c r="X479" s="22">
        <v>44041</v>
      </c>
      <c r="Y479" s="23">
        <v>10</v>
      </c>
      <c r="Z479" s="24">
        <v>404.307501</v>
      </c>
      <c r="AA479" s="24">
        <v>406.81497432556705</v>
      </c>
      <c r="AB479" s="20">
        <v>0.48002295852489496</v>
      </c>
      <c r="AC479" s="20">
        <v>-2.0862699263032303</v>
      </c>
      <c r="AD479" s="20">
        <v>-4.0063617604028101</v>
      </c>
      <c r="AE479" s="22" t="s">
        <v>17</v>
      </c>
      <c r="AF479" s="23"/>
      <c r="AG479" s="24" t="s">
        <v>17</v>
      </c>
      <c r="AH479" s="24" t="s">
        <v>17</v>
      </c>
      <c r="AI479" s="20" t="s">
        <v>17</v>
      </c>
      <c r="AJ479" s="20" t="s">
        <v>17</v>
      </c>
      <c r="AK479" s="20" t="s">
        <v>17</v>
      </c>
      <c r="AL479" s="22" t="s">
        <v>17</v>
      </c>
      <c r="AM479" s="23" t="s">
        <v>17</v>
      </c>
      <c r="AN479" s="24" t="s">
        <v>17</v>
      </c>
      <c r="AO479" s="24" t="s">
        <v>17</v>
      </c>
      <c r="AP479" s="20" t="s">
        <v>17</v>
      </c>
      <c r="AQ479" s="20" t="s">
        <v>17</v>
      </c>
      <c r="AR479" s="20" t="s">
        <v>17</v>
      </c>
      <c r="AS479" s="21"/>
      <c r="AT479" s="20"/>
      <c r="AU479" s="4"/>
      <c r="AV479" s="20"/>
      <c r="AW479" s="20" t="s">
        <v>17</v>
      </c>
      <c r="AX479" s="20" t="s">
        <v>17</v>
      </c>
      <c r="AY479" s="20" t="s">
        <v>17</v>
      </c>
      <c r="AZ479" s="5"/>
      <c r="BA479" s="6"/>
      <c r="BB479" s="4"/>
      <c r="BC479" s="6"/>
      <c r="BD479" s="6"/>
      <c r="BE479" s="6"/>
      <c r="BF479" s="7"/>
    </row>
    <row r="480" spans="1:58" ht="18" customHeight="1">
      <c r="A480" s="106" t="s">
        <v>15</v>
      </c>
      <c r="B480" s="93" t="s">
        <v>458</v>
      </c>
      <c r="C480" s="28">
        <v>711.8</v>
      </c>
      <c r="D480" s="28">
        <v>711.92</v>
      </c>
      <c r="E480" s="28">
        <v>711.8599999999999</v>
      </c>
      <c r="F480" s="28">
        <v>711.8599999999999</v>
      </c>
      <c r="G480" s="29">
        <v>35680.199378755096</v>
      </c>
      <c r="H480" s="29">
        <v>31391.086649645302</v>
      </c>
      <c r="I480" s="27">
        <f t="shared" si="19"/>
        <v>2</v>
      </c>
      <c r="J480" s="27">
        <f t="shared" si="20"/>
        <v>2</v>
      </c>
      <c r="K480" s="27">
        <f t="shared" si="18"/>
        <v>2</v>
      </c>
      <c r="L480" s="25">
        <v>409.07669099999998</v>
      </c>
      <c r="M480" s="25">
        <v>411.62912193152226</v>
      </c>
      <c r="N480" s="38">
        <v>0.4829359854339188</v>
      </c>
      <c r="O480" s="38">
        <v>-1.9772828133308162</v>
      </c>
      <c r="P480" s="71">
        <v>-3.9090267550664914</v>
      </c>
      <c r="Q480" s="53">
        <v>44046</v>
      </c>
      <c r="R480" s="23">
        <v>10</v>
      </c>
      <c r="S480" s="24">
        <v>409.79298749999998</v>
      </c>
      <c r="T480" s="24">
        <v>412.34043402799097</v>
      </c>
      <c r="U480" s="20">
        <v>0.48114728634840453</v>
      </c>
      <c r="V480" s="20">
        <v>-1.9837494522868537</v>
      </c>
      <c r="W480" s="20">
        <v>-3.9083385976804719</v>
      </c>
      <c r="X480" s="22">
        <v>44046</v>
      </c>
      <c r="Y480" s="23">
        <v>10</v>
      </c>
      <c r="Z480" s="24">
        <v>408.36039449999998</v>
      </c>
      <c r="AA480" s="24">
        <v>410.91780983505362</v>
      </c>
      <c r="AB480" s="20">
        <v>0.48472468451943307</v>
      </c>
      <c r="AC480" s="20">
        <v>-1.9708161743747787</v>
      </c>
      <c r="AD480" s="20">
        <v>-3.909714912452511</v>
      </c>
      <c r="AE480" s="22" t="s">
        <v>17</v>
      </c>
      <c r="AF480" s="23"/>
      <c r="AG480" s="24" t="s">
        <v>17</v>
      </c>
      <c r="AH480" s="24" t="s">
        <v>17</v>
      </c>
      <c r="AI480" s="20" t="s">
        <v>17</v>
      </c>
      <c r="AJ480" s="20" t="s">
        <v>17</v>
      </c>
      <c r="AK480" s="20" t="s">
        <v>17</v>
      </c>
      <c r="AL480" s="22" t="s">
        <v>17</v>
      </c>
      <c r="AM480" s="23" t="s">
        <v>17</v>
      </c>
      <c r="AN480" s="24" t="s">
        <v>17</v>
      </c>
      <c r="AO480" s="24" t="s">
        <v>17</v>
      </c>
      <c r="AP480" s="20" t="s">
        <v>17</v>
      </c>
      <c r="AQ480" s="20" t="s">
        <v>17</v>
      </c>
      <c r="AR480" s="20" t="s">
        <v>17</v>
      </c>
      <c r="AS480" s="21"/>
      <c r="AT480" s="20"/>
      <c r="AU480" s="4"/>
      <c r="AV480" s="20"/>
      <c r="AW480" s="20" t="s">
        <v>17</v>
      </c>
      <c r="AX480" s="20" t="s">
        <v>17</v>
      </c>
      <c r="AY480" s="20" t="s">
        <v>17</v>
      </c>
      <c r="AZ480" s="5"/>
      <c r="BA480" s="6"/>
      <c r="BB480" s="4"/>
      <c r="BC480" s="6"/>
      <c r="BD480" s="6"/>
      <c r="BE480" s="6"/>
      <c r="BF480" s="7"/>
    </row>
    <row r="481" spans="1:58" ht="18" customHeight="1">
      <c r="A481" s="106" t="s">
        <v>15</v>
      </c>
      <c r="B481" s="93" t="s">
        <v>459</v>
      </c>
      <c r="C481" s="28">
        <v>718.48</v>
      </c>
      <c r="D481" s="28">
        <v>718.6</v>
      </c>
      <c r="E481" s="28">
        <v>718.54</v>
      </c>
      <c r="F481" s="28">
        <v>718.54</v>
      </c>
      <c r="G481" s="29">
        <v>36205.854853729201</v>
      </c>
      <c r="H481" s="29">
        <v>31992.178801881</v>
      </c>
      <c r="I481" s="27">
        <f t="shared" si="19"/>
        <v>2</v>
      </c>
      <c r="J481" s="27">
        <f t="shared" si="20"/>
        <v>2</v>
      </c>
      <c r="K481" s="27">
        <f t="shared" si="18"/>
        <v>2</v>
      </c>
      <c r="L481" s="25">
        <v>432.52491750000002</v>
      </c>
      <c r="M481" s="25">
        <v>435.26372968559281</v>
      </c>
      <c r="N481" s="38">
        <v>0.49010475290989231</v>
      </c>
      <c r="O481" s="38">
        <v>-3.9922643013869941</v>
      </c>
      <c r="P481" s="71">
        <v>-5.9526833130265633</v>
      </c>
      <c r="Q481" s="53">
        <v>44075</v>
      </c>
      <c r="R481" s="23">
        <v>9</v>
      </c>
      <c r="S481" s="24">
        <v>432.37998900000002</v>
      </c>
      <c r="T481" s="24">
        <v>435.12368701885947</v>
      </c>
      <c r="U481" s="20">
        <v>0.49114328409749497</v>
      </c>
      <c r="V481" s="20">
        <v>-3.9160331166284701</v>
      </c>
      <c r="W481" s="20">
        <v>-5.88060625301845</v>
      </c>
      <c r="X481" s="22">
        <v>44075</v>
      </c>
      <c r="Y481" s="23">
        <v>9</v>
      </c>
      <c r="Z481" s="24">
        <v>432.66984600000001</v>
      </c>
      <c r="AA481" s="24">
        <v>435.40377235232609</v>
      </c>
      <c r="AB481" s="20">
        <v>0.48906622172228964</v>
      </c>
      <c r="AC481" s="20">
        <v>-4.068495486145518</v>
      </c>
      <c r="AD481" s="20">
        <v>-6.0247603730346766</v>
      </c>
      <c r="AE481" s="22" t="s">
        <v>17</v>
      </c>
      <c r="AF481" s="23"/>
      <c r="AG481" s="24" t="s">
        <v>17</v>
      </c>
      <c r="AH481" s="24" t="s">
        <v>17</v>
      </c>
      <c r="AI481" s="20" t="s">
        <v>17</v>
      </c>
      <c r="AJ481" s="20" t="s">
        <v>17</v>
      </c>
      <c r="AK481" s="20" t="s">
        <v>17</v>
      </c>
      <c r="AL481" s="22" t="s">
        <v>17</v>
      </c>
      <c r="AM481" s="23" t="s">
        <v>17</v>
      </c>
      <c r="AN481" s="24" t="s">
        <v>17</v>
      </c>
      <c r="AO481" s="24" t="s">
        <v>17</v>
      </c>
      <c r="AP481" s="20" t="s">
        <v>17</v>
      </c>
      <c r="AQ481" s="20" t="s">
        <v>17</v>
      </c>
      <c r="AR481" s="20" t="s">
        <v>17</v>
      </c>
      <c r="AS481" s="21"/>
      <c r="AT481" s="20"/>
      <c r="AU481" s="4"/>
      <c r="AV481" s="20"/>
      <c r="AW481" s="20" t="s">
        <v>17</v>
      </c>
      <c r="AX481" s="20" t="s">
        <v>17</v>
      </c>
      <c r="AY481" s="20" t="s">
        <v>17</v>
      </c>
      <c r="AZ481" s="5"/>
      <c r="BA481" s="6"/>
      <c r="BB481" s="4"/>
      <c r="BC481" s="6"/>
      <c r="BD481" s="6"/>
      <c r="BE481" s="6"/>
      <c r="BF481" s="7"/>
    </row>
    <row r="482" spans="1:58" ht="18" customHeight="1">
      <c r="A482" s="106" t="s">
        <v>15</v>
      </c>
      <c r="B482" s="93" t="s">
        <v>460</v>
      </c>
      <c r="C482" s="28">
        <v>725.56</v>
      </c>
      <c r="D482" s="28">
        <v>725.68</v>
      </c>
      <c r="E482" s="28">
        <v>725.61999999999989</v>
      </c>
      <c r="F482" s="28">
        <v>725.61999999999989</v>
      </c>
      <c r="G482" s="29">
        <v>36763.167133383002</v>
      </c>
      <c r="H482" s="29">
        <v>32584.590984541501</v>
      </c>
      <c r="I482" s="27">
        <f t="shared" si="19"/>
        <v>4</v>
      </c>
      <c r="J482" s="27">
        <f t="shared" si="20"/>
        <v>3</v>
      </c>
      <c r="K482" s="27">
        <f t="shared" si="18"/>
        <v>2</v>
      </c>
      <c r="L482" s="25">
        <v>415.51979549999999</v>
      </c>
      <c r="M482" s="25">
        <v>418.07842556193907</v>
      </c>
      <c r="N482" s="38">
        <v>0.477000223171616</v>
      </c>
      <c r="O482" s="38">
        <v>-5.0244625330476129</v>
      </c>
      <c r="P482" s="71">
        <v>-6.9291896496853074</v>
      </c>
      <c r="Q482" s="53">
        <v>44069</v>
      </c>
      <c r="R482" s="23">
        <v>9</v>
      </c>
      <c r="S482" s="24">
        <v>414.537283</v>
      </c>
      <c r="T482" s="24">
        <v>417.08351118029447</v>
      </c>
      <c r="U482" s="20">
        <v>0.47541317180610498</v>
      </c>
      <c r="V482" s="20">
        <v>-4.7481362956409701</v>
      </c>
      <c r="W482" s="20">
        <v>-6.64978898286539</v>
      </c>
      <c r="X482" s="22">
        <v>44069</v>
      </c>
      <c r="Y482" s="23">
        <v>9</v>
      </c>
      <c r="Z482" s="24">
        <v>413.52128649999997</v>
      </c>
      <c r="AA482" s="24">
        <v>416.06948695556224</v>
      </c>
      <c r="AB482" s="20">
        <v>0.47695038651274224</v>
      </c>
      <c r="AC482" s="20">
        <v>-5.3007887704542567</v>
      </c>
      <c r="AD482" s="20">
        <v>-7.2085903165052256</v>
      </c>
      <c r="AE482" s="39">
        <v>44278</v>
      </c>
      <c r="AF482" s="40" t="s">
        <v>88</v>
      </c>
      <c r="AG482" s="24">
        <v>419.76862449999999</v>
      </c>
      <c r="AH482" s="24">
        <v>422.34698534892112</v>
      </c>
      <c r="AI482" s="54"/>
      <c r="AJ482" s="55"/>
      <c r="AK482" s="55"/>
      <c r="AL482" s="22">
        <v>44385</v>
      </c>
      <c r="AM482" s="23" t="s">
        <v>832</v>
      </c>
      <c r="AN482" s="24">
        <v>414.25198799999998</v>
      </c>
      <c r="AO482" s="24">
        <v>416.81371876297828</v>
      </c>
      <c r="AP482" s="20">
        <v>0.47863711119600083</v>
      </c>
      <c r="AQ482" s="20"/>
      <c r="AR482" s="20"/>
      <c r="AS482" s="21"/>
      <c r="AT482" s="20"/>
      <c r="AU482" s="4"/>
      <c r="AV482" s="20"/>
      <c r="AW482" s="20" t="s">
        <v>17</v>
      </c>
      <c r="AX482" s="20" t="s">
        <v>17</v>
      </c>
      <c r="AY482" s="20" t="s">
        <v>17</v>
      </c>
      <c r="AZ482" s="5"/>
      <c r="BA482" s="6"/>
      <c r="BB482" s="4"/>
      <c r="BC482" s="6"/>
      <c r="BD482" s="6"/>
      <c r="BE482" s="6"/>
      <c r="BF482" s="7"/>
    </row>
    <row r="483" spans="1:58" ht="18" customHeight="1">
      <c r="A483" s="106" t="s">
        <v>15</v>
      </c>
      <c r="B483" s="93" t="s">
        <v>461</v>
      </c>
      <c r="C483" s="28">
        <v>732.5</v>
      </c>
      <c r="D483" s="28">
        <v>732.62</v>
      </c>
      <c r="E483" s="28">
        <v>732.56</v>
      </c>
      <c r="F483" s="28">
        <v>732.56</v>
      </c>
      <c r="G483" s="29">
        <v>37319.896528508601</v>
      </c>
      <c r="H483" s="29">
        <v>33092.899398255402</v>
      </c>
      <c r="I483" s="27">
        <f t="shared" si="19"/>
        <v>2</v>
      </c>
      <c r="J483" s="27">
        <f t="shared" si="20"/>
        <v>2</v>
      </c>
      <c r="K483" s="27">
        <f t="shared" si="18"/>
        <v>2</v>
      </c>
      <c r="L483" s="25">
        <v>420.17968374999998</v>
      </c>
      <c r="M483" s="25">
        <v>422.86649565258085</v>
      </c>
      <c r="N483" s="38">
        <v>0.49490300589971614</v>
      </c>
      <c r="O483" s="38">
        <v>-4.5494053451899941</v>
      </c>
      <c r="P483" s="71">
        <v>-6.5290173687888586</v>
      </c>
      <c r="Q483" s="53">
        <v>44039</v>
      </c>
      <c r="R483" s="23">
        <v>10</v>
      </c>
      <c r="S483" s="24">
        <v>421.45891349999999</v>
      </c>
      <c r="T483" s="24">
        <v>424.19374987854007</v>
      </c>
      <c r="U483" s="20">
        <v>0.5022426517071743</v>
      </c>
      <c r="V483" s="20">
        <v>-4.5452560454503077</v>
      </c>
      <c r="W483" s="20">
        <v>-6.5542266522790049</v>
      </c>
      <c r="X483" s="22">
        <v>44039</v>
      </c>
      <c r="Y483" s="23">
        <v>10</v>
      </c>
      <c r="Z483" s="24">
        <v>418.90045399999997</v>
      </c>
      <c r="AA483" s="24">
        <v>421.53924142662163</v>
      </c>
      <c r="AB483" s="20">
        <v>0.48756336009225798</v>
      </c>
      <c r="AC483" s="20">
        <v>-4.5535546449296804</v>
      </c>
      <c r="AD483" s="20">
        <v>-6.5038080852987123</v>
      </c>
      <c r="AE483" s="22" t="s">
        <v>17</v>
      </c>
      <c r="AF483" s="23"/>
      <c r="AG483" s="24" t="s">
        <v>17</v>
      </c>
      <c r="AH483" s="24" t="s">
        <v>17</v>
      </c>
      <c r="AI483" s="20" t="s">
        <v>17</v>
      </c>
      <c r="AJ483" s="20" t="s">
        <v>17</v>
      </c>
      <c r="AK483" s="20" t="s">
        <v>17</v>
      </c>
      <c r="AL483" s="22" t="s">
        <v>17</v>
      </c>
      <c r="AM483" s="23" t="s">
        <v>17</v>
      </c>
      <c r="AN483" s="24" t="s">
        <v>17</v>
      </c>
      <c r="AO483" s="24" t="s">
        <v>17</v>
      </c>
      <c r="AP483" s="20" t="s">
        <v>17</v>
      </c>
      <c r="AQ483" s="20" t="s">
        <v>17</v>
      </c>
      <c r="AR483" s="20" t="s">
        <v>17</v>
      </c>
      <c r="AS483" s="21"/>
      <c r="AT483" s="20"/>
      <c r="AU483" s="4"/>
      <c r="AV483" s="20"/>
      <c r="AW483" s="20" t="s">
        <v>17</v>
      </c>
      <c r="AX483" s="20" t="s">
        <v>17</v>
      </c>
      <c r="AY483" s="20" t="s">
        <v>17</v>
      </c>
      <c r="AZ483" s="5"/>
      <c r="BA483" s="6"/>
      <c r="BB483" s="4"/>
      <c r="BC483" s="6"/>
      <c r="BD483" s="6"/>
      <c r="BE483" s="6"/>
      <c r="BF483" s="7"/>
    </row>
    <row r="484" spans="1:58" ht="18" customHeight="1">
      <c r="A484" s="106" t="s">
        <v>15</v>
      </c>
      <c r="B484" s="93" t="s">
        <v>462</v>
      </c>
      <c r="C484" s="28">
        <v>739.5</v>
      </c>
      <c r="D484" s="28">
        <v>739.62</v>
      </c>
      <c r="E484" s="28">
        <v>739.56</v>
      </c>
      <c r="F484" s="28">
        <v>739.56</v>
      </c>
      <c r="G484" s="29">
        <v>37800.229360323603</v>
      </c>
      <c r="H484" s="29">
        <v>33611.677908837497</v>
      </c>
      <c r="I484" s="27">
        <f t="shared" si="19"/>
        <v>2</v>
      </c>
      <c r="J484" s="27">
        <f t="shared" si="20"/>
        <v>2</v>
      </c>
      <c r="K484" s="27">
        <f t="shared" si="18"/>
        <v>2</v>
      </c>
      <c r="L484" s="25">
        <v>474.64789674999997</v>
      </c>
      <c r="M484" s="25">
        <v>477.66375610928532</v>
      </c>
      <c r="N484" s="38">
        <v>0.49175634789555556</v>
      </c>
      <c r="O484" s="38">
        <v>-3.8291409509010887</v>
      </c>
      <c r="P484" s="71">
        <v>-5.7961663424833105</v>
      </c>
      <c r="Q484" s="53">
        <v>44004</v>
      </c>
      <c r="R484" s="23">
        <v>11</v>
      </c>
      <c r="S484" s="24">
        <v>477.23114399999997</v>
      </c>
      <c r="T484" s="24">
        <v>480.29791102561421</v>
      </c>
      <c r="U484" s="20">
        <v>0.49738134620902485</v>
      </c>
      <c r="V484" s="20">
        <v>-3.2572070665399799</v>
      </c>
      <c r="W484" s="20">
        <v>-5.2467324513760794</v>
      </c>
      <c r="X484" s="22">
        <v>44004</v>
      </c>
      <c r="Y484" s="23">
        <v>11</v>
      </c>
      <c r="Z484" s="24">
        <v>472.06464949999997</v>
      </c>
      <c r="AA484" s="24">
        <v>475.02960119295642</v>
      </c>
      <c r="AB484" s="20">
        <v>0.48613134958208626</v>
      </c>
      <c r="AC484" s="20">
        <v>-4.4010748352621976</v>
      </c>
      <c r="AD484" s="20">
        <v>-6.3456002335905426</v>
      </c>
      <c r="AE484" s="22" t="s">
        <v>17</v>
      </c>
      <c r="AF484" s="23"/>
      <c r="AG484" s="24" t="s">
        <v>17</v>
      </c>
      <c r="AH484" s="24" t="s">
        <v>17</v>
      </c>
      <c r="AI484" s="20" t="s">
        <v>17</v>
      </c>
      <c r="AJ484" s="20" t="s">
        <v>17</v>
      </c>
      <c r="AK484" s="20" t="s">
        <v>17</v>
      </c>
      <c r="AL484" s="22" t="s">
        <v>17</v>
      </c>
      <c r="AM484" s="23" t="s">
        <v>17</v>
      </c>
      <c r="AN484" s="24" t="s">
        <v>17</v>
      </c>
      <c r="AO484" s="24" t="s">
        <v>17</v>
      </c>
      <c r="AP484" s="20" t="s">
        <v>17</v>
      </c>
      <c r="AQ484" s="20" t="s">
        <v>17</v>
      </c>
      <c r="AR484" s="20" t="s">
        <v>17</v>
      </c>
      <c r="AS484" s="21"/>
      <c r="AT484" s="20"/>
      <c r="AU484" s="4"/>
      <c r="AV484" s="20"/>
      <c r="AW484" s="20" t="s">
        <v>17</v>
      </c>
      <c r="AX484" s="20" t="s">
        <v>17</v>
      </c>
      <c r="AY484" s="20" t="s">
        <v>17</v>
      </c>
      <c r="AZ484" s="5"/>
      <c r="BA484" s="6"/>
      <c r="BB484" s="4"/>
      <c r="BC484" s="6"/>
      <c r="BD484" s="6"/>
      <c r="BE484" s="6"/>
      <c r="BF484" s="7"/>
    </row>
    <row r="485" spans="1:58" ht="18" customHeight="1">
      <c r="A485" s="106" t="s">
        <v>15</v>
      </c>
      <c r="B485" s="93" t="s">
        <v>463</v>
      </c>
      <c r="C485" s="28">
        <v>746.56</v>
      </c>
      <c r="D485" s="28">
        <v>746.68</v>
      </c>
      <c r="E485" s="28">
        <v>746.61999999999989</v>
      </c>
      <c r="F485" s="28">
        <v>746.61999999999989</v>
      </c>
      <c r="G485" s="29">
        <v>38249.553587344897</v>
      </c>
      <c r="H485" s="29">
        <v>34118.545179833702</v>
      </c>
      <c r="I485" s="27">
        <f t="shared" si="19"/>
        <v>1</v>
      </c>
      <c r="J485" s="27">
        <f t="shared" si="20"/>
        <v>1</v>
      </c>
      <c r="K485" s="27">
        <f t="shared" si="18"/>
        <v>1</v>
      </c>
      <c r="L485" s="25">
        <v>427.0753795</v>
      </c>
      <c r="M485" s="25">
        <v>429.82985653834248</v>
      </c>
      <c r="N485" s="38">
        <v>0.49919716153801197</v>
      </c>
      <c r="O485" s="38">
        <v>-3.1711223141264178</v>
      </c>
      <c r="P485" s="71">
        <v>-5.1679109602784656</v>
      </c>
      <c r="Q485" s="53">
        <v>44047</v>
      </c>
      <c r="R485" s="23">
        <v>10</v>
      </c>
      <c r="S485" s="24">
        <v>427.0753795</v>
      </c>
      <c r="T485" s="24">
        <v>429.82985653834248</v>
      </c>
      <c r="U485" s="20">
        <v>0.49919716153801197</v>
      </c>
      <c r="V485" s="20">
        <v>-3.1711223141264178</v>
      </c>
      <c r="W485" s="20">
        <v>-5.1679109602784656</v>
      </c>
      <c r="X485" s="22" t="s">
        <v>17</v>
      </c>
      <c r="Y485" s="23"/>
      <c r="Z485" s="24" t="s">
        <v>17</v>
      </c>
      <c r="AA485" s="24" t="s">
        <v>17</v>
      </c>
      <c r="AB485" s="20" t="s">
        <v>17</v>
      </c>
      <c r="AC485" s="20" t="s">
        <v>17</v>
      </c>
      <c r="AD485" s="20" t="s">
        <v>17</v>
      </c>
      <c r="AE485" s="22" t="s">
        <v>17</v>
      </c>
      <c r="AF485" s="23"/>
      <c r="AG485" s="24" t="s">
        <v>17</v>
      </c>
      <c r="AH485" s="24" t="s">
        <v>17</v>
      </c>
      <c r="AI485" s="20" t="s">
        <v>17</v>
      </c>
      <c r="AJ485" s="20" t="s">
        <v>17</v>
      </c>
      <c r="AK485" s="20" t="s">
        <v>17</v>
      </c>
      <c r="AL485" s="22" t="s">
        <v>17</v>
      </c>
      <c r="AM485" s="23" t="s">
        <v>17</v>
      </c>
      <c r="AN485" s="24" t="s">
        <v>17</v>
      </c>
      <c r="AO485" s="24" t="s">
        <v>17</v>
      </c>
      <c r="AP485" s="20" t="s">
        <v>17</v>
      </c>
      <c r="AQ485" s="20" t="s">
        <v>17</v>
      </c>
      <c r="AR485" s="20" t="s">
        <v>17</v>
      </c>
      <c r="AS485" s="21"/>
      <c r="AT485" s="20"/>
      <c r="AU485" s="4"/>
      <c r="AV485" s="20"/>
      <c r="AW485" s="20" t="s">
        <v>17</v>
      </c>
      <c r="AX485" s="20" t="s">
        <v>17</v>
      </c>
      <c r="AY485" s="20" t="s">
        <v>17</v>
      </c>
      <c r="AZ485" s="5"/>
      <c r="BA485" s="6"/>
      <c r="BB485" s="4"/>
      <c r="BC485" s="6"/>
      <c r="BD485" s="6"/>
      <c r="BE485" s="6"/>
      <c r="BF485" s="7"/>
    </row>
    <row r="486" spans="1:58" ht="18" customHeight="1">
      <c r="A486" s="106" t="s">
        <v>15</v>
      </c>
      <c r="B486" s="93" t="s">
        <v>464</v>
      </c>
      <c r="C486" s="28">
        <v>753.85</v>
      </c>
      <c r="D486" s="28">
        <v>753.97</v>
      </c>
      <c r="E486" s="28">
        <v>753.91000000000008</v>
      </c>
      <c r="F486" s="28">
        <v>753.91000000000008</v>
      </c>
      <c r="G486" s="29">
        <v>38802.895383470597</v>
      </c>
      <c r="H486" s="29">
        <v>34754.108796232998</v>
      </c>
      <c r="I486" s="27">
        <f t="shared" si="19"/>
        <v>2</v>
      </c>
      <c r="J486" s="27">
        <f t="shared" si="20"/>
        <v>2</v>
      </c>
      <c r="K486" s="27">
        <f t="shared" si="18"/>
        <v>2</v>
      </c>
      <c r="L486" s="25">
        <v>473.34076700000003</v>
      </c>
      <c r="M486" s="25">
        <v>476.28003549581365</v>
      </c>
      <c r="N486" s="38">
        <v>0.48062129450721081</v>
      </c>
      <c r="O486" s="38">
        <v>-3.7793634400705156</v>
      </c>
      <c r="P486" s="71">
        <v>-5.7018486180993584</v>
      </c>
      <c r="Q486" s="53">
        <v>44041</v>
      </c>
      <c r="R486" s="23">
        <v>10</v>
      </c>
      <c r="S486" s="24">
        <v>474.76903349999998</v>
      </c>
      <c r="T486" s="24">
        <v>477.71678313882012</v>
      </c>
      <c r="U486" s="20">
        <v>0.48055787280554263</v>
      </c>
      <c r="V486" s="20">
        <v>-4.0115572350563067</v>
      </c>
      <c r="W486" s="20">
        <v>-5.9337887262784772</v>
      </c>
      <c r="X486" s="22">
        <v>44041</v>
      </c>
      <c r="Y486" s="23">
        <v>10</v>
      </c>
      <c r="Z486" s="24">
        <v>471.91250050000002</v>
      </c>
      <c r="AA486" s="24">
        <v>474.84328785280718</v>
      </c>
      <c r="AB486" s="20">
        <v>0.48068471620887898</v>
      </c>
      <c r="AC486" s="20">
        <v>-3.5471696450847245</v>
      </c>
      <c r="AD486" s="20">
        <v>-5.4699085099202405</v>
      </c>
      <c r="AE486" s="22" t="s">
        <v>17</v>
      </c>
      <c r="AF486" s="23"/>
      <c r="AG486" s="24" t="s">
        <v>17</v>
      </c>
      <c r="AH486" s="24" t="s">
        <v>17</v>
      </c>
      <c r="AI486" s="20" t="s">
        <v>17</v>
      </c>
      <c r="AJ486" s="20" t="s">
        <v>17</v>
      </c>
      <c r="AK486" s="20" t="s">
        <v>17</v>
      </c>
      <c r="AL486" s="22" t="s">
        <v>17</v>
      </c>
      <c r="AM486" s="23" t="s">
        <v>17</v>
      </c>
      <c r="AN486" s="24" t="s">
        <v>17</v>
      </c>
      <c r="AO486" s="24" t="s">
        <v>17</v>
      </c>
      <c r="AP486" s="20" t="s">
        <v>17</v>
      </c>
      <c r="AQ486" s="20" t="s">
        <v>17</v>
      </c>
      <c r="AR486" s="20" t="s">
        <v>17</v>
      </c>
      <c r="AS486" s="21"/>
      <c r="AT486" s="20"/>
      <c r="AU486" s="4"/>
      <c r="AV486" s="20"/>
      <c r="AW486" s="20" t="s">
        <v>17</v>
      </c>
      <c r="AX486" s="20" t="s">
        <v>17</v>
      </c>
      <c r="AY486" s="20" t="s">
        <v>17</v>
      </c>
      <c r="AZ486" s="5"/>
      <c r="BA486" s="6"/>
      <c r="BB486" s="4"/>
      <c r="BC486" s="6"/>
      <c r="BD486" s="6"/>
      <c r="BE486" s="6"/>
      <c r="BF486" s="7"/>
    </row>
    <row r="487" spans="1:58" ht="18" customHeight="1">
      <c r="A487" s="106" t="s">
        <v>15</v>
      </c>
      <c r="B487" s="93" t="s">
        <v>465</v>
      </c>
      <c r="C487" s="28">
        <v>760.75</v>
      </c>
      <c r="D487" s="28">
        <v>760.87</v>
      </c>
      <c r="E487" s="28">
        <v>760.81</v>
      </c>
      <c r="F487" s="28">
        <v>760.81</v>
      </c>
      <c r="G487" s="29">
        <v>39260.961813424401</v>
      </c>
      <c r="H487" s="29">
        <v>35373.206361630699</v>
      </c>
      <c r="I487" s="27">
        <f t="shared" si="19"/>
        <v>1</v>
      </c>
      <c r="J487" s="27">
        <f t="shared" si="20"/>
        <v>2</v>
      </c>
      <c r="K487" s="27">
        <f t="shared" ref="K487:K550" si="21">COUNT(V487,AC487,AJ487,AQ487,AX487,BF487)</f>
        <v>1</v>
      </c>
      <c r="L487" s="25">
        <v>522.8684935</v>
      </c>
      <c r="M487" s="25">
        <v>526.19467660845203</v>
      </c>
      <c r="N487" s="38">
        <v>0.49561817027632404</v>
      </c>
      <c r="O487" s="38">
        <v>-4.7705020331552106</v>
      </c>
      <c r="P487" s="71">
        <v>-6.7399801427638906</v>
      </c>
      <c r="Q487" s="22">
        <v>44013</v>
      </c>
      <c r="R487" s="23">
        <v>10</v>
      </c>
      <c r="S487" s="24">
        <v>522.8684935</v>
      </c>
      <c r="T487" s="24">
        <v>526.19467660845203</v>
      </c>
      <c r="U487" s="20">
        <v>0.49236952740216999</v>
      </c>
      <c r="V487" s="20">
        <v>-4.7705020331552106</v>
      </c>
      <c r="W487" s="20">
        <v>-6.7399801427638906</v>
      </c>
      <c r="X487" s="22">
        <v>44099</v>
      </c>
      <c r="Y487" s="23" t="s">
        <v>88</v>
      </c>
      <c r="Z487" s="24"/>
      <c r="AA487" s="24"/>
      <c r="AB487" s="20">
        <v>0.49886681315047809</v>
      </c>
      <c r="AC487" s="20"/>
      <c r="AD487" s="20"/>
      <c r="AE487" s="22"/>
      <c r="AF487" s="23"/>
      <c r="AG487" s="24"/>
      <c r="AH487" s="24"/>
      <c r="AI487" s="20"/>
      <c r="AJ487" s="20"/>
      <c r="AK487" s="20"/>
      <c r="AL487" s="22" t="s">
        <v>17</v>
      </c>
      <c r="AM487" s="23" t="s">
        <v>17</v>
      </c>
      <c r="AN487" s="24" t="s">
        <v>17</v>
      </c>
      <c r="AO487" s="24" t="s">
        <v>17</v>
      </c>
      <c r="AP487" s="20" t="s">
        <v>17</v>
      </c>
      <c r="AQ487" s="20" t="s">
        <v>17</v>
      </c>
      <c r="AR487" s="20" t="s">
        <v>17</v>
      </c>
      <c r="AS487" s="21"/>
      <c r="AT487" s="20"/>
      <c r="AU487" s="4"/>
      <c r="AV487" s="20"/>
      <c r="AW487" s="20" t="s">
        <v>17</v>
      </c>
      <c r="AX487" s="20" t="s">
        <v>17</v>
      </c>
      <c r="AY487" s="20" t="s">
        <v>17</v>
      </c>
      <c r="AZ487" s="5"/>
      <c r="BA487" s="6"/>
      <c r="BB487" s="4"/>
      <c r="BC487" s="6"/>
      <c r="BD487" s="6"/>
      <c r="BE487" s="6"/>
      <c r="BF487" s="7"/>
    </row>
    <row r="488" spans="1:58" ht="18" customHeight="1">
      <c r="A488" s="106" t="s">
        <v>15</v>
      </c>
      <c r="B488" s="93" t="s">
        <v>466</v>
      </c>
      <c r="C488" s="28">
        <v>768.79</v>
      </c>
      <c r="D488" s="28">
        <v>768.91</v>
      </c>
      <c r="E488" s="28">
        <v>768.84999999999991</v>
      </c>
      <c r="F488" s="28">
        <v>768.84999999999991</v>
      </c>
      <c r="G488" s="29">
        <v>39790.3007755043</v>
      </c>
      <c r="H488" s="29">
        <v>36035.819669131102</v>
      </c>
      <c r="I488" s="27">
        <f t="shared" ref="I488:I550" si="22">COUNT(T488,AA488,AH488,AO488,AV488,BC488)</f>
        <v>2</v>
      </c>
      <c r="J488" s="27">
        <f t="shared" ref="J488:J551" si="23">COUNT(U488,AB488,AI488,AP488,AW488,BD488)</f>
        <v>2</v>
      </c>
      <c r="K488" s="27">
        <f t="shared" si="21"/>
        <v>2</v>
      </c>
      <c r="L488" s="25">
        <v>431.28899250000001</v>
      </c>
      <c r="M488" s="25">
        <v>433.99108419846152</v>
      </c>
      <c r="N488" s="38">
        <v>0.48491867214350837</v>
      </c>
      <c r="O488" s="38">
        <v>-6.0162122168267445</v>
      </c>
      <c r="P488" s="71">
        <v>-7.9558869054007779</v>
      </c>
      <c r="Q488" s="53">
        <v>44062</v>
      </c>
      <c r="R488" s="23">
        <v>10</v>
      </c>
      <c r="S488" s="24">
        <v>431.41294049999999</v>
      </c>
      <c r="T488" s="24">
        <v>434.12204806410301</v>
      </c>
      <c r="U488" s="20">
        <v>0.48603838297611723</v>
      </c>
      <c r="V488" s="20">
        <v>-6.1790758402343604</v>
      </c>
      <c r="W488" s="20">
        <v>-8.1232293721388302</v>
      </c>
      <c r="X488" s="22">
        <v>44062</v>
      </c>
      <c r="Y488" s="23">
        <v>10</v>
      </c>
      <c r="Z488" s="24">
        <v>431.16504450000002</v>
      </c>
      <c r="AA488" s="24">
        <v>433.86012033282009</v>
      </c>
      <c r="AB488" s="20">
        <v>0.4837989613108995</v>
      </c>
      <c r="AC488" s="20">
        <v>-5.8533485934191276</v>
      </c>
      <c r="AD488" s="20">
        <v>-7.7885444386627256</v>
      </c>
      <c r="AE488" s="22" t="s">
        <v>17</v>
      </c>
      <c r="AF488" s="23"/>
      <c r="AG488" s="24" t="s">
        <v>17</v>
      </c>
      <c r="AH488" s="24" t="s">
        <v>17</v>
      </c>
      <c r="AI488" s="20" t="s">
        <v>17</v>
      </c>
      <c r="AJ488" s="20" t="s">
        <v>17</v>
      </c>
      <c r="AK488" s="20" t="s">
        <v>17</v>
      </c>
      <c r="AL488" s="22" t="s">
        <v>17</v>
      </c>
      <c r="AM488" s="23" t="s">
        <v>17</v>
      </c>
      <c r="AN488" s="24" t="s">
        <v>17</v>
      </c>
      <c r="AO488" s="24" t="s">
        <v>17</v>
      </c>
      <c r="AP488" s="20" t="s">
        <v>17</v>
      </c>
      <c r="AQ488" s="20" t="s">
        <v>17</v>
      </c>
      <c r="AR488" s="20" t="s">
        <v>17</v>
      </c>
      <c r="AS488" s="21"/>
      <c r="AT488" s="20"/>
      <c r="AU488" s="4"/>
      <c r="AV488" s="20"/>
      <c r="AW488" s="20" t="s">
        <v>17</v>
      </c>
      <c r="AX488" s="20" t="s">
        <v>17</v>
      </c>
      <c r="AY488" s="20" t="s">
        <v>17</v>
      </c>
      <c r="AZ488" s="5"/>
      <c r="BA488" s="6"/>
      <c r="BB488" s="4"/>
      <c r="BC488" s="6"/>
      <c r="BD488" s="6"/>
      <c r="BE488" s="6"/>
      <c r="BF488" s="7"/>
    </row>
    <row r="489" spans="1:58" ht="18" customHeight="1">
      <c r="A489" s="106" t="s">
        <v>15</v>
      </c>
      <c r="B489" s="93" t="s">
        <v>467</v>
      </c>
      <c r="C489" s="28">
        <v>774.73</v>
      </c>
      <c r="D489" s="28">
        <v>774.85</v>
      </c>
      <c r="E489" s="28">
        <v>774.79</v>
      </c>
      <c r="F489" s="28">
        <v>774.79</v>
      </c>
      <c r="G489" s="29">
        <v>40205.647882609199</v>
      </c>
      <c r="H489" s="29">
        <v>36514.9308413865</v>
      </c>
      <c r="I489" s="27">
        <f t="shared" si="22"/>
        <v>2</v>
      </c>
      <c r="J489" s="27">
        <f t="shared" si="23"/>
        <v>4</v>
      </c>
      <c r="K489" s="27">
        <f t="shared" si="21"/>
        <v>2</v>
      </c>
      <c r="L489" s="25">
        <v>459.37534275000002</v>
      </c>
      <c r="M489" s="25">
        <v>462.14877547439562</v>
      </c>
      <c r="N489" s="38">
        <v>0.46637292799472929</v>
      </c>
      <c r="O489" s="38">
        <v>-8.1033730781597253</v>
      </c>
      <c r="P489" s="71">
        <v>-9.9725457114186469</v>
      </c>
      <c r="Q489" s="53">
        <v>44074</v>
      </c>
      <c r="R489" s="23">
        <v>9</v>
      </c>
      <c r="S489" s="24">
        <v>459.70296050000002</v>
      </c>
      <c r="T489" s="24">
        <v>462.46063211109049</v>
      </c>
      <c r="U489" s="20">
        <v>0.46430433019106765</v>
      </c>
      <c r="V489" s="20">
        <v>-7.5632535223427722</v>
      </c>
      <c r="W489" s="20">
        <v>-9.4204708431070436</v>
      </c>
      <c r="X489" s="22">
        <v>44074</v>
      </c>
      <c r="Y489" s="23">
        <v>9</v>
      </c>
      <c r="Z489" s="24">
        <v>459.04772500000001</v>
      </c>
      <c r="AA489" s="24">
        <v>461.83691883770069</v>
      </c>
      <c r="AB489" s="20">
        <v>0.47028198643839225</v>
      </c>
      <c r="AC489" s="20">
        <v>-8.6434926339766793</v>
      </c>
      <c r="AD489" s="20">
        <v>-10.524620579730248</v>
      </c>
      <c r="AE489" s="22">
        <v>44333</v>
      </c>
      <c r="AF489" s="23" t="s">
        <v>88</v>
      </c>
      <c r="AG489" s="24"/>
      <c r="AH489" s="24"/>
      <c r="AI489" s="54">
        <v>0.46462028356031304</v>
      </c>
      <c r="AJ489" s="55"/>
      <c r="AK489" s="55"/>
      <c r="AL489" s="22">
        <v>44333</v>
      </c>
      <c r="AM489" s="23" t="s">
        <v>832</v>
      </c>
      <c r="AN489" s="24"/>
      <c r="AO489" s="24"/>
      <c r="AP489" s="20">
        <v>0.46628511178914422</v>
      </c>
      <c r="AQ489" s="20"/>
      <c r="AR489" s="20"/>
      <c r="AS489" s="21"/>
      <c r="AT489" s="20"/>
      <c r="AU489" s="4"/>
      <c r="AV489" s="20"/>
      <c r="AW489" s="20" t="s">
        <v>17</v>
      </c>
      <c r="AX489" s="20" t="s">
        <v>17</v>
      </c>
      <c r="AY489" s="20" t="s">
        <v>17</v>
      </c>
      <c r="AZ489" s="5"/>
      <c r="BA489" s="6"/>
      <c r="BB489" s="4"/>
      <c r="BC489" s="6"/>
      <c r="BD489" s="6"/>
      <c r="BE489" s="6"/>
      <c r="BF489" s="7"/>
    </row>
    <row r="490" spans="1:58" ht="18" customHeight="1">
      <c r="A490" s="106" t="s">
        <v>15</v>
      </c>
      <c r="B490" s="93" t="s">
        <v>468</v>
      </c>
      <c r="C490" s="28">
        <v>780.87</v>
      </c>
      <c r="D490" s="28">
        <v>780.99</v>
      </c>
      <c r="E490" s="28">
        <v>780.93000000000006</v>
      </c>
      <c r="F490" s="28">
        <v>780.93000000000006</v>
      </c>
      <c r="G490" s="29">
        <v>40694.705427623099</v>
      </c>
      <c r="H490" s="29">
        <v>37083.493205988103</v>
      </c>
      <c r="I490" s="27">
        <f t="shared" si="22"/>
        <v>1</v>
      </c>
      <c r="J490" s="27">
        <f t="shared" si="23"/>
        <v>1</v>
      </c>
      <c r="K490" s="27">
        <f t="shared" si="21"/>
        <v>1</v>
      </c>
      <c r="L490" s="25">
        <v>520.66584499999999</v>
      </c>
      <c r="M490" s="25">
        <v>523.79357131934705</v>
      </c>
      <c r="N490" s="38">
        <v>0.46495095226539718</v>
      </c>
      <c r="O490" s="38">
        <v>-7.1410812333095874</v>
      </c>
      <c r="P490" s="71">
        <v>-9.000885042371177</v>
      </c>
      <c r="Q490" s="53">
        <v>44047</v>
      </c>
      <c r="R490" s="23">
        <v>10</v>
      </c>
      <c r="S490" s="24">
        <v>520.66584499999999</v>
      </c>
      <c r="T490" s="24">
        <v>523.79357131934705</v>
      </c>
      <c r="U490" s="20">
        <v>0.46495095226539718</v>
      </c>
      <c r="V490" s="20">
        <v>-7.1410812333095874</v>
      </c>
      <c r="W490" s="20">
        <v>-9.000885042371177</v>
      </c>
      <c r="X490" s="22" t="s">
        <v>17</v>
      </c>
      <c r="Y490" s="23"/>
      <c r="Z490" s="24" t="s">
        <v>17</v>
      </c>
      <c r="AA490" s="24" t="s">
        <v>17</v>
      </c>
      <c r="AB490" s="20" t="s">
        <v>17</v>
      </c>
      <c r="AC490" s="20" t="s">
        <v>17</v>
      </c>
      <c r="AD490" s="20" t="s">
        <v>17</v>
      </c>
      <c r="AE490" s="22" t="s">
        <v>17</v>
      </c>
      <c r="AF490" s="23"/>
      <c r="AG490" s="24" t="s">
        <v>17</v>
      </c>
      <c r="AH490" s="24" t="s">
        <v>17</v>
      </c>
      <c r="AI490" s="20" t="s">
        <v>17</v>
      </c>
      <c r="AJ490" s="20" t="s">
        <v>17</v>
      </c>
      <c r="AK490" s="20" t="s">
        <v>17</v>
      </c>
      <c r="AL490" s="22" t="s">
        <v>17</v>
      </c>
      <c r="AM490" s="23" t="s">
        <v>17</v>
      </c>
      <c r="AN490" s="24" t="s">
        <v>17</v>
      </c>
      <c r="AO490" s="24" t="s">
        <v>17</v>
      </c>
      <c r="AP490" s="20" t="s">
        <v>17</v>
      </c>
      <c r="AQ490" s="20" t="s">
        <v>17</v>
      </c>
      <c r="AR490" s="20" t="s">
        <v>17</v>
      </c>
      <c r="AS490" s="21"/>
      <c r="AT490" s="20"/>
      <c r="AU490" s="4"/>
      <c r="AV490" s="20"/>
      <c r="AW490" s="20" t="s">
        <v>17</v>
      </c>
      <c r="AX490" s="20" t="s">
        <v>17</v>
      </c>
      <c r="AY490" s="20" t="s">
        <v>17</v>
      </c>
      <c r="AZ490" s="5"/>
      <c r="BA490" s="6"/>
      <c r="BB490" s="4"/>
      <c r="BC490" s="6"/>
      <c r="BD490" s="6"/>
      <c r="BE490" s="6"/>
      <c r="BF490" s="7"/>
    </row>
    <row r="491" spans="1:58" ht="18" customHeight="1">
      <c r="A491" s="106" t="s">
        <v>15</v>
      </c>
      <c r="B491" s="93" t="s">
        <v>469</v>
      </c>
      <c r="C491" s="28">
        <v>787.91</v>
      </c>
      <c r="D491" s="28">
        <v>788.03</v>
      </c>
      <c r="E491" s="28">
        <v>787.97</v>
      </c>
      <c r="F491" s="28">
        <v>787.97</v>
      </c>
      <c r="G491" s="29">
        <v>41247.023344547801</v>
      </c>
      <c r="H491" s="29">
        <v>37638.3485311193</v>
      </c>
      <c r="I491" s="27">
        <f t="shared" si="22"/>
        <v>2</v>
      </c>
      <c r="J491" s="27">
        <f t="shared" si="23"/>
        <v>4</v>
      </c>
      <c r="K491" s="27">
        <f t="shared" si="21"/>
        <v>2</v>
      </c>
      <c r="L491" s="25">
        <v>555.9964809999999</v>
      </c>
      <c r="M491" s="25">
        <v>559.37293755621022</v>
      </c>
      <c r="N491" s="38">
        <v>0.46856340861523016</v>
      </c>
      <c r="O491" s="38">
        <v>-6.7911219855819605</v>
      </c>
      <c r="P491" s="71">
        <v>-8.6712449551687989</v>
      </c>
      <c r="Q491" s="53">
        <v>44075</v>
      </c>
      <c r="R491" s="23">
        <v>9</v>
      </c>
      <c r="S491" s="24">
        <v>554.00371199999995</v>
      </c>
      <c r="T491" s="24">
        <v>557.36731696984486</v>
      </c>
      <c r="U491" s="20">
        <v>0.46992634940767886</v>
      </c>
      <c r="V491" s="20">
        <v>-5.2355473603382663</v>
      </c>
      <c r="W491" s="20">
        <v>-7.1152527579689817</v>
      </c>
      <c r="X491" s="22">
        <v>44075</v>
      </c>
      <c r="Y491" s="23">
        <v>9</v>
      </c>
      <c r="Z491" s="24">
        <v>557.98924999999997</v>
      </c>
      <c r="AA491" s="24">
        <v>561.37855814257557</v>
      </c>
      <c r="AB491" s="20">
        <v>0.47013513538574081</v>
      </c>
      <c r="AC491" s="20">
        <v>-8.3466966108256546</v>
      </c>
      <c r="AD491" s="20">
        <v>-10.227237152368618</v>
      </c>
      <c r="AE491" s="22">
        <v>44341</v>
      </c>
      <c r="AF491" s="23" t="s">
        <v>88</v>
      </c>
      <c r="AG491" s="24"/>
      <c r="AH491" s="24"/>
      <c r="AI491" s="54">
        <v>0.46811995265705342</v>
      </c>
      <c r="AJ491" s="55"/>
      <c r="AK491" s="55"/>
      <c r="AL491" s="22">
        <v>44341</v>
      </c>
      <c r="AM491" s="23" t="s">
        <v>832</v>
      </c>
      <c r="AN491" s="24"/>
      <c r="AO491" s="24"/>
      <c r="AP491" s="20">
        <v>0.46607219701044755</v>
      </c>
      <c r="AQ491" s="20"/>
      <c r="AR491" s="20"/>
      <c r="AS491" s="21"/>
      <c r="AT491" s="20"/>
      <c r="AU491" s="4"/>
      <c r="AV491" s="20"/>
      <c r="AW491" s="20" t="s">
        <v>17</v>
      </c>
      <c r="AX491" s="20" t="s">
        <v>17</v>
      </c>
      <c r="AY491" s="20" t="s">
        <v>17</v>
      </c>
      <c r="AZ491" s="5"/>
      <c r="BA491" s="6"/>
      <c r="BB491" s="4"/>
      <c r="BC491" s="6"/>
      <c r="BD491" s="6"/>
      <c r="BE491" s="6"/>
      <c r="BF491" s="7"/>
    </row>
    <row r="492" spans="1:58" ht="18" customHeight="1">
      <c r="A492" s="106" t="s">
        <v>15</v>
      </c>
      <c r="B492" s="93" t="s">
        <v>470</v>
      </c>
      <c r="C492" s="28">
        <v>793.98</v>
      </c>
      <c r="D492" s="28">
        <v>794.1</v>
      </c>
      <c r="E492" s="28">
        <v>794.04</v>
      </c>
      <c r="F492" s="28">
        <v>794.04</v>
      </c>
      <c r="G492" s="29">
        <v>41675.736695010899</v>
      </c>
      <c r="H492" s="29">
        <v>38072.0140424532</v>
      </c>
      <c r="I492" s="27">
        <f t="shared" si="22"/>
        <v>2</v>
      </c>
      <c r="J492" s="27">
        <f t="shared" si="23"/>
        <v>2</v>
      </c>
      <c r="K492" s="27">
        <f t="shared" si="21"/>
        <v>2</v>
      </c>
      <c r="L492" s="25">
        <v>544.14544124999998</v>
      </c>
      <c r="M492" s="25">
        <v>547.53759585386331</v>
      </c>
      <c r="N492" s="38">
        <v>0.4824920306943925</v>
      </c>
      <c r="O492" s="38">
        <v>-7.8725190717432447</v>
      </c>
      <c r="P492" s="71">
        <v>-9.8024871945208147</v>
      </c>
      <c r="Q492" s="53">
        <v>44006</v>
      </c>
      <c r="R492" s="23">
        <v>11</v>
      </c>
      <c r="S492" s="24">
        <v>542.81422150000003</v>
      </c>
      <c r="T492" s="24">
        <v>546.17258552577925</v>
      </c>
      <c r="U492" s="20">
        <v>0.47886603890856527</v>
      </c>
      <c r="V492" s="20">
        <v>-8.4014546650398323</v>
      </c>
      <c r="W492" s="20">
        <v>-10.316918820674093</v>
      </c>
      <c r="X492" s="22">
        <v>44006</v>
      </c>
      <c r="Y492" s="23">
        <v>11</v>
      </c>
      <c r="Z492" s="24">
        <v>545.47666100000004</v>
      </c>
      <c r="AA492" s="24">
        <v>548.90260618194736</v>
      </c>
      <c r="AB492" s="20">
        <v>0.48611802248021974</v>
      </c>
      <c r="AC492" s="20">
        <v>-7.343583478446658</v>
      </c>
      <c r="AD492" s="20">
        <v>-9.2880555683675361</v>
      </c>
      <c r="AE492" s="22" t="s">
        <v>17</v>
      </c>
      <c r="AF492" s="23"/>
      <c r="AG492" s="24" t="s">
        <v>17</v>
      </c>
      <c r="AH492" s="24" t="s">
        <v>17</v>
      </c>
      <c r="AI492" s="20" t="s">
        <v>17</v>
      </c>
      <c r="AJ492" s="20" t="s">
        <v>17</v>
      </c>
      <c r="AK492" s="20" t="s">
        <v>17</v>
      </c>
      <c r="AL492" s="22" t="s">
        <v>17</v>
      </c>
      <c r="AM492" s="23" t="s">
        <v>17</v>
      </c>
      <c r="AN492" s="24" t="s">
        <v>17</v>
      </c>
      <c r="AO492" s="24" t="s">
        <v>17</v>
      </c>
      <c r="AP492" s="20" t="s">
        <v>17</v>
      </c>
      <c r="AQ492" s="20" t="s">
        <v>17</v>
      </c>
      <c r="AR492" s="20" t="s">
        <v>17</v>
      </c>
      <c r="AS492" s="21"/>
      <c r="AT492" s="20"/>
      <c r="AU492" s="4"/>
      <c r="AV492" s="20"/>
      <c r="AW492" s="20" t="s">
        <v>17</v>
      </c>
      <c r="AX492" s="20" t="s">
        <v>17</v>
      </c>
      <c r="AY492" s="20" t="s">
        <v>17</v>
      </c>
      <c r="AZ492" s="5"/>
      <c r="BA492" s="6"/>
      <c r="BB492" s="4"/>
      <c r="BC492" s="6"/>
      <c r="BD492" s="6"/>
      <c r="BE492" s="6"/>
      <c r="BF492" s="7"/>
    </row>
    <row r="493" spans="1:58" ht="18" customHeight="1">
      <c r="A493" s="106" t="s">
        <v>15</v>
      </c>
      <c r="B493" s="93" t="s">
        <v>471</v>
      </c>
      <c r="C493" s="28">
        <v>800.53499999999997</v>
      </c>
      <c r="D493" s="28">
        <v>800.65499999999997</v>
      </c>
      <c r="E493" s="28">
        <v>800.59500000000003</v>
      </c>
      <c r="F493" s="28">
        <v>800.59500000000003</v>
      </c>
      <c r="G493" s="29">
        <v>42178.541086437799</v>
      </c>
      <c r="H493" s="29">
        <v>38468.804152163</v>
      </c>
      <c r="I493" s="27">
        <f t="shared" si="22"/>
        <v>4</v>
      </c>
      <c r="J493" s="27">
        <f t="shared" si="23"/>
        <v>4</v>
      </c>
      <c r="K493" s="27">
        <f t="shared" si="21"/>
        <v>2</v>
      </c>
      <c r="L493" s="25">
        <v>441.89805375000003</v>
      </c>
      <c r="M493" s="25">
        <v>444.66487744400024</v>
      </c>
      <c r="N493" s="38">
        <v>0.48461041983416386</v>
      </c>
      <c r="O493" s="38">
        <v>-7.6801603874642197</v>
      </c>
      <c r="P493" s="71">
        <v>-9.6121882755720875</v>
      </c>
      <c r="Q493" s="53">
        <v>44039</v>
      </c>
      <c r="R493" s="23">
        <v>10</v>
      </c>
      <c r="S493" s="24">
        <v>440.70720800000004</v>
      </c>
      <c r="T493" s="24">
        <v>443.46277431796835</v>
      </c>
      <c r="U493" s="20">
        <v>0.48394744380431121</v>
      </c>
      <c r="V493" s="20">
        <v>-6.2814490478205753</v>
      </c>
      <c r="W493" s="20">
        <v>-8.217238823037821</v>
      </c>
      <c r="X493" s="22">
        <v>44039</v>
      </c>
      <c r="Y493" s="23">
        <v>10</v>
      </c>
      <c r="Z493" s="24">
        <v>440.58733050000001</v>
      </c>
      <c r="AA493" s="24">
        <v>443.33144021069251</v>
      </c>
      <c r="AB493" s="20">
        <v>0.48206650024962272</v>
      </c>
      <c r="AC493" s="20">
        <v>-9.0788717271078632</v>
      </c>
      <c r="AD493" s="20">
        <v>-11.007137728106354</v>
      </c>
      <c r="AE493" s="22">
        <v>44385</v>
      </c>
      <c r="AF493" s="23" t="s">
        <v>88</v>
      </c>
      <c r="AG493" s="24">
        <v>443.15963699999998</v>
      </c>
      <c r="AH493" s="24">
        <v>445.94946027217748</v>
      </c>
      <c r="AI493" s="54">
        <v>0.48725239347957583</v>
      </c>
      <c r="AJ493" s="55"/>
      <c r="AK493" s="55"/>
      <c r="AL493" s="22">
        <v>44385</v>
      </c>
      <c r="AM493" s="23" t="s">
        <v>88</v>
      </c>
      <c r="AN493" s="24">
        <v>443.13803949999999</v>
      </c>
      <c r="AO493" s="24">
        <v>445.91583497516262</v>
      </c>
      <c r="AP493" s="20">
        <v>0.4851753418031457</v>
      </c>
      <c r="AQ493" s="20"/>
      <c r="AR493" s="20"/>
      <c r="AS493" s="21"/>
      <c r="AT493" s="20"/>
      <c r="AU493" s="4"/>
      <c r="AV493" s="20"/>
      <c r="AW493" s="20" t="s">
        <v>17</v>
      </c>
      <c r="AX493" s="20" t="s">
        <v>17</v>
      </c>
      <c r="AY493" s="20" t="s">
        <v>17</v>
      </c>
      <c r="AZ493" s="5"/>
      <c r="BA493" s="6"/>
      <c r="BB493" s="4"/>
      <c r="BC493" s="6"/>
      <c r="BD493" s="6"/>
      <c r="BE493" s="6"/>
      <c r="BF493" s="7"/>
    </row>
    <row r="494" spans="1:58" ht="18" customHeight="1">
      <c r="A494" s="106" t="s">
        <v>15</v>
      </c>
      <c r="B494" s="93" t="s">
        <v>472</v>
      </c>
      <c r="C494" s="28">
        <v>807.43</v>
      </c>
      <c r="D494" s="28">
        <v>807.55</v>
      </c>
      <c r="E494" s="28">
        <v>807.49</v>
      </c>
      <c r="F494" s="28">
        <v>807.49</v>
      </c>
      <c r="G494" s="29">
        <v>42701.566869467097</v>
      </c>
      <c r="H494" s="29">
        <v>38971.412096903499</v>
      </c>
      <c r="I494" s="27">
        <f t="shared" si="22"/>
        <v>4</v>
      </c>
      <c r="J494" s="27">
        <f t="shared" si="23"/>
        <v>3</v>
      </c>
      <c r="K494" s="27">
        <f t="shared" si="21"/>
        <v>2</v>
      </c>
      <c r="L494" s="25">
        <v>441.42609962500001</v>
      </c>
      <c r="M494" s="25">
        <v>444.2123581825972</v>
      </c>
      <c r="N494" s="38">
        <v>0.4891678846293453</v>
      </c>
      <c r="O494" s="38">
        <v>-5.8300504018994896</v>
      </c>
      <c r="P494" s="71">
        <v>-7.7840264430223964</v>
      </c>
      <c r="Q494" s="53">
        <v>44063</v>
      </c>
      <c r="R494" s="23">
        <v>9</v>
      </c>
      <c r="S494" s="24">
        <v>442.53802250000001</v>
      </c>
      <c r="T494" s="24">
        <v>445.32058577176679</v>
      </c>
      <c r="U494" s="20">
        <v>0.48666705081901185</v>
      </c>
      <c r="V494" s="20">
        <v>-4.7588004109658799</v>
      </c>
      <c r="W494" s="20">
        <v>-6.7054686142419273</v>
      </c>
      <c r="X494" s="22">
        <v>44063</v>
      </c>
      <c r="Y494" s="23">
        <v>9</v>
      </c>
      <c r="Z494" s="24">
        <v>438.44691599999999</v>
      </c>
      <c r="AA494" s="24">
        <v>441.22445394407544</v>
      </c>
      <c r="AB494" s="20">
        <v>0.49032096974244155</v>
      </c>
      <c r="AC494" s="20">
        <v>-6.9013003928330985</v>
      </c>
      <c r="AD494" s="20">
        <v>-8.8625842718028647</v>
      </c>
      <c r="AE494" s="22">
        <v>44278</v>
      </c>
      <c r="AF494" s="23" t="s">
        <v>88</v>
      </c>
      <c r="AG494" s="24">
        <v>441.2973015</v>
      </c>
      <c r="AH494" s="24">
        <v>444.07206344281968</v>
      </c>
      <c r="AI494" s="54"/>
      <c r="AJ494" s="55"/>
      <c r="AK494" s="55"/>
      <c r="AL494" s="22">
        <v>44333</v>
      </c>
      <c r="AM494" s="23" t="s">
        <v>832</v>
      </c>
      <c r="AN494" s="24">
        <v>443.42215850000002</v>
      </c>
      <c r="AO494" s="24">
        <v>446.23232957172706</v>
      </c>
      <c r="AP494" s="20">
        <v>0.49051563332658255</v>
      </c>
      <c r="AQ494" s="20"/>
      <c r="AR494" s="20"/>
      <c r="AS494" s="21"/>
      <c r="AT494" s="20"/>
      <c r="AU494" s="4"/>
      <c r="AV494" s="20"/>
      <c r="AW494" s="20" t="s">
        <v>17</v>
      </c>
      <c r="AX494" s="20" t="s">
        <v>17</v>
      </c>
      <c r="AY494" s="20" t="s">
        <v>17</v>
      </c>
      <c r="AZ494" s="5"/>
      <c r="BA494" s="6"/>
      <c r="BB494" s="4"/>
      <c r="BC494" s="6"/>
      <c r="BD494" s="6"/>
      <c r="BE494" s="6"/>
      <c r="BF494" s="7"/>
    </row>
    <row r="495" spans="1:58" ht="18" customHeight="1">
      <c r="A495" s="106" t="s">
        <v>15</v>
      </c>
      <c r="B495" s="93" t="s">
        <v>473</v>
      </c>
      <c r="C495" s="28">
        <v>813.91499999999996</v>
      </c>
      <c r="D495" s="28">
        <v>814</v>
      </c>
      <c r="E495" s="28">
        <v>813.95749999999998</v>
      </c>
      <c r="F495" s="28">
        <v>813.95749999999998</v>
      </c>
      <c r="G495" s="29">
        <v>43266.321873762303</v>
      </c>
      <c r="H495" s="29">
        <v>39392.560745153198</v>
      </c>
      <c r="I495" s="27">
        <f t="shared" si="22"/>
        <v>1</v>
      </c>
      <c r="J495" s="27">
        <f t="shared" si="23"/>
        <v>2</v>
      </c>
      <c r="K495" s="27">
        <f t="shared" si="21"/>
        <v>1</v>
      </c>
      <c r="L495" s="25">
        <v>433.11709666666667</v>
      </c>
      <c r="M495" s="25">
        <v>435.89986851150809</v>
      </c>
      <c r="N495" s="38">
        <v>0.49675538861437829</v>
      </c>
      <c r="O495" s="38">
        <v>-5.2638765524291031</v>
      </c>
      <c r="P495" s="71">
        <v>-7.2530367067598078</v>
      </c>
      <c r="Q495" s="53">
        <v>44075</v>
      </c>
      <c r="R495" s="23">
        <v>9</v>
      </c>
      <c r="S495" s="24">
        <v>433.11709666666667</v>
      </c>
      <c r="T495" s="24">
        <v>435.89986851150809</v>
      </c>
      <c r="U495" s="20">
        <v>0.49729003858267617</v>
      </c>
      <c r="V495" s="20">
        <v>-5.2638765524291031</v>
      </c>
      <c r="W495" s="20">
        <v>-7.2530367067598078</v>
      </c>
      <c r="X495" s="22">
        <v>44341</v>
      </c>
      <c r="Y495" s="23" t="s">
        <v>88</v>
      </c>
      <c r="Z495" s="24"/>
      <c r="AA495" s="24"/>
      <c r="AB495" s="20">
        <v>0.49622073864608041</v>
      </c>
      <c r="AC495" s="20"/>
      <c r="AD495" s="20"/>
      <c r="AE495" s="22" t="s">
        <v>17</v>
      </c>
      <c r="AF495" s="23"/>
      <c r="AG495" s="24" t="s">
        <v>17</v>
      </c>
      <c r="AH495" s="24" t="s">
        <v>17</v>
      </c>
      <c r="AI495" s="20" t="s">
        <v>17</v>
      </c>
      <c r="AJ495" s="20" t="s">
        <v>17</v>
      </c>
      <c r="AK495" s="20" t="s">
        <v>17</v>
      </c>
      <c r="AL495" s="22" t="s">
        <v>17</v>
      </c>
      <c r="AM495" s="23" t="s">
        <v>17</v>
      </c>
      <c r="AN495" s="24" t="s">
        <v>17</v>
      </c>
      <c r="AO495" s="24" t="s">
        <v>17</v>
      </c>
      <c r="AP495" s="20" t="s">
        <v>17</v>
      </c>
      <c r="AQ495" s="20" t="s">
        <v>17</v>
      </c>
      <c r="AR495" s="20" t="s">
        <v>17</v>
      </c>
      <c r="AS495" s="21"/>
      <c r="AT495" s="20"/>
      <c r="AU495" s="4"/>
      <c r="AV495" s="20"/>
      <c r="AW495" s="20" t="s">
        <v>17</v>
      </c>
      <c r="AX495" s="20" t="s">
        <v>17</v>
      </c>
      <c r="AY495" s="20" t="s">
        <v>17</v>
      </c>
      <c r="AZ495" s="5"/>
      <c r="BA495" s="6"/>
      <c r="BB495" s="4"/>
      <c r="BC495" s="6"/>
      <c r="BD495" s="6"/>
      <c r="BE495" s="6"/>
      <c r="BF495" s="7"/>
    </row>
    <row r="496" spans="1:58" ht="18" customHeight="1">
      <c r="A496" s="106" t="s">
        <v>15</v>
      </c>
      <c r="B496" s="112" t="s">
        <v>474</v>
      </c>
      <c r="C496" s="28">
        <v>820.52</v>
      </c>
      <c r="D496" s="28">
        <v>820.64</v>
      </c>
      <c r="E496" s="28">
        <v>820.57999999999993</v>
      </c>
      <c r="F496" s="28">
        <v>820.57999999999993</v>
      </c>
      <c r="G496" s="29">
        <v>43843.586152746298</v>
      </c>
      <c r="H496" s="29">
        <v>39849.414995532898</v>
      </c>
      <c r="I496" s="27">
        <f t="shared" si="22"/>
        <v>2</v>
      </c>
      <c r="J496" s="27">
        <f t="shared" si="23"/>
        <v>2</v>
      </c>
      <c r="K496" s="27">
        <f t="shared" si="21"/>
        <v>2</v>
      </c>
      <c r="L496" s="25">
        <v>417.11514299999999</v>
      </c>
      <c r="M496" s="25">
        <v>419.6720833690548</v>
      </c>
      <c r="N496" s="38">
        <v>0.47446165153930409</v>
      </c>
      <c r="O496" s="38">
        <v>-0.56862604280993878</v>
      </c>
      <c r="P496" s="71">
        <v>-2.4664726489671551</v>
      </c>
      <c r="Q496" s="53">
        <v>44042</v>
      </c>
      <c r="R496" s="23">
        <v>10</v>
      </c>
      <c r="S496" s="24">
        <v>416.52227949999997</v>
      </c>
      <c r="T496" s="24">
        <v>419.0713888266967</v>
      </c>
      <c r="U496" s="20">
        <v>0.47368290533533752</v>
      </c>
      <c r="V496" s="20">
        <v>1.8709681593782612</v>
      </c>
      <c r="W496" s="20">
        <v>-2.3763461963088872E-2</v>
      </c>
      <c r="X496" s="22">
        <v>44042</v>
      </c>
      <c r="Y496" s="23">
        <v>10</v>
      </c>
      <c r="Z496" s="24">
        <v>417.70800650000001</v>
      </c>
      <c r="AA496" s="24">
        <v>420.27277791141296</v>
      </c>
      <c r="AB496" s="20">
        <v>0.47524039774327065</v>
      </c>
      <c r="AC496" s="20">
        <v>-3.0082202449981388</v>
      </c>
      <c r="AD496" s="20">
        <v>-4.9091818359712214</v>
      </c>
      <c r="AE496" s="22" t="s">
        <v>17</v>
      </c>
      <c r="AF496" s="23"/>
      <c r="AG496" s="24" t="s">
        <v>17</v>
      </c>
      <c r="AH496" s="24" t="s">
        <v>17</v>
      </c>
      <c r="AI496" s="20" t="s">
        <v>17</v>
      </c>
      <c r="AJ496" s="20" t="s">
        <v>17</v>
      </c>
      <c r="AK496" s="20" t="s">
        <v>17</v>
      </c>
      <c r="AL496" s="22" t="s">
        <v>17</v>
      </c>
      <c r="AM496" s="23" t="s">
        <v>17</v>
      </c>
      <c r="AN496" s="24" t="s">
        <v>17</v>
      </c>
      <c r="AO496" s="24" t="s">
        <v>17</v>
      </c>
      <c r="AP496" s="20" t="s">
        <v>17</v>
      </c>
      <c r="AQ496" s="20" t="s">
        <v>17</v>
      </c>
      <c r="AR496" s="20" t="s">
        <v>17</v>
      </c>
      <c r="AS496" s="21"/>
      <c r="AT496" s="20"/>
      <c r="AU496" s="4"/>
      <c r="AV496" s="20"/>
      <c r="AW496" s="20" t="s">
        <v>17</v>
      </c>
      <c r="AX496" s="20" t="s">
        <v>17</v>
      </c>
      <c r="AY496" s="20" t="s">
        <v>17</v>
      </c>
      <c r="AZ496" s="5"/>
      <c r="BA496" s="6"/>
      <c r="BB496" s="4"/>
      <c r="BC496" s="6"/>
      <c r="BD496" s="6"/>
      <c r="BE496" s="6"/>
      <c r="BF496" s="7"/>
    </row>
    <row r="497" spans="1:58" ht="18" customHeight="1">
      <c r="A497" s="106" t="s">
        <v>15</v>
      </c>
      <c r="B497" s="93" t="s">
        <v>475</v>
      </c>
      <c r="C497" s="28">
        <v>827.05</v>
      </c>
      <c r="D497" s="28">
        <v>827.17</v>
      </c>
      <c r="E497" s="28">
        <v>827.1099999999999</v>
      </c>
      <c r="F497" s="28">
        <v>827.1099999999999</v>
      </c>
      <c r="G497" s="29">
        <v>44446.093427236003</v>
      </c>
      <c r="H497" s="29">
        <v>40317.336489972397</v>
      </c>
      <c r="I497" s="27">
        <f t="shared" si="22"/>
        <v>4</v>
      </c>
      <c r="J497" s="27">
        <f t="shared" si="23"/>
        <v>4</v>
      </c>
      <c r="K497" s="27">
        <f t="shared" si="21"/>
        <v>2</v>
      </c>
      <c r="L497" s="25">
        <v>425.11671150000001</v>
      </c>
      <c r="M497" s="25">
        <v>427.72308739427154</v>
      </c>
      <c r="N497" s="38">
        <v>0.47453604817271344</v>
      </c>
      <c r="O497" s="38">
        <v>-8.4973015270276022</v>
      </c>
      <c r="P497" s="71">
        <v>-10.400849875745578</v>
      </c>
      <c r="Q497" s="53">
        <v>44049</v>
      </c>
      <c r="R497" s="23">
        <v>10</v>
      </c>
      <c r="S497" s="24">
        <v>424.742909</v>
      </c>
      <c r="T497" s="24">
        <v>427.34864203779529</v>
      </c>
      <c r="U497" s="20">
        <v>0.47483340956344655</v>
      </c>
      <c r="V497" s="20">
        <v>-8.4064015550044946</v>
      </c>
      <c r="W497" s="20">
        <v>-10.305735193258281</v>
      </c>
      <c r="X497" s="22">
        <v>44049</v>
      </c>
      <c r="Y497" s="23">
        <v>10</v>
      </c>
      <c r="Z497" s="24">
        <v>424.00217050000003</v>
      </c>
      <c r="AA497" s="24">
        <v>426.61490353959431</v>
      </c>
      <c r="AB497" s="20">
        <v>0.47694076479554148</v>
      </c>
      <c r="AC497" s="20">
        <v>-8.5882014990507081</v>
      </c>
      <c r="AD497" s="20">
        <v>-10.495964558232874</v>
      </c>
      <c r="AE497" s="22">
        <v>44349</v>
      </c>
      <c r="AF497" s="23" t="s">
        <v>88</v>
      </c>
      <c r="AG497" s="24">
        <v>424.27537849999999</v>
      </c>
      <c r="AH497" s="24">
        <v>426.87006061959596</v>
      </c>
      <c r="AI497" s="54">
        <v>0.47334066415172238</v>
      </c>
      <c r="AJ497" s="55"/>
      <c r="AK497" s="55"/>
      <c r="AL497" s="22">
        <v>44349</v>
      </c>
      <c r="AM497" s="23" t="s">
        <v>832</v>
      </c>
      <c r="AN497" s="24">
        <v>427.44638800000001</v>
      </c>
      <c r="AO497" s="24">
        <v>430.05874338010062</v>
      </c>
      <c r="AP497" s="20">
        <v>0.47302935418014336</v>
      </c>
      <c r="AQ497" s="20"/>
      <c r="AR497" s="20"/>
      <c r="AS497" s="21"/>
      <c r="AT497" s="20"/>
      <c r="AU497" s="4"/>
      <c r="AV497" s="20"/>
      <c r="AW497" s="20" t="s">
        <v>17</v>
      </c>
      <c r="AX497" s="20" t="s">
        <v>17</v>
      </c>
      <c r="AY497" s="20" t="s">
        <v>17</v>
      </c>
      <c r="AZ497" s="5"/>
      <c r="BA497" s="6"/>
      <c r="BB497" s="4"/>
      <c r="BC497" s="6"/>
      <c r="BD497" s="6"/>
      <c r="BE497" s="6"/>
      <c r="BF497" s="7"/>
    </row>
    <row r="498" spans="1:58" ht="18" customHeight="1">
      <c r="A498" s="106" t="s">
        <v>15</v>
      </c>
      <c r="B498" s="93" t="s">
        <v>476</v>
      </c>
      <c r="C498" s="28">
        <v>833.05</v>
      </c>
      <c r="D498" s="28">
        <v>833.17</v>
      </c>
      <c r="E498" s="28">
        <v>833.1099999999999</v>
      </c>
      <c r="F498" s="28">
        <v>833.1099999999999</v>
      </c>
      <c r="G498" s="29">
        <v>44950.356867277696</v>
      </c>
      <c r="H498" s="29">
        <v>40833.037025922698</v>
      </c>
      <c r="I498" s="27">
        <f t="shared" si="22"/>
        <v>3</v>
      </c>
      <c r="J498" s="27">
        <f t="shared" si="23"/>
        <v>3</v>
      </c>
      <c r="K498" s="27">
        <f t="shared" si="21"/>
        <v>2</v>
      </c>
      <c r="L498" s="25">
        <v>428.22605433333337</v>
      </c>
      <c r="M498" s="25">
        <v>430.83715676552282</v>
      </c>
      <c r="N498" s="38">
        <v>0.47194082921471942</v>
      </c>
      <c r="O498" s="38">
        <v>-13.360519126950686</v>
      </c>
      <c r="P498" s="71">
        <v>-15.248528549140493</v>
      </c>
      <c r="Q498" s="53">
        <v>44032</v>
      </c>
      <c r="R498" s="23">
        <v>10</v>
      </c>
      <c r="S498" s="24">
        <v>429.13461999999998</v>
      </c>
      <c r="T498" s="24">
        <v>431.77469401774732</v>
      </c>
      <c r="U498" s="20">
        <v>0.47616781478243553</v>
      </c>
      <c r="V498" s="20">
        <v>-13.519466316777361</v>
      </c>
      <c r="W498" s="20">
        <v>-15.424137575907103</v>
      </c>
      <c r="X498" s="22">
        <v>44032</v>
      </c>
      <c r="Y498" s="23">
        <v>10</v>
      </c>
      <c r="Z498" s="24">
        <v>428.95338249999998</v>
      </c>
      <c r="AA498" s="24">
        <v>431.5461709311794</v>
      </c>
      <c r="AB498" s="20">
        <v>0.46783689631246794</v>
      </c>
      <c r="AC498" s="20">
        <v>-13.201571937124012</v>
      </c>
      <c r="AD498" s="20">
        <v>-15.072919522373883</v>
      </c>
      <c r="AE498" s="22">
        <v>44390</v>
      </c>
      <c r="AF498" s="23" t="s">
        <v>88</v>
      </c>
      <c r="AG498" s="24">
        <v>426.59016050000002</v>
      </c>
      <c r="AH498" s="24">
        <v>429.19060534764174</v>
      </c>
      <c r="AI498" s="54">
        <v>0.47181777654925483</v>
      </c>
      <c r="AJ498" s="55"/>
      <c r="AK498" s="55"/>
      <c r="AL498" s="22" t="s">
        <v>17</v>
      </c>
      <c r="AM498" s="23" t="s">
        <v>17</v>
      </c>
      <c r="AN498" s="24" t="s">
        <v>17</v>
      </c>
      <c r="AO498" s="24" t="s">
        <v>17</v>
      </c>
      <c r="AP498" s="20" t="s">
        <v>17</v>
      </c>
      <c r="AQ498" s="20" t="s">
        <v>17</v>
      </c>
      <c r="AR498" s="20" t="s">
        <v>17</v>
      </c>
      <c r="AS498" s="21"/>
      <c r="AT498" s="20"/>
      <c r="AU498" s="4"/>
      <c r="AV498" s="20"/>
      <c r="AW498" s="20" t="s">
        <v>17</v>
      </c>
      <c r="AX498" s="20" t="s">
        <v>17</v>
      </c>
      <c r="AY498" s="20" t="s">
        <v>17</v>
      </c>
      <c r="AZ498" s="5"/>
      <c r="BA498" s="6"/>
      <c r="BB498" s="4"/>
      <c r="BC498" s="6"/>
      <c r="BD498" s="6"/>
      <c r="BE498" s="6"/>
      <c r="BF498" s="7"/>
    </row>
    <row r="499" spans="1:58" ht="18" customHeight="1">
      <c r="A499" s="106" t="s">
        <v>15</v>
      </c>
      <c r="B499" s="93" t="s">
        <v>477</v>
      </c>
      <c r="C499" s="28">
        <v>839.44</v>
      </c>
      <c r="D499" s="28">
        <v>839.56</v>
      </c>
      <c r="E499" s="28">
        <v>839.5</v>
      </c>
      <c r="F499" s="28">
        <v>839.5</v>
      </c>
      <c r="G499" s="29">
        <v>45537.219160396497</v>
      </c>
      <c r="H499" s="29">
        <v>41325.9192466815</v>
      </c>
      <c r="I499" s="27">
        <f t="shared" si="22"/>
        <v>2</v>
      </c>
      <c r="J499" s="27">
        <f t="shared" si="23"/>
        <v>2</v>
      </c>
      <c r="K499" s="27">
        <f t="shared" si="21"/>
        <v>2</v>
      </c>
      <c r="L499" s="25">
        <v>471.74807950000002</v>
      </c>
      <c r="M499" s="25">
        <v>474.67575770071551</v>
      </c>
      <c r="N499" s="38">
        <v>0.48032472360948208</v>
      </c>
      <c r="O499" s="38">
        <v>-10.289642385103605</v>
      </c>
      <c r="P499" s="71">
        <v>-12.210941279541533</v>
      </c>
      <c r="Q499" s="53">
        <v>44004</v>
      </c>
      <c r="R499" s="23">
        <v>11</v>
      </c>
      <c r="S499" s="24">
        <v>475.31687350000004</v>
      </c>
      <c r="T499" s="24">
        <v>478.28072728829079</v>
      </c>
      <c r="U499" s="20">
        <v>0.4826263505457451</v>
      </c>
      <c r="V499" s="20">
        <v>-10.956764211272452</v>
      </c>
      <c r="W499" s="20">
        <v>-12.887269613455432</v>
      </c>
      <c r="X499" s="22">
        <v>44004</v>
      </c>
      <c r="Y499" s="23">
        <v>11</v>
      </c>
      <c r="Z499" s="24">
        <v>468.17928549999999</v>
      </c>
      <c r="AA499" s="24">
        <v>471.07078811314028</v>
      </c>
      <c r="AB499" s="20">
        <v>0.47802309667321907</v>
      </c>
      <c r="AC499" s="20">
        <v>-9.622520558934756</v>
      </c>
      <c r="AD499" s="20">
        <v>-11.534612945627632</v>
      </c>
      <c r="AE499" s="22" t="s">
        <v>17</v>
      </c>
      <c r="AF499" s="23"/>
      <c r="AG499" s="24" t="s">
        <v>17</v>
      </c>
      <c r="AH499" s="24" t="s">
        <v>17</v>
      </c>
      <c r="AI499" s="20" t="s">
        <v>17</v>
      </c>
      <c r="AJ499" s="20" t="s">
        <v>17</v>
      </c>
      <c r="AK499" s="20" t="s">
        <v>17</v>
      </c>
      <c r="AL499" s="22" t="s">
        <v>17</v>
      </c>
      <c r="AM499" s="23" t="s">
        <v>17</v>
      </c>
      <c r="AN499" s="24" t="s">
        <v>17</v>
      </c>
      <c r="AO499" s="24" t="s">
        <v>17</v>
      </c>
      <c r="AP499" s="20" t="s">
        <v>17</v>
      </c>
      <c r="AQ499" s="20" t="s">
        <v>17</v>
      </c>
      <c r="AR499" s="20" t="s">
        <v>17</v>
      </c>
      <c r="AS499" s="21"/>
      <c r="AT499" s="20"/>
      <c r="AU499" s="4"/>
      <c r="AV499" s="20"/>
      <c r="AW499" s="20" t="s">
        <v>17</v>
      </c>
      <c r="AX499" s="20" t="s">
        <v>17</v>
      </c>
      <c r="AY499" s="20" t="s">
        <v>17</v>
      </c>
      <c r="AZ499" s="5"/>
      <c r="BA499" s="6"/>
      <c r="BB499" s="4"/>
      <c r="BC499" s="6"/>
      <c r="BD499" s="6"/>
      <c r="BE499" s="6"/>
      <c r="BF499" s="7"/>
    </row>
    <row r="500" spans="1:58" ht="18" customHeight="1">
      <c r="A500" s="106" t="s">
        <v>15</v>
      </c>
      <c r="B500" s="93" t="s">
        <v>478</v>
      </c>
      <c r="C500" s="28">
        <v>846.06</v>
      </c>
      <c r="D500" s="28">
        <v>846.18</v>
      </c>
      <c r="E500" s="28">
        <v>846.11999999999989</v>
      </c>
      <c r="F500" s="28">
        <v>846.11999999999989</v>
      </c>
      <c r="G500" s="29">
        <v>46057.214173508</v>
      </c>
      <c r="H500" s="29">
        <v>41845.7151916613</v>
      </c>
      <c r="I500" s="27">
        <f t="shared" si="22"/>
        <v>2</v>
      </c>
      <c r="J500" s="27">
        <f t="shared" si="23"/>
        <v>2</v>
      </c>
      <c r="K500" s="27">
        <f t="shared" si="21"/>
        <v>2</v>
      </c>
      <c r="L500" s="25">
        <v>413.78652875</v>
      </c>
      <c r="M500" s="25">
        <v>416.36292345222466</v>
      </c>
      <c r="N500" s="38">
        <v>0.48192838757565859</v>
      </c>
      <c r="O500" s="38">
        <v>-8.2727289278153862</v>
      </c>
      <c r="P500" s="71">
        <v>-10.200442478118021</v>
      </c>
      <c r="Q500" s="53">
        <v>44048</v>
      </c>
      <c r="R500" s="23">
        <v>10</v>
      </c>
      <c r="S500" s="24">
        <v>414.90097100000003</v>
      </c>
      <c r="T500" s="24">
        <v>417.46454091604778</v>
      </c>
      <c r="U500" s="20">
        <v>0.4782315251614655</v>
      </c>
      <c r="V500" s="20">
        <v>-8.7329324726768132</v>
      </c>
      <c r="W500" s="20">
        <v>-10.645858573322675</v>
      </c>
      <c r="X500" s="22">
        <v>44048</v>
      </c>
      <c r="Y500" s="23">
        <v>10</v>
      </c>
      <c r="Z500" s="24">
        <v>412.67208649999998</v>
      </c>
      <c r="AA500" s="24">
        <v>415.26130598840149</v>
      </c>
      <c r="AB500" s="20">
        <v>0.48562524998985168</v>
      </c>
      <c r="AC500" s="20">
        <v>-7.8125253829539609</v>
      </c>
      <c r="AD500" s="20">
        <v>-9.7550263829133677</v>
      </c>
      <c r="AE500" s="22" t="s">
        <v>17</v>
      </c>
      <c r="AF500" s="23"/>
      <c r="AG500" s="24" t="s">
        <v>17</v>
      </c>
      <c r="AH500" s="24" t="s">
        <v>17</v>
      </c>
      <c r="AI500" s="20" t="s">
        <v>17</v>
      </c>
      <c r="AJ500" s="20" t="s">
        <v>17</v>
      </c>
      <c r="AK500" s="20" t="s">
        <v>17</v>
      </c>
      <c r="AL500" s="22" t="s">
        <v>17</v>
      </c>
      <c r="AM500" s="23" t="s">
        <v>17</v>
      </c>
      <c r="AN500" s="24" t="s">
        <v>17</v>
      </c>
      <c r="AO500" s="24" t="s">
        <v>17</v>
      </c>
      <c r="AP500" s="20" t="s">
        <v>17</v>
      </c>
      <c r="AQ500" s="20" t="s">
        <v>17</v>
      </c>
      <c r="AR500" s="20" t="s">
        <v>17</v>
      </c>
      <c r="AS500" s="21"/>
      <c r="AT500" s="20"/>
      <c r="AU500" s="4"/>
      <c r="AV500" s="20"/>
      <c r="AW500" s="20" t="s">
        <v>17</v>
      </c>
      <c r="AX500" s="20" t="s">
        <v>17</v>
      </c>
      <c r="AY500" s="20" t="s">
        <v>17</v>
      </c>
      <c r="AZ500" s="5"/>
      <c r="BA500" s="6"/>
      <c r="BB500" s="4"/>
      <c r="BC500" s="6"/>
      <c r="BD500" s="6"/>
      <c r="BE500" s="6"/>
      <c r="BF500" s="7"/>
    </row>
    <row r="501" spans="1:58" ht="18" customHeight="1">
      <c r="A501" s="106" t="s">
        <v>15</v>
      </c>
      <c r="B501" s="93" t="s">
        <v>479</v>
      </c>
      <c r="C501" s="28">
        <v>853.39</v>
      </c>
      <c r="D501" s="28">
        <v>853.51</v>
      </c>
      <c r="E501" s="28">
        <v>853.45</v>
      </c>
      <c r="F501" s="28">
        <v>853.45</v>
      </c>
      <c r="G501" s="29">
        <v>46650.847049884498</v>
      </c>
      <c r="H501" s="29">
        <v>42418.332727501504</v>
      </c>
      <c r="I501" s="27">
        <f t="shared" si="22"/>
        <v>1</v>
      </c>
      <c r="J501" s="27">
        <f t="shared" si="23"/>
        <v>1</v>
      </c>
      <c r="K501" s="27">
        <f t="shared" si="21"/>
        <v>1</v>
      </c>
      <c r="L501" s="25">
        <v>438.86829266666672</v>
      </c>
      <c r="M501" s="25">
        <v>441.61901777267934</v>
      </c>
      <c r="N501" s="38">
        <v>0.4851214442409546</v>
      </c>
      <c r="O501" s="38">
        <v>-5.1061379862196166</v>
      </c>
      <c r="P501" s="71">
        <v>-7.046623763183435</v>
      </c>
      <c r="Q501" s="53">
        <v>44109</v>
      </c>
      <c r="R501" s="23">
        <v>9</v>
      </c>
      <c r="S501" s="24">
        <v>438.86829266666672</v>
      </c>
      <c r="T501" s="24">
        <v>441.61901777267934</v>
      </c>
      <c r="U501" s="20">
        <v>0.4851214442409546</v>
      </c>
      <c r="V501" s="20">
        <v>-5.1061379862196166</v>
      </c>
      <c r="W501" s="20">
        <v>-7.046623763183435</v>
      </c>
      <c r="X501" s="22" t="s">
        <v>17</v>
      </c>
      <c r="Y501" s="23"/>
      <c r="Z501" s="24" t="s">
        <v>17</v>
      </c>
      <c r="AA501" s="24" t="s">
        <v>17</v>
      </c>
      <c r="AB501" s="20" t="s">
        <v>17</v>
      </c>
      <c r="AC501" s="20" t="s">
        <v>17</v>
      </c>
      <c r="AD501" s="20" t="s">
        <v>17</v>
      </c>
      <c r="AE501" s="22" t="s">
        <v>17</v>
      </c>
      <c r="AF501" s="23"/>
      <c r="AG501" s="24" t="s">
        <v>17</v>
      </c>
      <c r="AH501" s="24" t="s">
        <v>17</v>
      </c>
      <c r="AI501" s="20" t="s">
        <v>17</v>
      </c>
      <c r="AJ501" s="20" t="s">
        <v>17</v>
      </c>
      <c r="AK501" s="20" t="s">
        <v>17</v>
      </c>
      <c r="AL501" s="22" t="s">
        <v>17</v>
      </c>
      <c r="AM501" s="23" t="s">
        <v>17</v>
      </c>
      <c r="AN501" s="24" t="s">
        <v>17</v>
      </c>
      <c r="AO501" s="24" t="s">
        <v>17</v>
      </c>
      <c r="AP501" s="20" t="s">
        <v>17</v>
      </c>
      <c r="AQ501" s="20" t="s">
        <v>17</v>
      </c>
      <c r="AR501" s="20" t="s">
        <v>17</v>
      </c>
      <c r="AS501" s="21"/>
      <c r="AT501" s="20"/>
      <c r="AU501" s="4"/>
      <c r="AV501" s="20"/>
      <c r="AW501" s="20" t="s">
        <v>17</v>
      </c>
      <c r="AX501" s="20" t="s">
        <v>17</v>
      </c>
      <c r="AY501" s="20" t="s">
        <v>17</v>
      </c>
      <c r="AZ501" s="5"/>
      <c r="BA501" s="6"/>
      <c r="BB501" s="4"/>
      <c r="BC501" s="6"/>
      <c r="BD501" s="6"/>
      <c r="BE501" s="6"/>
      <c r="BF501" s="7"/>
    </row>
    <row r="502" spans="1:58" ht="18" customHeight="1">
      <c r="A502" s="106" t="s">
        <v>15</v>
      </c>
      <c r="B502" s="93" t="s">
        <v>480</v>
      </c>
      <c r="C502" s="28">
        <v>860.89</v>
      </c>
      <c r="D502" s="28">
        <v>861.01</v>
      </c>
      <c r="E502" s="28">
        <v>860.95</v>
      </c>
      <c r="F502" s="28">
        <v>860.95</v>
      </c>
      <c r="G502" s="29">
        <v>47164.561477472598</v>
      </c>
      <c r="H502" s="29">
        <v>43115.165784539902</v>
      </c>
      <c r="I502" s="27">
        <f t="shared" si="22"/>
        <v>1</v>
      </c>
      <c r="J502" s="27">
        <f t="shared" si="23"/>
        <v>1</v>
      </c>
      <c r="K502" s="27">
        <f t="shared" si="21"/>
        <v>1</v>
      </c>
      <c r="L502" s="25">
        <v>480.90280499999994</v>
      </c>
      <c r="M502" s="25">
        <v>483.91297402612605</v>
      </c>
      <c r="N502" s="38">
        <v>0.48447465125600608</v>
      </c>
      <c r="O502" s="38">
        <v>-11.278354373630449</v>
      </c>
      <c r="P502" s="71">
        <v>-13.216252978654474</v>
      </c>
      <c r="Q502" s="53">
        <v>44047</v>
      </c>
      <c r="R502" s="23">
        <v>10</v>
      </c>
      <c r="S502" s="24">
        <v>480.90280499999994</v>
      </c>
      <c r="T502" s="24">
        <v>483.91297402612605</v>
      </c>
      <c r="U502" s="20">
        <v>0.48447465125600608</v>
      </c>
      <c r="V502" s="20">
        <v>-11.278354373630449</v>
      </c>
      <c r="W502" s="20">
        <v>-13.216252978654474</v>
      </c>
      <c r="X502" s="22" t="s">
        <v>17</v>
      </c>
      <c r="Y502" s="23"/>
      <c r="Z502" s="24" t="s">
        <v>17</v>
      </c>
      <c r="AA502" s="24" t="s">
        <v>17</v>
      </c>
      <c r="AB502" s="20" t="s">
        <v>17</v>
      </c>
      <c r="AC502" s="20" t="s">
        <v>17</v>
      </c>
      <c r="AD502" s="20" t="s">
        <v>17</v>
      </c>
      <c r="AE502" s="22" t="s">
        <v>17</v>
      </c>
      <c r="AF502" s="23"/>
      <c r="AG502" s="24" t="s">
        <v>17</v>
      </c>
      <c r="AH502" s="24" t="s">
        <v>17</v>
      </c>
      <c r="AI502" s="20" t="s">
        <v>17</v>
      </c>
      <c r="AJ502" s="20" t="s">
        <v>17</v>
      </c>
      <c r="AK502" s="20" t="s">
        <v>17</v>
      </c>
      <c r="AL502" s="22" t="s">
        <v>17</v>
      </c>
      <c r="AM502" s="23" t="s">
        <v>17</v>
      </c>
      <c r="AN502" s="24" t="s">
        <v>17</v>
      </c>
      <c r="AO502" s="24" t="s">
        <v>17</v>
      </c>
      <c r="AP502" s="20" t="s">
        <v>17</v>
      </c>
      <c r="AQ502" s="20" t="s">
        <v>17</v>
      </c>
      <c r="AR502" s="20" t="s">
        <v>17</v>
      </c>
      <c r="AS502" s="21"/>
      <c r="AT502" s="20"/>
      <c r="AU502" s="4"/>
      <c r="AV502" s="20"/>
      <c r="AW502" s="20" t="s">
        <v>17</v>
      </c>
      <c r="AX502" s="20" t="s">
        <v>17</v>
      </c>
      <c r="AY502" s="20" t="s">
        <v>17</v>
      </c>
      <c r="AZ502" s="5"/>
      <c r="BA502" s="6"/>
      <c r="BB502" s="4"/>
      <c r="BC502" s="6"/>
      <c r="BD502" s="6"/>
      <c r="BE502" s="6"/>
      <c r="BF502" s="7"/>
    </row>
    <row r="503" spans="1:58" ht="18" customHeight="1">
      <c r="A503" s="106" t="s">
        <v>15</v>
      </c>
      <c r="B503" s="93" t="s">
        <v>481</v>
      </c>
      <c r="C503" s="28">
        <v>867.38499999999999</v>
      </c>
      <c r="D503" s="28">
        <v>867.5</v>
      </c>
      <c r="E503" s="28">
        <v>867.4425</v>
      </c>
      <c r="F503" s="28">
        <v>867.4425</v>
      </c>
      <c r="G503" s="29">
        <v>47673.243637259402</v>
      </c>
      <c r="H503" s="29">
        <v>43741.627708831104</v>
      </c>
      <c r="I503" s="27">
        <f t="shared" si="22"/>
        <v>2</v>
      </c>
      <c r="J503" s="27">
        <f t="shared" si="23"/>
        <v>4</v>
      </c>
      <c r="K503" s="27">
        <f t="shared" si="21"/>
        <v>2</v>
      </c>
      <c r="L503" s="25">
        <v>417.05456649999996</v>
      </c>
      <c r="M503" s="25">
        <v>419.64360958721522</v>
      </c>
      <c r="N503" s="38">
        <v>0.47557718332219556</v>
      </c>
      <c r="O503" s="38">
        <v>-0.67508614762196162</v>
      </c>
      <c r="P503" s="71">
        <v>-2.597027634556881</v>
      </c>
      <c r="Q503" s="53">
        <v>44067</v>
      </c>
      <c r="R503" s="23">
        <v>9</v>
      </c>
      <c r="S503" s="24">
        <v>415.56685149999998</v>
      </c>
      <c r="T503" s="24">
        <v>418.14045325692268</v>
      </c>
      <c r="U503" s="20">
        <v>0.47933366606445205</v>
      </c>
      <c r="V503" s="20">
        <v>-8.928141280462043E-2</v>
      </c>
      <c r="W503" s="20">
        <v>-2.0066160770624286</v>
      </c>
      <c r="X503" s="22">
        <v>44067</v>
      </c>
      <c r="Y503" s="23">
        <v>9</v>
      </c>
      <c r="Z503" s="24">
        <v>418.5422815</v>
      </c>
      <c r="AA503" s="24">
        <v>421.14676591750771</v>
      </c>
      <c r="AB503" s="20">
        <v>0.48163707740300765</v>
      </c>
      <c r="AC503" s="20">
        <v>-1.2608908824393028</v>
      </c>
      <c r="AD503" s="20">
        <v>-3.1874391920513334</v>
      </c>
      <c r="AE503" s="22">
        <v>44333</v>
      </c>
      <c r="AF503" s="23" t="s">
        <v>88</v>
      </c>
      <c r="AG503" s="24"/>
      <c r="AH503" s="24"/>
      <c r="AI503" s="54">
        <v>0.47454471410679488</v>
      </c>
      <c r="AJ503" s="55"/>
      <c r="AK503" s="55"/>
      <c r="AL503" s="22">
        <v>44333</v>
      </c>
      <c r="AM503" s="23" t="s">
        <v>832</v>
      </c>
      <c r="AN503" s="24"/>
      <c r="AO503" s="24"/>
      <c r="AP503" s="20">
        <v>0.46679327571452767</v>
      </c>
      <c r="AQ503" s="20"/>
      <c r="AR503" s="20"/>
      <c r="AS503" s="21"/>
      <c r="AT503" s="20"/>
      <c r="AU503" s="4"/>
      <c r="AV503" s="20"/>
      <c r="AW503" s="20" t="s">
        <v>17</v>
      </c>
      <c r="AX503" s="20" t="s">
        <v>17</v>
      </c>
      <c r="AY503" s="20" t="s">
        <v>17</v>
      </c>
      <c r="AZ503" s="5"/>
      <c r="BA503" s="6"/>
      <c r="BB503" s="4"/>
      <c r="BC503" s="6"/>
      <c r="BD503" s="6"/>
      <c r="BE503" s="6"/>
      <c r="BF503" s="7"/>
    </row>
    <row r="504" spans="1:58" ht="18" customHeight="1">
      <c r="A504" s="106" t="s">
        <v>15</v>
      </c>
      <c r="B504" s="93" t="s">
        <v>482</v>
      </c>
      <c r="C504" s="28">
        <v>873.88</v>
      </c>
      <c r="D504" s="28">
        <v>874</v>
      </c>
      <c r="E504" s="28">
        <v>873.94</v>
      </c>
      <c r="F504" s="28">
        <v>873.94</v>
      </c>
      <c r="G504" s="29">
        <v>48128.4232394219</v>
      </c>
      <c r="H504" s="29">
        <v>44402.169419692997</v>
      </c>
      <c r="I504" s="27">
        <f t="shared" si="22"/>
        <v>2</v>
      </c>
      <c r="J504" s="27">
        <f t="shared" si="23"/>
        <v>2</v>
      </c>
      <c r="K504" s="27">
        <f t="shared" si="21"/>
        <v>2</v>
      </c>
      <c r="L504" s="25">
        <v>421.45851374999995</v>
      </c>
      <c r="M504" s="25">
        <v>423.99331320995282</v>
      </c>
      <c r="N504" s="38">
        <v>0.46547852312994742</v>
      </c>
      <c r="O504" s="38">
        <v>-1.1480501815601674</v>
      </c>
      <c r="P504" s="71">
        <v>-3.009964274079957</v>
      </c>
      <c r="Q504" s="53">
        <v>44014</v>
      </c>
      <c r="R504" s="23">
        <v>10</v>
      </c>
      <c r="S504" s="24">
        <v>425.70312149999995</v>
      </c>
      <c r="T504" s="24">
        <v>428.27887067740096</v>
      </c>
      <c r="U504" s="20">
        <v>0.46831085179088738</v>
      </c>
      <c r="V504" s="20">
        <v>-0.32576634412484484</v>
      </c>
      <c r="W504" s="20">
        <v>-2.1990097512883944</v>
      </c>
      <c r="X504" s="22">
        <v>44014</v>
      </c>
      <c r="Y504" s="23">
        <v>10</v>
      </c>
      <c r="Z504" s="24">
        <v>417.21390600000001</v>
      </c>
      <c r="AA504" s="24">
        <v>419.70775574250462</v>
      </c>
      <c r="AB504" s="20">
        <v>0.46264619446900745</v>
      </c>
      <c r="AC504" s="20">
        <v>-1.9703340189954899</v>
      </c>
      <c r="AD504" s="20">
        <v>-3.8209187968715197</v>
      </c>
      <c r="AE504" s="22" t="s">
        <v>17</v>
      </c>
      <c r="AF504" s="23"/>
      <c r="AG504" s="24" t="s">
        <v>17</v>
      </c>
      <c r="AH504" s="24" t="s">
        <v>17</v>
      </c>
      <c r="AI504" s="20" t="s">
        <v>17</v>
      </c>
      <c r="AJ504" s="20" t="s">
        <v>17</v>
      </c>
      <c r="AK504" s="20" t="s">
        <v>17</v>
      </c>
      <c r="AL504" s="22" t="s">
        <v>17</v>
      </c>
      <c r="AM504" s="23" t="s">
        <v>17</v>
      </c>
      <c r="AN504" s="24" t="s">
        <v>17</v>
      </c>
      <c r="AO504" s="24" t="s">
        <v>17</v>
      </c>
      <c r="AP504" s="20" t="s">
        <v>17</v>
      </c>
      <c r="AQ504" s="20" t="s">
        <v>17</v>
      </c>
      <c r="AR504" s="20" t="s">
        <v>17</v>
      </c>
      <c r="AS504" s="21"/>
      <c r="AT504" s="20"/>
      <c r="AU504" s="4"/>
      <c r="AV504" s="20"/>
      <c r="AW504" s="20" t="s">
        <v>17</v>
      </c>
      <c r="AX504" s="20" t="s">
        <v>17</v>
      </c>
      <c r="AY504" s="20" t="s">
        <v>17</v>
      </c>
      <c r="AZ504" s="5"/>
      <c r="BA504" s="6"/>
      <c r="BB504" s="4"/>
      <c r="BC504" s="6"/>
      <c r="BD504" s="6"/>
      <c r="BE504" s="6"/>
      <c r="BF504" s="7"/>
    </row>
    <row r="505" spans="1:58" ht="18" customHeight="1">
      <c r="A505" s="106" t="s">
        <v>15</v>
      </c>
      <c r="B505" s="93" t="s">
        <v>483</v>
      </c>
      <c r="C505" s="28">
        <v>880.5</v>
      </c>
      <c r="D505" s="28">
        <v>880.62</v>
      </c>
      <c r="E505" s="28">
        <v>880.56</v>
      </c>
      <c r="F505" s="28">
        <v>880.56</v>
      </c>
      <c r="G505" s="29">
        <v>48633.3282291016</v>
      </c>
      <c r="H505" s="29">
        <v>44999.210572324097</v>
      </c>
      <c r="I505" s="27">
        <f t="shared" si="22"/>
        <v>2</v>
      </c>
      <c r="J505" s="27">
        <f t="shared" si="23"/>
        <v>4</v>
      </c>
      <c r="K505" s="27">
        <f t="shared" si="21"/>
        <v>2</v>
      </c>
      <c r="L505" s="25">
        <v>456.78015575000001</v>
      </c>
      <c r="M505" s="25">
        <v>459.48314283233685</v>
      </c>
      <c r="N505" s="38">
        <v>0.45864260719019612</v>
      </c>
      <c r="O505" s="38">
        <v>-18.825494847525157</v>
      </c>
      <c r="P505" s="71">
        <v>-20.657546846499898</v>
      </c>
      <c r="Q505" s="53">
        <v>44068</v>
      </c>
      <c r="R505" s="23">
        <v>9</v>
      </c>
      <c r="S505" s="24">
        <v>457.73740350000003</v>
      </c>
      <c r="T505" s="24">
        <v>460.43543337878691</v>
      </c>
      <c r="U505" s="20">
        <v>0.45621319213728917</v>
      </c>
      <c r="V505" s="20">
        <v>-19.343947722943899</v>
      </c>
      <c r="W505" s="20">
        <v>-21.168800491493055</v>
      </c>
      <c r="X505" s="22">
        <v>44068</v>
      </c>
      <c r="Y505" s="23">
        <v>9</v>
      </c>
      <c r="Z505" s="24">
        <v>455.82290799999998</v>
      </c>
      <c r="AA505" s="24">
        <v>458.53085228588685</v>
      </c>
      <c r="AB505" s="20">
        <v>0.45981280735007957</v>
      </c>
      <c r="AC505" s="20">
        <v>-18.307041972106418</v>
      </c>
      <c r="AD505" s="20">
        <v>-20.146293201506737</v>
      </c>
      <c r="AE505" s="22">
        <v>44341</v>
      </c>
      <c r="AF505" s="23" t="s">
        <v>88</v>
      </c>
      <c r="AG505" s="24"/>
      <c r="AH505" s="24"/>
      <c r="AI505" s="54">
        <v>0.4559530588237326</v>
      </c>
      <c r="AJ505" s="55"/>
      <c r="AK505" s="55"/>
      <c r="AL505" s="22">
        <v>44341</v>
      </c>
      <c r="AM505" s="23" t="s">
        <v>832</v>
      </c>
      <c r="AN505" s="24"/>
      <c r="AO505" s="24"/>
      <c r="AP505" s="20">
        <v>0.46259137044968313</v>
      </c>
      <c r="AQ505" s="20"/>
      <c r="AR505" s="20"/>
      <c r="AS505" s="21"/>
      <c r="AT505" s="20"/>
      <c r="AU505" s="4"/>
      <c r="AV505" s="20"/>
      <c r="AW505" s="20" t="s">
        <v>17</v>
      </c>
      <c r="AX505" s="20" t="s">
        <v>17</v>
      </c>
      <c r="AY505" s="20" t="s">
        <v>17</v>
      </c>
      <c r="AZ505" s="5"/>
      <c r="BA505" s="6"/>
      <c r="BB505" s="4"/>
      <c r="BC505" s="6"/>
      <c r="BD505" s="6"/>
      <c r="BE505" s="6"/>
      <c r="BF505" s="7"/>
    </row>
    <row r="506" spans="1:58" ht="18" customHeight="1">
      <c r="A506" s="106" t="s">
        <v>15</v>
      </c>
      <c r="B506" s="93" t="s">
        <v>484</v>
      </c>
      <c r="C506" s="28">
        <v>886.88</v>
      </c>
      <c r="D506" s="28">
        <v>887</v>
      </c>
      <c r="E506" s="28">
        <v>886.94</v>
      </c>
      <c r="F506" s="28">
        <v>886.94</v>
      </c>
      <c r="G506" s="29">
        <v>49219.547447429599</v>
      </c>
      <c r="H506" s="29">
        <v>45567.867958870302</v>
      </c>
      <c r="I506" s="27">
        <f t="shared" si="22"/>
        <v>4</v>
      </c>
      <c r="J506" s="27">
        <f t="shared" si="23"/>
        <v>4</v>
      </c>
      <c r="K506" s="27">
        <f t="shared" si="21"/>
        <v>2</v>
      </c>
      <c r="L506" s="25">
        <v>478.677047625</v>
      </c>
      <c r="M506" s="25">
        <v>481.54055994703987</v>
      </c>
      <c r="N506" s="38">
        <v>0.4630066749672368</v>
      </c>
      <c r="O506" s="38">
        <v>-11.495167064556611</v>
      </c>
      <c r="P506" s="71">
        <v>-13.342790301513919</v>
      </c>
      <c r="Q506" s="53">
        <v>44033</v>
      </c>
      <c r="R506" s="23">
        <v>10</v>
      </c>
      <c r="S506" s="24">
        <v>475.7593675</v>
      </c>
      <c r="T506" s="24">
        <v>478.59086292536853</v>
      </c>
      <c r="U506" s="20">
        <v>0.46064461920569677</v>
      </c>
      <c r="V506" s="20">
        <v>-11.4845542589741</v>
      </c>
      <c r="W506" s="20">
        <v>-13.327132735796887</v>
      </c>
      <c r="X506" s="22">
        <v>44033</v>
      </c>
      <c r="Y506" s="23">
        <v>10</v>
      </c>
      <c r="Z506" s="24">
        <v>478.357056</v>
      </c>
      <c r="AA506" s="24">
        <v>481.21960089253469</v>
      </c>
      <c r="AB506" s="20">
        <v>0.46316699927295701</v>
      </c>
      <c r="AC506" s="20">
        <v>-11.505779870139122</v>
      </c>
      <c r="AD506" s="20">
        <v>-13.35844786723095</v>
      </c>
      <c r="AE506" s="22">
        <v>44349</v>
      </c>
      <c r="AF506" s="23" t="s">
        <v>88</v>
      </c>
      <c r="AG506" s="24">
        <v>481.499481</v>
      </c>
      <c r="AH506" s="24">
        <v>484.39506809726646</v>
      </c>
      <c r="AI506" s="54">
        <v>0.46545563856015271</v>
      </c>
      <c r="AJ506" s="55"/>
      <c r="AK506" s="55"/>
      <c r="AL506" s="22">
        <v>44349</v>
      </c>
      <c r="AM506" s="23" t="s">
        <v>832</v>
      </c>
      <c r="AN506" s="24">
        <v>479.092286</v>
      </c>
      <c r="AO506" s="24">
        <v>481.95670787298985</v>
      </c>
      <c r="AP506" s="20">
        <v>0.4627594428301407</v>
      </c>
      <c r="AQ506" s="20"/>
      <c r="AR506" s="20"/>
      <c r="AS506" s="21"/>
      <c r="AT506" s="20"/>
      <c r="AU506" s="4"/>
      <c r="AV506" s="20"/>
      <c r="AW506" s="20" t="s">
        <v>17</v>
      </c>
      <c r="AX506" s="20" t="s">
        <v>17</v>
      </c>
      <c r="AY506" s="20" t="s">
        <v>17</v>
      </c>
      <c r="AZ506" s="5"/>
      <c r="BA506" s="6"/>
      <c r="BB506" s="4"/>
      <c r="BC506" s="6"/>
      <c r="BD506" s="6"/>
      <c r="BE506" s="6"/>
      <c r="BF506" s="7"/>
    </row>
    <row r="507" spans="1:58" ht="18" customHeight="1">
      <c r="A507" s="106" t="s">
        <v>15</v>
      </c>
      <c r="B507" s="93" t="s">
        <v>485</v>
      </c>
      <c r="C507" s="28">
        <v>892.88</v>
      </c>
      <c r="D507" s="28">
        <v>893</v>
      </c>
      <c r="E507" s="28">
        <v>892.94</v>
      </c>
      <c r="F507" s="28">
        <v>892.94</v>
      </c>
      <c r="G507" s="29">
        <v>49704.710598393402</v>
      </c>
      <c r="H507" s="29">
        <v>45997.9678646463</v>
      </c>
      <c r="I507" s="27">
        <f t="shared" si="22"/>
        <v>1</v>
      </c>
      <c r="J507" s="27">
        <f t="shared" si="23"/>
        <v>1</v>
      </c>
      <c r="K507" s="27">
        <f t="shared" si="21"/>
        <v>1</v>
      </c>
      <c r="L507" s="25">
        <v>504.85870850000003</v>
      </c>
      <c r="M507" s="25">
        <v>507.93663062191973</v>
      </c>
      <c r="N507" s="38">
        <v>0.47187314468688513</v>
      </c>
      <c r="O507" s="38">
        <v>-4.5807320186823652</v>
      </c>
      <c r="P507" s="71">
        <v>-6.4682245974299057</v>
      </c>
      <c r="Q507" s="53">
        <v>44060</v>
      </c>
      <c r="R507" s="23">
        <v>10</v>
      </c>
      <c r="S507" s="24">
        <v>504.85870850000003</v>
      </c>
      <c r="T507" s="24">
        <v>507.93663062191973</v>
      </c>
      <c r="U507" s="20">
        <v>0.47187314468688513</v>
      </c>
      <c r="V507" s="20">
        <v>-4.5807320186823652</v>
      </c>
      <c r="W507" s="20">
        <v>-6.4682245974299057</v>
      </c>
      <c r="X507" s="22" t="s">
        <v>17</v>
      </c>
      <c r="Y507" s="23"/>
      <c r="Z507" s="24" t="s">
        <v>17</v>
      </c>
      <c r="AA507" s="24" t="s">
        <v>17</v>
      </c>
      <c r="AB507" s="20" t="s">
        <v>17</v>
      </c>
      <c r="AC507" s="20" t="s">
        <v>17</v>
      </c>
      <c r="AD507" s="20" t="s">
        <v>17</v>
      </c>
      <c r="AE507" s="22" t="s">
        <v>17</v>
      </c>
      <c r="AF507" s="23"/>
      <c r="AG507" s="24" t="s">
        <v>17</v>
      </c>
      <c r="AH507" s="24" t="s">
        <v>17</v>
      </c>
      <c r="AI507" s="20" t="s">
        <v>17</v>
      </c>
      <c r="AJ507" s="20" t="s">
        <v>17</v>
      </c>
      <c r="AK507" s="20" t="s">
        <v>17</v>
      </c>
      <c r="AL507" s="22" t="s">
        <v>17</v>
      </c>
      <c r="AM507" s="23" t="s">
        <v>17</v>
      </c>
      <c r="AN507" s="24" t="s">
        <v>17</v>
      </c>
      <c r="AO507" s="24" t="s">
        <v>17</v>
      </c>
      <c r="AP507" s="20" t="s">
        <v>17</v>
      </c>
      <c r="AQ507" s="20" t="s">
        <v>17</v>
      </c>
      <c r="AR507" s="20" t="s">
        <v>17</v>
      </c>
      <c r="AS507" s="21"/>
      <c r="AT507" s="20"/>
      <c r="AU507" s="4"/>
      <c r="AV507" s="20"/>
      <c r="AW507" s="20" t="s">
        <v>17</v>
      </c>
      <c r="AX507" s="20" t="s">
        <v>17</v>
      </c>
      <c r="AY507" s="20" t="s">
        <v>17</v>
      </c>
      <c r="AZ507" s="5"/>
      <c r="BA507" s="6"/>
      <c r="BB507" s="4"/>
      <c r="BC507" s="6"/>
      <c r="BD507" s="6"/>
      <c r="BE507" s="6"/>
      <c r="BF507" s="7"/>
    </row>
    <row r="508" spans="1:58" ht="18" customHeight="1">
      <c r="A508" s="106" t="s">
        <v>15</v>
      </c>
      <c r="B508" s="93" t="s">
        <v>486</v>
      </c>
      <c r="C508" s="28">
        <v>899.08</v>
      </c>
      <c r="D508" s="28">
        <v>899.2</v>
      </c>
      <c r="E508" s="28">
        <v>899.1400000000001</v>
      </c>
      <c r="F508" s="28">
        <v>899.1400000000001</v>
      </c>
      <c r="G508" s="29">
        <v>50248.298589124301</v>
      </c>
      <c r="H508" s="29">
        <v>46460.537920528601</v>
      </c>
      <c r="I508" s="27">
        <f t="shared" si="22"/>
        <v>2</v>
      </c>
      <c r="J508" s="27">
        <f t="shared" si="23"/>
        <v>2</v>
      </c>
      <c r="K508" s="27">
        <f t="shared" si="21"/>
        <v>2</v>
      </c>
      <c r="L508" s="25">
        <v>506.74303025</v>
      </c>
      <c r="M508" s="25">
        <v>509.89463570579807</v>
      </c>
      <c r="N508" s="38">
        <v>0.48137317217278319</v>
      </c>
      <c r="O508" s="38">
        <v>-1.9397799096167452</v>
      </c>
      <c r="P508" s="71">
        <v>-3.8652725983078779</v>
      </c>
      <c r="Q508" s="53">
        <v>44013</v>
      </c>
      <c r="R508" s="23">
        <v>10</v>
      </c>
      <c r="S508" s="24">
        <v>508.55160599999999</v>
      </c>
      <c r="T508" s="24">
        <v>511.71377495594953</v>
      </c>
      <c r="U508" s="20">
        <v>0.48126859949615408</v>
      </c>
      <c r="V508" s="20">
        <v>-8.2613668210324001</v>
      </c>
      <c r="W508" s="20">
        <v>-10.186441219017016</v>
      </c>
      <c r="X508" s="22">
        <v>44013</v>
      </c>
      <c r="Y508" s="23">
        <v>10</v>
      </c>
      <c r="Z508" s="24">
        <v>504.93445450000002</v>
      </c>
      <c r="AA508" s="24">
        <v>508.0754964556466</v>
      </c>
      <c r="AB508" s="20">
        <v>0.4814777448494123</v>
      </c>
      <c r="AC508" s="20">
        <v>4.3818070017989097</v>
      </c>
      <c r="AD508" s="20">
        <v>2.4558960224012605</v>
      </c>
      <c r="AE508" s="22" t="s">
        <v>17</v>
      </c>
      <c r="AF508" s="23"/>
      <c r="AG508" s="24" t="s">
        <v>17</v>
      </c>
      <c r="AH508" s="24" t="s">
        <v>17</v>
      </c>
      <c r="AI508" s="20" t="s">
        <v>17</v>
      </c>
      <c r="AJ508" s="20" t="s">
        <v>17</v>
      </c>
      <c r="AK508" s="20" t="s">
        <v>17</v>
      </c>
      <c r="AL508" s="22" t="s">
        <v>17</v>
      </c>
      <c r="AM508" s="23" t="s">
        <v>17</v>
      </c>
      <c r="AN508" s="24" t="s">
        <v>17</v>
      </c>
      <c r="AO508" s="24" t="s">
        <v>17</v>
      </c>
      <c r="AP508" s="20" t="s">
        <v>17</v>
      </c>
      <c r="AQ508" s="20" t="s">
        <v>17</v>
      </c>
      <c r="AR508" s="20" t="s">
        <v>17</v>
      </c>
      <c r="AS508" s="21"/>
      <c r="AT508" s="20"/>
      <c r="AU508" s="4"/>
      <c r="AV508" s="20"/>
      <c r="AW508" s="20" t="s">
        <v>17</v>
      </c>
      <c r="AX508" s="20" t="s">
        <v>17</v>
      </c>
      <c r="AY508" s="20" t="s">
        <v>17</v>
      </c>
      <c r="AZ508" s="5"/>
      <c r="BA508" s="6"/>
      <c r="BB508" s="4"/>
      <c r="BC508" s="6"/>
      <c r="BD508" s="6"/>
      <c r="BE508" s="6"/>
      <c r="BF508" s="7"/>
    </row>
    <row r="509" spans="1:58" ht="18" customHeight="1">
      <c r="A509" s="106" t="s">
        <v>15</v>
      </c>
      <c r="B509" s="93" t="s">
        <v>487</v>
      </c>
      <c r="C509" s="28">
        <v>905.1</v>
      </c>
      <c r="D509" s="28">
        <v>905.22</v>
      </c>
      <c r="E509" s="28">
        <v>905.16000000000008</v>
      </c>
      <c r="F509" s="28">
        <v>905.16000000000008</v>
      </c>
      <c r="G509" s="29">
        <v>50851.513130740597</v>
      </c>
      <c r="H509" s="29">
        <v>46867.650916436702</v>
      </c>
      <c r="I509" s="27">
        <f t="shared" si="22"/>
        <v>2</v>
      </c>
      <c r="J509" s="27">
        <f t="shared" si="23"/>
        <v>2</v>
      </c>
      <c r="K509" s="27">
        <f t="shared" si="21"/>
        <v>2</v>
      </c>
      <c r="L509" s="25">
        <v>496.39719350000001</v>
      </c>
      <c r="M509" s="25">
        <v>499.53941497789566</v>
      </c>
      <c r="N509" s="38">
        <v>0.48993890176585175</v>
      </c>
      <c r="O509" s="38">
        <v>-0.61563722572233193</v>
      </c>
      <c r="P509" s="71">
        <v>-2.5753928327857389</v>
      </c>
      <c r="Q509" s="53">
        <v>44054</v>
      </c>
      <c r="R509" s="23">
        <v>10</v>
      </c>
      <c r="S509" s="24">
        <v>494.45469900000001</v>
      </c>
      <c r="T509" s="24">
        <v>497.57900861789176</v>
      </c>
      <c r="U509" s="20">
        <v>0.4890632657690297</v>
      </c>
      <c r="V509" s="20">
        <v>-2.0428787659720893</v>
      </c>
      <c r="W509" s="20">
        <v>-3.9991318290482081</v>
      </c>
      <c r="X509" s="22">
        <v>44054</v>
      </c>
      <c r="Y509" s="23">
        <v>10</v>
      </c>
      <c r="Z509" s="24">
        <v>498.33968800000002</v>
      </c>
      <c r="AA509" s="24">
        <v>501.49982133789956</v>
      </c>
      <c r="AB509" s="20">
        <v>0.49081453776267381</v>
      </c>
      <c r="AC509" s="20">
        <v>0.81160431452742543</v>
      </c>
      <c r="AD509" s="20">
        <v>-1.1516538365232698</v>
      </c>
      <c r="AE509" s="22" t="s">
        <v>17</v>
      </c>
      <c r="AF509" s="23"/>
      <c r="AG509" s="24" t="s">
        <v>17</v>
      </c>
      <c r="AH509" s="24" t="s">
        <v>17</v>
      </c>
      <c r="AI509" s="20" t="s">
        <v>17</v>
      </c>
      <c r="AJ509" s="20" t="s">
        <v>17</v>
      </c>
      <c r="AK509" s="20" t="s">
        <v>17</v>
      </c>
      <c r="AL509" s="22" t="s">
        <v>17</v>
      </c>
      <c r="AM509" s="23" t="s">
        <v>17</v>
      </c>
      <c r="AN509" s="24" t="s">
        <v>17</v>
      </c>
      <c r="AO509" s="24" t="s">
        <v>17</v>
      </c>
      <c r="AP509" s="20" t="s">
        <v>17</v>
      </c>
      <c r="AQ509" s="20" t="s">
        <v>17</v>
      </c>
      <c r="AR509" s="20" t="s">
        <v>17</v>
      </c>
      <c r="AS509" s="21"/>
      <c r="AT509" s="20"/>
      <c r="AU509" s="4"/>
      <c r="AV509" s="20"/>
      <c r="AW509" s="20" t="s">
        <v>17</v>
      </c>
      <c r="AX509" s="20" t="s">
        <v>17</v>
      </c>
      <c r="AY509" s="20" t="s">
        <v>17</v>
      </c>
      <c r="AZ509" s="5"/>
      <c r="BA509" s="6"/>
      <c r="BB509" s="4"/>
      <c r="BC509" s="6"/>
      <c r="BD509" s="6"/>
      <c r="BE509" s="6"/>
      <c r="BF509" s="7"/>
    </row>
    <row r="510" spans="1:58" ht="18" customHeight="1">
      <c r="A510" s="106" t="s">
        <v>15</v>
      </c>
      <c r="B510" s="93" t="s">
        <v>488</v>
      </c>
      <c r="C510" s="28">
        <v>911.65</v>
      </c>
      <c r="D510" s="28">
        <v>911.77</v>
      </c>
      <c r="E510" s="28">
        <v>911.71</v>
      </c>
      <c r="F510" s="28">
        <v>911.71</v>
      </c>
      <c r="G510" s="29">
        <v>51472.250636016302</v>
      </c>
      <c r="H510" s="29">
        <v>47283.041463471702</v>
      </c>
      <c r="I510" s="27">
        <f t="shared" si="22"/>
        <v>1</v>
      </c>
      <c r="J510" s="27">
        <f t="shared" si="23"/>
        <v>1</v>
      </c>
      <c r="K510" s="27">
        <f t="shared" si="21"/>
        <v>1</v>
      </c>
      <c r="L510" s="25">
        <v>451.64275399999997</v>
      </c>
      <c r="M510" s="25">
        <v>454.49002278029002</v>
      </c>
      <c r="N510" s="38">
        <v>0.48794503759430619</v>
      </c>
      <c r="O510" s="38">
        <v>-10.87946387326566</v>
      </c>
      <c r="P510" s="71">
        <v>-12.831244023642885</v>
      </c>
      <c r="Q510" s="53">
        <v>44109</v>
      </c>
      <c r="R510" s="23">
        <v>9</v>
      </c>
      <c r="S510" s="24">
        <v>451.64275399999997</v>
      </c>
      <c r="T510" s="24">
        <v>454.49002278029002</v>
      </c>
      <c r="U510" s="20">
        <v>0.48794503759430619</v>
      </c>
      <c r="V510" s="20">
        <v>-10.87946387326566</v>
      </c>
      <c r="W510" s="20">
        <v>-12.831244023642885</v>
      </c>
      <c r="X510" s="22" t="s">
        <v>17</v>
      </c>
      <c r="Y510" s="23"/>
      <c r="Z510" s="24" t="s">
        <v>17</v>
      </c>
      <c r="AA510" s="24" t="s">
        <v>17</v>
      </c>
      <c r="AB510" s="20" t="s">
        <v>17</v>
      </c>
      <c r="AC510" s="20" t="s">
        <v>17</v>
      </c>
      <c r="AD510" s="20" t="s">
        <v>17</v>
      </c>
      <c r="AE510" s="22" t="s">
        <v>17</v>
      </c>
      <c r="AF510" s="23"/>
      <c r="AG510" s="24" t="s">
        <v>17</v>
      </c>
      <c r="AH510" s="24" t="s">
        <v>17</v>
      </c>
      <c r="AI510" s="20" t="s">
        <v>17</v>
      </c>
      <c r="AJ510" s="20" t="s">
        <v>17</v>
      </c>
      <c r="AK510" s="20" t="s">
        <v>17</v>
      </c>
      <c r="AL510" s="22" t="s">
        <v>17</v>
      </c>
      <c r="AM510" s="23" t="s">
        <v>17</v>
      </c>
      <c r="AN510" s="24" t="s">
        <v>17</v>
      </c>
      <c r="AO510" s="24" t="s">
        <v>17</v>
      </c>
      <c r="AP510" s="20" t="s">
        <v>17</v>
      </c>
      <c r="AQ510" s="20" t="s">
        <v>17</v>
      </c>
      <c r="AR510" s="20" t="s">
        <v>17</v>
      </c>
      <c r="AS510" s="21"/>
      <c r="AT510" s="20"/>
      <c r="AU510" s="4"/>
      <c r="AV510" s="20"/>
      <c r="AW510" s="20" t="s">
        <v>17</v>
      </c>
      <c r="AX510" s="20" t="s">
        <v>17</v>
      </c>
      <c r="AY510" s="20" t="s">
        <v>17</v>
      </c>
      <c r="AZ510" s="5"/>
      <c r="BA510" s="6"/>
      <c r="BB510" s="4"/>
      <c r="BC510" s="6"/>
      <c r="BD510" s="6"/>
      <c r="BE510" s="6"/>
      <c r="BF510" s="7"/>
    </row>
    <row r="511" spans="1:58" ht="18" customHeight="1">
      <c r="A511" s="106" t="s">
        <v>15</v>
      </c>
      <c r="B511" s="93" t="s">
        <v>489</v>
      </c>
      <c r="C511" s="28">
        <v>917.6</v>
      </c>
      <c r="D511" s="28">
        <v>917.72</v>
      </c>
      <c r="E511" s="28">
        <v>917.66000000000008</v>
      </c>
      <c r="F511" s="28">
        <v>917.66000000000008</v>
      </c>
      <c r="G511" s="29">
        <v>52045.111960884999</v>
      </c>
      <c r="H511" s="29">
        <v>47729.538187922299</v>
      </c>
      <c r="I511" s="27">
        <f t="shared" si="22"/>
        <v>4</v>
      </c>
      <c r="J511" s="27">
        <f t="shared" si="23"/>
        <v>4</v>
      </c>
      <c r="K511" s="27">
        <f t="shared" si="21"/>
        <v>2</v>
      </c>
      <c r="L511" s="25">
        <v>445.41494387500001</v>
      </c>
      <c r="M511" s="25">
        <v>448.22337420736903</v>
      </c>
      <c r="N511" s="38">
        <v>0.48802064296643577</v>
      </c>
      <c r="O511" s="38">
        <v>-4.0434317697630728</v>
      </c>
      <c r="P511" s="71">
        <v>-5.995864295909703</v>
      </c>
      <c r="Q511" s="53">
        <v>44042</v>
      </c>
      <c r="R511" s="23">
        <v>10</v>
      </c>
      <c r="S511" s="24">
        <v>444.23205399999995</v>
      </c>
      <c r="T511" s="24">
        <v>447.01475598457904</v>
      </c>
      <c r="U511" s="20">
        <v>0.48483536618260104</v>
      </c>
      <c r="V511" s="20">
        <v>-3.1077535347917573</v>
      </c>
      <c r="W511" s="20">
        <v>-5.0470949995221615</v>
      </c>
      <c r="X511" s="22">
        <v>44042</v>
      </c>
      <c r="Y511" s="23">
        <v>10</v>
      </c>
      <c r="Z511" s="24">
        <v>444.41726549999998</v>
      </c>
      <c r="AA511" s="24">
        <v>447.23871125633519</v>
      </c>
      <c r="AB511" s="20">
        <v>0.49138089689071407</v>
      </c>
      <c r="AC511" s="20">
        <v>-4.9791100047343884</v>
      </c>
      <c r="AD511" s="20">
        <v>-6.9446335922972446</v>
      </c>
      <c r="AE511" s="22">
        <v>44348</v>
      </c>
      <c r="AF511" s="23" t="s">
        <v>88</v>
      </c>
      <c r="AG511" s="24">
        <v>445.22255749999999</v>
      </c>
      <c r="AH511" s="24">
        <v>448.03802559571176</v>
      </c>
      <c r="AI511" s="54">
        <v>0.48945293452296035</v>
      </c>
      <c r="AJ511" s="55"/>
      <c r="AK511" s="55"/>
      <c r="AL511" s="22">
        <v>44348</v>
      </c>
      <c r="AM511" s="23" t="s">
        <v>832</v>
      </c>
      <c r="AN511" s="24">
        <v>447.78789849999998</v>
      </c>
      <c r="AO511" s="24">
        <v>450.60200399285009</v>
      </c>
      <c r="AP511" s="20">
        <v>0.48641337426946762</v>
      </c>
      <c r="AQ511" s="20"/>
      <c r="AR511" s="20"/>
      <c r="AS511" s="21"/>
      <c r="AT511" s="20"/>
      <c r="AU511" s="4"/>
      <c r="AV511" s="20"/>
      <c r="AW511" s="20" t="s">
        <v>17</v>
      </c>
      <c r="AX511" s="20" t="s">
        <v>17</v>
      </c>
      <c r="AY511" s="20" t="s">
        <v>17</v>
      </c>
      <c r="AZ511" s="5"/>
      <c r="BA511" s="6"/>
      <c r="BB511" s="4"/>
      <c r="BC511" s="6"/>
      <c r="BD511" s="6"/>
      <c r="BE511" s="6"/>
      <c r="BF511" s="7"/>
    </row>
    <row r="512" spans="1:58" ht="18" customHeight="1">
      <c r="A512" s="106" t="s">
        <v>15</v>
      </c>
      <c r="B512" s="93" t="s">
        <v>490</v>
      </c>
      <c r="C512" s="28">
        <v>924.48</v>
      </c>
      <c r="D512" s="28">
        <v>924.6</v>
      </c>
      <c r="E512" s="28">
        <v>924.54</v>
      </c>
      <c r="F512" s="28">
        <v>924.54</v>
      </c>
      <c r="G512" s="29">
        <v>52691.974048239797</v>
      </c>
      <c r="H512" s="29">
        <v>48234.915833656501</v>
      </c>
      <c r="I512" s="27">
        <f t="shared" si="22"/>
        <v>2</v>
      </c>
      <c r="J512" s="27">
        <f t="shared" si="23"/>
        <v>2</v>
      </c>
      <c r="K512" s="27">
        <f t="shared" si="21"/>
        <v>2</v>
      </c>
      <c r="L512" s="25">
        <v>431.00452849999999</v>
      </c>
      <c r="M512" s="25">
        <v>433.66631221648993</v>
      </c>
      <c r="N512" s="38">
        <v>0.4780005763415085</v>
      </c>
      <c r="O512" s="38">
        <v>-12.29736703985046</v>
      </c>
      <c r="P512" s="71">
        <v>-14.209369345216494</v>
      </c>
      <c r="Q512" s="53">
        <v>44074</v>
      </c>
      <c r="R512" s="23">
        <v>9</v>
      </c>
      <c r="S512" s="24">
        <v>431.09127799999999</v>
      </c>
      <c r="T512" s="24">
        <v>433.75349887770113</v>
      </c>
      <c r="U512" s="20">
        <v>0.47798287280609308</v>
      </c>
      <c r="V512" s="20">
        <v>-14.347663775117869</v>
      </c>
      <c r="W512" s="20">
        <v>-16.259595266342242</v>
      </c>
      <c r="X512" s="22">
        <v>44074</v>
      </c>
      <c r="Y512" s="23">
        <v>9</v>
      </c>
      <c r="Z512" s="24">
        <v>430.917779</v>
      </c>
      <c r="AA512" s="24">
        <v>433.57912555527867</v>
      </c>
      <c r="AB512" s="20">
        <v>0.47801827987692391</v>
      </c>
      <c r="AC512" s="20">
        <v>-10.247070304583051</v>
      </c>
      <c r="AD512" s="20">
        <v>-12.159143424090747</v>
      </c>
      <c r="AE512" s="22" t="s">
        <v>17</v>
      </c>
      <c r="AF512" s="23"/>
      <c r="AG512" s="24" t="s">
        <v>17</v>
      </c>
      <c r="AH512" s="24" t="s">
        <v>17</v>
      </c>
      <c r="AI512" s="20" t="s">
        <v>17</v>
      </c>
      <c r="AJ512" s="20" t="s">
        <v>17</v>
      </c>
      <c r="AK512" s="20" t="s">
        <v>17</v>
      </c>
      <c r="AL512" s="22" t="s">
        <v>17</v>
      </c>
      <c r="AM512" s="23" t="s">
        <v>17</v>
      </c>
      <c r="AN512" s="24" t="s">
        <v>17</v>
      </c>
      <c r="AO512" s="24" t="s">
        <v>17</v>
      </c>
      <c r="AP512" s="20" t="s">
        <v>17</v>
      </c>
      <c r="AQ512" s="20" t="s">
        <v>17</v>
      </c>
      <c r="AR512" s="20" t="s">
        <v>17</v>
      </c>
      <c r="AS512" s="21"/>
      <c r="AT512" s="20"/>
      <c r="AU512" s="4"/>
      <c r="AV512" s="20"/>
      <c r="AW512" s="20" t="s">
        <v>17</v>
      </c>
      <c r="AX512" s="20" t="s">
        <v>17</v>
      </c>
      <c r="AY512" s="20" t="s">
        <v>17</v>
      </c>
      <c r="AZ512" s="5"/>
      <c r="BA512" s="6"/>
      <c r="BB512" s="4"/>
      <c r="BC512" s="6"/>
      <c r="BD512" s="6"/>
      <c r="BE512" s="6"/>
      <c r="BF512" s="7"/>
    </row>
    <row r="513" spans="1:58" ht="18" customHeight="1">
      <c r="A513" s="106" t="s">
        <v>15</v>
      </c>
      <c r="B513" s="93" t="s">
        <v>491</v>
      </c>
      <c r="C513" s="28">
        <v>930.6</v>
      </c>
      <c r="D513" s="28">
        <v>930.72</v>
      </c>
      <c r="E513" s="28">
        <v>930.66000000000008</v>
      </c>
      <c r="F513" s="28">
        <v>930.66000000000008</v>
      </c>
      <c r="G513" s="29">
        <v>53240.286122846403</v>
      </c>
      <c r="H513" s="29">
        <v>48708.762869491402</v>
      </c>
      <c r="I513" s="27">
        <f t="shared" si="22"/>
        <v>1</v>
      </c>
      <c r="J513" s="27">
        <f t="shared" si="23"/>
        <v>2</v>
      </c>
      <c r="K513" s="27">
        <f t="shared" si="21"/>
        <v>1</v>
      </c>
      <c r="L513" s="25">
        <v>438.7325525</v>
      </c>
      <c r="M513" s="25">
        <v>441.50427853526861</v>
      </c>
      <c r="N513" s="38">
        <v>0.48381370502215137</v>
      </c>
      <c r="O513" s="38">
        <v>-2.653440611307567</v>
      </c>
      <c r="P513" s="71">
        <v>-4.6093463463009465</v>
      </c>
      <c r="Q513" s="53">
        <v>44047</v>
      </c>
      <c r="R513" s="23">
        <v>10</v>
      </c>
      <c r="S513" s="24">
        <v>438.7325525</v>
      </c>
      <c r="T513" s="24">
        <v>441.50427853526861</v>
      </c>
      <c r="U513" s="20">
        <v>0.48897643374834487</v>
      </c>
      <c r="V513" s="20">
        <v>-2.653440611307567</v>
      </c>
      <c r="W513" s="20">
        <v>-4.6093463463009465</v>
      </c>
      <c r="X513" s="22">
        <v>44343</v>
      </c>
      <c r="Y513" s="23" t="s">
        <v>88</v>
      </c>
      <c r="Z513" s="24"/>
      <c r="AA513" s="24"/>
      <c r="AB513" s="20">
        <v>0.47865097629595788</v>
      </c>
      <c r="AC513" s="20"/>
      <c r="AD513" s="20"/>
      <c r="AE513" s="22" t="s">
        <v>17</v>
      </c>
      <c r="AF513" s="23"/>
      <c r="AG513" s="24" t="s">
        <v>17</v>
      </c>
      <c r="AH513" s="24" t="s">
        <v>17</v>
      </c>
      <c r="AI513" s="20" t="s">
        <v>17</v>
      </c>
      <c r="AJ513" s="20" t="s">
        <v>17</v>
      </c>
      <c r="AK513" s="20" t="s">
        <v>17</v>
      </c>
      <c r="AL513" s="22" t="s">
        <v>17</v>
      </c>
      <c r="AM513" s="23" t="s">
        <v>17</v>
      </c>
      <c r="AN513" s="24" t="s">
        <v>17</v>
      </c>
      <c r="AO513" s="24" t="s">
        <v>17</v>
      </c>
      <c r="AP513" s="20" t="s">
        <v>17</v>
      </c>
      <c r="AQ513" s="20" t="s">
        <v>17</v>
      </c>
      <c r="AR513" s="20" t="s">
        <v>17</v>
      </c>
      <c r="AS513" s="21"/>
      <c r="AT513" s="20"/>
      <c r="AU513" s="4"/>
      <c r="AV513" s="20"/>
      <c r="AW513" s="20" t="s">
        <v>17</v>
      </c>
      <c r="AX513" s="20" t="s">
        <v>17</v>
      </c>
      <c r="AY513" s="20" t="s">
        <v>17</v>
      </c>
      <c r="AZ513" s="5"/>
      <c r="BA513" s="6"/>
      <c r="BB513" s="4"/>
      <c r="BC513" s="6"/>
      <c r="BD513" s="6"/>
      <c r="BE513" s="6"/>
      <c r="BF513" s="7"/>
    </row>
    <row r="514" spans="1:58" ht="18" customHeight="1">
      <c r="A514" s="106" t="s">
        <v>15</v>
      </c>
      <c r="B514" s="93" t="s">
        <v>492</v>
      </c>
      <c r="C514" s="28">
        <v>936.63</v>
      </c>
      <c r="D514" s="28">
        <v>936.75</v>
      </c>
      <c r="E514" s="28">
        <v>936.69</v>
      </c>
      <c r="F514" s="28">
        <v>936.69</v>
      </c>
      <c r="G514" s="29">
        <v>53709.172262194901</v>
      </c>
      <c r="H514" s="29">
        <v>49296.305064369502</v>
      </c>
      <c r="I514" s="27">
        <f t="shared" si="22"/>
        <v>2</v>
      </c>
      <c r="J514" s="27">
        <f t="shared" si="23"/>
        <v>2</v>
      </c>
      <c r="K514" s="27">
        <f t="shared" si="21"/>
        <v>2</v>
      </c>
      <c r="L514" s="25">
        <v>451.54962699999999</v>
      </c>
      <c r="M514" s="25">
        <v>454.32589081008456</v>
      </c>
      <c r="N514" s="38">
        <v>0.4758829844587753</v>
      </c>
      <c r="O514" s="38">
        <v>-6.6507268999973501</v>
      </c>
      <c r="P514" s="71">
        <v>-8.5542588378324513</v>
      </c>
      <c r="Q514" s="53">
        <v>44032</v>
      </c>
      <c r="R514" s="23">
        <v>10</v>
      </c>
      <c r="S514" s="24">
        <v>450.56546650000001</v>
      </c>
      <c r="T514" s="24">
        <v>453.35751937135518</v>
      </c>
      <c r="U514" s="20">
        <v>0.47962655703792656</v>
      </c>
      <c r="V514" s="20">
        <v>-5.1646614118384671</v>
      </c>
      <c r="W514" s="20">
        <v>-7.0831676399901733</v>
      </c>
      <c r="X514" s="22">
        <v>44032</v>
      </c>
      <c r="Y514" s="23">
        <v>10</v>
      </c>
      <c r="Z514" s="24">
        <v>452.53378750000002</v>
      </c>
      <c r="AA514" s="24">
        <v>455.29426224881394</v>
      </c>
      <c r="AB514" s="20">
        <v>0.47213941187962405</v>
      </c>
      <c r="AC514" s="20">
        <v>-8.1367923881562341</v>
      </c>
      <c r="AD514" s="20">
        <v>-10.02535003567473</v>
      </c>
      <c r="AE514" s="22" t="s">
        <v>17</v>
      </c>
      <c r="AF514" s="23"/>
      <c r="AG514" s="24" t="s">
        <v>17</v>
      </c>
      <c r="AH514" s="24" t="s">
        <v>17</v>
      </c>
      <c r="AI514" s="20" t="s">
        <v>17</v>
      </c>
      <c r="AJ514" s="20" t="s">
        <v>17</v>
      </c>
      <c r="AK514" s="20" t="s">
        <v>17</v>
      </c>
      <c r="AL514" s="22" t="s">
        <v>17</v>
      </c>
      <c r="AM514" s="23" t="s">
        <v>17</v>
      </c>
      <c r="AN514" s="24" t="s">
        <v>17</v>
      </c>
      <c r="AO514" s="24" t="s">
        <v>17</v>
      </c>
      <c r="AP514" s="20" t="s">
        <v>17</v>
      </c>
      <c r="AQ514" s="20" t="s">
        <v>17</v>
      </c>
      <c r="AR514" s="20" t="s">
        <v>17</v>
      </c>
      <c r="AS514" s="21"/>
      <c r="AT514" s="20"/>
      <c r="AU514" s="4"/>
      <c r="AV514" s="20"/>
      <c r="AW514" s="20" t="s">
        <v>17</v>
      </c>
      <c r="AX514" s="20" t="s">
        <v>17</v>
      </c>
      <c r="AY514" s="20" t="s">
        <v>17</v>
      </c>
      <c r="AZ514" s="5"/>
      <c r="BA514" s="6"/>
      <c r="BB514" s="4"/>
      <c r="BC514" s="6"/>
      <c r="BD514" s="6"/>
      <c r="BE514" s="6"/>
      <c r="BF514" s="7"/>
    </row>
    <row r="515" spans="1:58" ht="18" customHeight="1">
      <c r="A515" s="106" t="s">
        <v>15</v>
      </c>
      <c r="B515" s="93" t="s">
        <v>493</v>
      </c>
      <c r="C515" s="28">
        <v>943.55</v>
      </c>
      <c r="D515" s="28">
        <v>943.67</v>
      </c>
      <c r="E515" s="28">
        <v>943.6099999999999</v>
      </c>
      <c r="F515" s="28">
        <v>943.6099999999999</v>
      </c>
      <c r="G515" s="29">
        <v>54228.208867891102</v>
      </c>
      <c r="H515" s="29">
        <v>49876.039805427499</v>
      </c>
      <c r="I515" s="27">
        <f t="shared" si="22"/>
        <v>3</v>
      </c>
      <c r="J515" s="27">
        <f t="shared" si="23"/>
        <v>3</v>
      </c>
      <c r="K515" s="27">
        <f t="shared" si="21"/>
        <v>2</v>
      </c>
      <c r="L515" s="25">
        <v>466.2011138333333</v>
      </c>
      <c r="M515" s="25">
        <v>469.07018610091467</v>
      </c>
      <c r="N515" s="38">
        <v>0.47632878056706279</v>
      </c>
      <c r="O515" s="38">
        <v>-6.6729753275230337</v>
      </c>
      <c r="P515" s="71">
        <v>-8.5705500645450456</v>
      </c>
      <c r="Q515" s="53">
        <v>44006</v>
      </c>
      <c r="R515" s="23">
        <v>11</v>
      </c>
      <c r="S515" s="24">
        <v>461.745949</v>
      </c>
      <c r="T515" s="24">
        <v>464.57841618559701</v>
      </c>
      <c r="U515" s="20">
        <v>0.47478750336704678</v>
      </c>
      <c r="V515" s="20">
        <v>-7.4410942419393944</v>
      </c>
      <c r="W515" s="20">
        <v>-9.3402442554075815</v>
      </c>
      <c r="X515" s="22">
        <v>44006</v>
      </c>
      <c r="Y515" s="23">
        <v>11</v>
      </c>
      <c r="Z515" s="24">
        <v>470.37625600000001</v>
      </c>
      <c r="AA515" s="24">
        <v>473.25687700228912</v>
      </c>
      <c r="AB515" s="20">
        <v>0.4739998651439592</v>
      </c>
      <c r="AC515" s="20">
        <v>-5.9048564131066739</v>
      </c>
      <c r="AD515" s="20">
        <v>-7.8008558736825107</v>
      </c>
      <c r="AE515" s="22">
        <v>44278</v>
      </c>
      <c r="AF515" s="23" t="s">
        <v>88</v>
      </c>
      <c r="AG515" s="24">
        <v>466.48113649999999</v>
      </c>
      <c r="AH515" s="24">
        <v>469.37526511485777</v>
      </c>
      <c r="AI515" s="54">
        <v>0.48019897319018234</v>
      </c>
      <c r="AJ515" s="55"/>
      <c r="AK515" s="55"/>
      <c r="AL515" s="22" t="s">
        <v>17</v>
      </c>
      <c r="AM515" s="23" t="s">
        <v>17</v>
      </c>
      <c r="AN515" s="24" t="s">
        <v>17</v>
      </c>
      <c r="AO515" s="24" t="s">
        <v>17</v>
      </c>
      <c r="AP515" s="20" t="s">
        <v>17</v>
      </c>
      <c r="AQ515" s="20" t="s">
        <v>17</v>
      </c>
      <c r="AR515" s="20" t="s">
        <v>17</v>
      </c>
      <c r="AS515" s="21"/>
      <c r="AT515" s="20"/>
      <c r="AU515" s="4"/>
      <c r="AV515" s="20"/>
      <c r="AW515" s="20" t="s">
        <v>17</v>
      </c>
      <c r="AX515" s="20" t="s">
        <v>17</v>
      </c>
      <c r="AY515" s="20" t="s">
        <v>17</v>
      </c>
      <c r="AZ515" s="5"/>
      <c r="BA515" s="6"/>
      <c r="BB515" s="4"/>
      <c r="BC515" s="6"/>
      <c r="BD515" s="6"/>
      <c r="BE515" s="6"/>
      <c r="BF515" s="7"/>
    </row>
    <row r="516" spans="1:58" ht="18" customHeight="1">
      <c r="A516" s="106" t="s">
        <v>15</v>
      </c>
      <c r="B516" s="93" t="s">
        <v>494</v>
      </c>
      <c r="C516" s="28">
        <v>950.53</v>
      </c>
      <c r="D516" s="28">
        <v>950.65</v>
      </c>
      <c r="E516" s="28">
        <v>950.58999999999992</v>
      </c>
      <c r="F516" s="28">
        <v>950.58999999999992</v>
      </c>
      <c r="G516" s="29">
        <v>54734.605590475301</v>
      </c>
      <c r="H516" s="29">
        <v>50652.459742052801</v>
      </c>
      <c r="I516" s="27">
        <f t="shared" si="22"/>
        <v>2</v>
      </c>
      <c r="J516" s="27">
        <f t="shared" si="23"/>
        <v>2</v>
      </c>
      <c r="K516" s="27">
        <f t="shared" si="21"/>
        <v>2</v>
      </c>
      <c r="L516" s="25">
        <v>486.00708374999999</v>
      </c>
      <c r="M516" s="25">
        <v>488.97960635067045</v>
      </c>
      <c r="N516" s="38">
        <v>0.47339003026536375</v>
      </c>
      <c r="O516" s="38">
        <v>-12.140681278252853</v>
      </c>
      <c r="P516" s="71">
        <v>-14.034241399314306</v>
      </c>
      <c r="Q516" s="53">
        <v>44060</v>
      </c>
      <c r="R516" s="23">
        <v>10</v>
      </c>
      <c r="S516" s="24">
        <v>486.34415200000001</v>
      </c>
      <c r="T516" s="24">
        <v>489.32806245830483</v>
      </c>
      <c r="U516" s="20">
        <v>0.47487529335032974</v>
      </c>
      <c r="V516" s="20">
        <v>-10.153536497635951</v>
      </c>
      <c r="W516" s="20">
        <v>-12.05303767103727</v>
      </c>
      <c r="X516" s="22">
        <v>44060</v>
      </c>
      <c r="Y516" s="23">
        <v>10</v>
      </c>
      <c r="Z516" s="24">
        <v>485.67001549999998</v>
      </c>
      <c r="AA516" s="24">
        <v>488.63115024303607</v>
      </c>
      <c r="AB516" s="20">
        <v>0.47190476718039776</v>
      </c>
      <c r="AC516" s="20">
        <v>-14.127826058869752</v>
      </c>
      <c r="AD516" s="20">
        <v>-16.015445127591342</v>
      </c>
      <c r="AE516" s="22" t="s">
        <v>17</v>
      </c>
      <c r="AF516" s="23"/>
      <c r="AG516" s="24" t="s">
        <v>17</v>
      </c>
      <c r="AH516" s="24" t="s">
        <v>17</v>
      </c>
      <c r="AI516" s="20" t="s">
        <v>17</v>
      </c>
      <c r="AJ516" s="20" t="s">
        <v>17</v>
      </c>
      <c r="AK516" s="20" t="s">
        <v>17</v>
      </c>
      <c r="AL516" s="22" t="s">
        <v>17</v>
      </c>
      <c r="AM516" s="23" t="s">
        <v>17</v>
      </c>
      <c r="AN516" s="24" t="s">
        <v>17</v>
      </c>
      <c r="AO516" s="24" t="s">
        <v>17</v>
      </c>
      <c r="AP516" s="20" t="s">
        <v>17</v>
      </c>
      <c r="AQ516" s="20" t="s">
        <v>17</v>
      </c>
      <c r="AR516" s="20" t="s">
        <v>17</v>
      </c>
      <c r="AS516" s="21"/>
      <c r="AT516" s="20"/>
      <c r="AU516" s="4"/>
      <c r="AV516" s="20"/>
      <c r="AW516" s="20" t="s">
        <v>17</v>
      </c>
      <c r="AX516" s="20" t="s">
        <v>17</v>
      </c>
      <c r="AY516" s="20" t="s">
        <v>17</v>
      </c>
      <c r="AZ516" s="5"/>
      <c r="BA516" s="6"/>
      <c r="BB516" s="4"/>
      <c r="BC516" s="6"/>
      <c r="BD516" s="6"/>
      <c r="BE516" s="6"/>
      <c r="BF516" s="7"/>
    </row>
    <row r="517" spans="1:58" ht="18" customHeight="1">
      <c r="A517" s="106" t="s">
        <v>15</v>
      </c>
      <c r="B517" s="93" t="s">
        <v>495</v>
      </c>
      <c r="C517" s="28">
        <v>956.65</v>
      </c>
      <c r="D517" s="28">
        <v>956.77</v>
      </c>
      <c r="E517" s="28">
        <v>956.71</v>
      </c>
      <c r="F517" s="28">
        <v>956.71</v>
      </c>
      <c r="G517" s="29">
        <v>55207.194799400597</v>
      </c>
      <c r="H517" s="29">
        <v>51323.796291492203</v>
      </c>
      <c r="I517" s="27">
        <f t="shared" si="22"/>
        <v>3</v>
      </c>
      <c r="J517" s="27">
        <f t="shared" si="23"/>
        <v>2</v>
      </c>
      <c r="K517" s="27">
        <f t="shared" si="21"/>
        <v>1</v>
      </c>
      <c r="L517" s="25">
        <v>501.07451083333336</v>
      </c>
      <c r="M517" s="25">
        <v>504.15457695363108</v>
      </c>
      <c r="N517" s="38">
        <v>0.47461880752308616</v>
      </c>
      <c r="O517" s="38">
        <v>-8.3895102802419288</v>
      </c>
      <c r="P517" s="71">
        <v>-10.301785986208344</v>
      </c>
      <c r="Q517" s="53">
        <v>44046</v>
      </c>
      <c r="R517" s="23">
        <v>10</v>
      </c>
      <c r="S517" s="24">
        <v>505.77054399999997</v>
      </c>
      <c r="T517" s="24">
        <v>508.89451189879327</v>
      </c>
      <c r="U517" s="20">
        <v>0.47806892649160382</v>
      </c>
      <c r="V517" s="20">
        <v>-8.3895102802419288</v>
      </c>
      <c r="W517" s="20">
        <v>-10.301785986208344</v>
      </c>
      <c r="X517" s="22"/>
      <c r="Y517" s="23"/>
      <c r="Z517" s="24"/>
      <c r="AA517" s="24"/>
      <c r="AB517" s="20"/>
      <c r="AC517" s="20"/>
      <c r="AD517" s="20"/>
      <c r="AE517" s="22">
        <v>44385</v>
      </c>
      <c r="AF517" s="23" t="s">
        <v>88</v>
      </c>
      <c r="AG517" s="24">
        <v>496.19073600000002</v>
      </c>
      <c r="AH517" s="24">
        <v>499.2555327726302</v>
      </c>
      <c r="AI517" s="54"/>
      <c r="AJ517" s="55"/>
      <c r="AK517" s="55"/>
      <c r="AL517" s="22">
        <v>44385</v>
      </c>
      <c r="AM517" s="23" t="s">
        <v>832</v>
      </c>
      <c r="AN517" s="24">
        <v>501.26225250000005</v>
      </c>
      <c r="AO517" s="24">
        <v>504.31368618946982</v>
      </c>
      <c r="AP517" s="20">
        <v>0.4711686885545685</v>
      </c>
      <c r="AQ517" s="20"/>
      <c r="AR517" s="20"/>
      <c r="AS517" s="21"/>
      <c r="AT517" s="20"/>
      <c r="AU517" s="4"/>
      <c r="AV517" s="20"/>
      <c r="AW517" s="20" t="s">
        <v>17</v>
      </c>
      <c r="AX517" s="20" t="s">
        <v>17</v>
      </c>
      <c r="AY517" s="20" t="s">
        <v>17</v>
      </c>
      <c r="AZ517" s="5"/>
      <c r="BA517" s="6"/>
      <c r="BB517" s="4"/>
      <c r="BC517" s="6"/>
      <c r="BD517" s="6"/>
      <c r="BE517" s="6"/>
      <c r="BF517" s="7"/>
    </row>
    <row r="518" spans="1:58" ht="18" customHeight="1">
      <c r="A518" s="106" t="s">
        <v>15</v>
      </c>
      <c r="B518" s="93" t="s">
        <v>496</v>
      </c>
      <c r="C518" s="28">
        <v>962.65</v>
      </c>
      <c r="D518" s="28">
        <v>962.77</v>
      </c>
      <c r="E518" s="28">
        <v>962.71</v>
      </c>
      <c r="F518" s="28">
        <v>962.71</v>
      </c>
      <c r="G518" s="29">
        <v>55681.302330787701</v>
      </c>
      <c r="H518" s="29">
        <v>51954.394727718398</v>
      </c>
      <c r="I518" s="27">
        <f t="shared" si="22"/>
        <v>2</v>
      </c>
      <c r="J518" s="27">
        <f t="shared" si="23"/>
        <v>3</v>
      </c>
      <c r="K518" s="27">
        <f t="shared" si="21"/>
        <v>2</v>
      </c>
      <c r="L518" s="25">
        <v>525.66499199999998</v>
      </c>
      <c r="M518" s="25">
        <v>528.86534223976173</v>
      </c>
      <c r="N518" s="38">
        <v>0.46964676418344747</v>
      </c>
      <c r="O518" s="38">
        <v>-1.8904943557271348</v>
      </c>
      <c r="P518" s="71">
        <v>-3.7753920261664464</v>
      </c>
      <c r="Q518" s="53">
        <v>44014</v>
      </c>
      <c r="R518" s="23">
        <v>10</v>
      </c>
      <c r="S518" s="24">
        <v>526.68410649999998</v>
      </c>
      <c r="T518" s="24">
        <v>529.8836452766817</v>
      </c>
      <c r="U518" s="20">
        <v>0.47019136731174527</v>
      </c>
      <c r="V518" s="20">
        <v>-1.3559778292598912</v>
      </c>
      <c r="W518" s="20">
        <v>-3.2367432985068723</v>
      </c>
      <c r="X518" s="22">
        <v>44014</v>
      </c>
      <c r="Y518" s="23">
        <v>10</v>
      </c>
      <c r="Z518" s="24">
        <v>524.64587749999998</v>
      </c>
      <c r="AA518" s="24">
        <v>527.84703920284164</v>
      </c>
      <c r="AB518" s="20">
        <v>0.47225746790791057</v>
      </c>
      <c r="AC518" s="20">
        <v>-2.4250108821943783</v>
      </c>
      <c r="AD518" s="20">
        <v>-4.3140407538260206</v>
      </c>
      <c r="AE518" s="22">
        <v>44343</v>
      </c>
      <c r="AF518" s="23" t="s">
        <v>88</v>
      </c>
      <c r="AG518" s="24"/>
      <c r="AH518" s="24"/>
      <c r="AI518" s="54">
        <v>0.46649145733068664</v>
      </c>
      <c r="AJ518" s="55"/>
      <c r="AK518" s="55"/>
      <c r="AL518" s="22" t="s">
        <v>17</v>
      </c>
      <c r="AM518" s="23" t="s">
        <v>17</v>
      </c>
      <c r="AN518" s="24" t="s">
        <v>17</v>
      </c>
      <c r="AO518" s="24" t="s">
        <v>17</v>
      </c>
      <c r="AP518" s="20" t="s">
        <v>17</v>
      </c>
      <c r="AQ518" s="20" t="s">
        <v>17</v>
      </c>
      <c r="AR518" s="20" t="s">
        <v>17</v>
      </c>
      <c r="AS518" s="21"/>
      <c r="AT518" s="20"/>
      <c r="AU518" s="4"/>
      <c r="AV518" s="20"/>
      <c r="AW518" s="20" t="s">
        <v>17</v>
      </c>
      <c r="AX518" s="20" t="s">
        <v>17</v>
      </c>
      <c r="AY518" s="20" t="s">
        <v>17</v>
      </c>
      <c r="AZ518" s="5"/>
      <c r="BA518" s="6"/>
      <c r="BB518" s="4"/>
      <c r="BC518" s="6"/>
      <c r="BD518" s="6"/>
      <c r="BE518" s="6"/>
      <c r="BF518" s="7"/>
    </row>
    <row r="519" spans="1:58" ht="18" customHeight="1">
      <c r="A519" s="106" t="s">
        <v>15</v>
      </c>
      <c r="B519" s="93" t="s">
        <v>497</v>
      </c>
      <c r="C519" s="28">
        <v>969.08</v>
      </c>
      <c r="D519" s="28">
        <v>969.2</v>
      </c>
      <c r="E519" s="28">
        <v>969.1400000000001</v>
      </c>
      <c r="F519" s="28">
        <v>969.1400000000001</v>
      </c>
      <c r="G519" s="29">
        <v>56190.191480847097</v>
      </c>
      <c r="H519" s="29">
        <v>52585.244843296903</v>
      </c>
      <c r="I519" s="27">
        <f t="shared" si="22"/>
        <v>4</v>
      </c>
      <c r="J519" s="27">
        <f t="shared" si="23"/>
        <v>4</v>
      </c>
      <c r="K519" s="27">
        <f t="shared" si="21"/>
        <v>2</v>
      </c>
      <c r="L519" s="25">
        <v>536.54855137499999</v>
      </c>
      <c r="M519" s="25">
        <v>539.84501019368281</v>
      </c>
      <c r="N519" s="38">
        <v>0.47552071020795506</v>
      </c>
      <c r="O519" s="38">
        <v>-4.9938778997201672</v>
      </c>
      <c r="P519" s="71">
        <v>-6.8955861330558532</v>
      </c>
      <c r="Q519" s="53">
        <v>44061</v>
      </c>
      <c r="R519" s="23">
        <v>9</v>
      </c>
      <c r="S519" s="24">
        <v>539.73667249999994</v>
      </c>
      <c r="T519" s="24">
        <v>543.06924357782304</v>
      </c>
      <c r="U519" s="20">
        <v>0.47789774357420711</v>
      </c>
      <c r="V519" s="20">
        <v>-5.9887563730007809</v>
      </c>
      <c r="W519" s="20">
        <v>-7.9003473472976093</v>
      </c>
      <c r="X519" s="22">
        <v>44061</v>
      </c>
      <c r="Y519" s="23">
        <v>9</v>
      </c>
      <c r="Z519" s="24">
        <v>533.35796100000005</v>
      </c>
      <c r="AA519" s="24">
        <v>536.61709620459374</v>
      </c>
      <c r="AB519" s="20">
        <v>0.47295637309363592</v>
      </c>
      <c r="AC519" s="20">
        <v>-3.9989994264395534</v>
      </c>
      <c r="AD519" s="20">
        <v>-5.8908249188140971</v>
      </c>
      <c r="AE519" s="22">
        <v>44348</v>
      </c>
      <c r="AF519" s="23" t="s">
        <v>88</v>
      </c>
      <c r="AG519" s="24">
        <v>536.34392849999995</v>
      </c>
      <c r="AH519" s="24">
        <v>539.64086343187989</v>
      </c>
      <c r="AI519" s="54">
        <v>0.47577815040322768</v>
      </c>
      <c r="AJ519" s="55"/>
      <c r="AK519" s="55"/>
      <c r="AL519" s="22">
        <v>44348</v>
      </c>
      <c r="AM519" s="23" t="s">
        <v>832</v>
      </c>
      <c r="AN519" s="24">
        <v>536.75564349999991</v>
      </c>
      <c r="AO519" s="24">
        <v>540.05283756043434</v>
      </c>
      <c r="AP519" s="20">
        <v>0.47545057376074951</v>
      </c>
      <c r="AQ519" s="20"/>
      <c r="AR519" s="20"/>
      <c r="AS519" s="21"/>
      <c r="AT519" s="20"/>
      <c r="AU519" s="4"/>
      <c r="AV519" s="20"/>
      <c r="AW519" s="20" t="s">
        <v>17</v>
      </c>
      <c r="AX519" s="20" t="s">
        <v>17</v>
      </c>
      <c r="AY519" s="20" t="s">
        <v>17</v>
      </c>
      <c r="AZ519" s="5"/>
      <c r="BA519" s="6"/>
      <c r="BB519" s="4"/>
      <c r="BC519" s="6"/>
      <c r="BD519" s="6"/>
      <c r="BE519" s="6"/>
      <c r="BF519" s="7"/>
    </row>
    <row r="520" spans="1:58" ht="18" customHeight="1">
      <c r="A520" s="106" t="s">
        <v>15</v>
      </c>
      <c r="B520" s="93" t="s">
        <v>498</v>
      </c>
      <c r="C520" s="28">
        <v>974.58</v>
      </c>
      <c r="D520" s="28">
        <v>974.7</v>
      </c>
      <c r="E520" s="28">
        <v>974.6400000000001</v>
      </c>
      <c r="F520" s="28">
        <v>974.6400000000001</v>
      </c>
      <c r="G520" s="29">
        <v>56654.586197785997</v>
      </c>
      <c r="H520" s="29">
        <v>53157.822395031602</v>
      </c>
      <c r="I520" s="27">
        <f t="shared" si="22"/>
        <v>4</v>
      </c>
      <c r="J520" s="27">
        <f t="shared" si="23"/>
        <v>4</v>
      </c>
      <c r="K520" s="27">
        <f t="shared" si="21"/>
        <v>2</v>
      </c>
      <c r="L520" s="25">
        <v>541.49516362500003</v>
      </c>
      <c r="M520" s="25">
        <v>544.79190208429782</v>
      </c>
      <c r="N520" s="38">
        <v>0.47121857261317457</v>
      </c>
      <c r="O520" s="38">
        <v>-17.920248781185588</v>
      </c>
      <c r="P520" s="71">
        <v>-19.813431678556537</v>
      </c>
      <c r="Q520" s="53">
        <v>44049</v>
      </c>
      <c r="R520" s="23">
        <v>10</v>
      </c>
      <c r="S520" s="24">
        <v>540.15907600000003</v>
      </c>
      <c r="T520" s="24">
        <v>543.44697843835957</v>
      </c>
      <c r="U520" s="20">
        <v>0.47112346007516237</v>
      </c>
      <c r="V520" s="20">
        <v>-18.362314082346785</v>
      </c>
      <c r="W520" s="20">
        <v>-20.246807922647434</v>
      </c>
      <c r="X520" s="22">
        <v>44049</v>
      </c>
      <c r="Y520" s="23">
        <v>10</v>
      </c>
      <c r="Z520" s="24">
        <v>543.3520125</v>
      </c>
      <c r="AA520" s="24">
        <v>546.68984913130032</v>
      </c>
      <c r="AB520" s="20">
        <v>0.47546798861031192</v>
      </c>
      <c r="AC520" s="20">
        <v>-17.478183480024391</v>
      </c>
      <c r="AD520" s="20">
        <v>-19.380055434465639</v>
      </c>
      <c r="AE520" s="22">
        <v>44348</v>
      </c>
      <c r="AF520" s="23" t="s">
        <v>88</v>
      </c>
      <c r="AG520" s="24">
        <v>541.73143449999998</v>
      </c>
      <c r="AH520" s="24">
        <v>545.03370852914691</v>
      </c>
      <c r="AI520" s="54">
        <v>0.47180936683166586</v>
      </c>
      <c r="AJ520" s="55"/>
      <c r="AK520" s="55"/>
      <c r="AL520" s="22">
        <v>44348</v>
      </c>
      <c r="AM520" s="23" t="s">
        <v>832</v>
      </c>
      <c r="AN520" s="24">
        <v>540.73813150000001</v>
      </c>
      <c r="AO520" s="24">
        <v>543.99707223838413</v>
      </c>
      <c r="AP520" s="20">
        <v>0.46647347493555813</v>
      </c>
      <c r="AQ520" s="20"/>
      <c r="AR520" s="20"/>
      <c r="AS520" s="21"/>
      <c r="AT520" s="20"/>
      <c r="AU520" s="4"/>
      <c r="AV520" s="20"/>
      <c r="AW520" s="20" t="s">
        <v>17</v>
      </c>
      <c r="AX520" s="20" t="s">
        <v>17</v>
      </c>
      <c r="AY520" s="20" t="s">
        <v>17</v>
      </c>
      <c r="AZ520" s="5"/>
      <c r="BA520" s="6"/>
      <c r="BB520" s="4"/>
      <c r="BC520" s="6"/>
      <c r="BD520" s="6"/>
      <c r="BE520" s="6"/>
      <c r="BF520" s="7"/>
    </row>
    <row r="521" spans="1:58" ht="18" customHeight="1">
      <c r="A521" s="106" t="s">
        <v>15</v>
      </c>
      <c r="B521" s="93" t="s">
        <v>499</v>
      </c>
      <c r="C521" s="28">
        <v>980.7</v>
      </c>
      <c r="D521" s="28">
        <v>980.82</v>
      </c>
      <c r="E521" s="28">
        <v>980.76</v>
      </c>
      <c r="F521" s="28">
        <v>980.76</v>
      </c>
      <c r="G521" s="29">
        <v>57197.507535129997</v>
      </c>
      <c r="H521" s="29">
        <v>53666.475171507598</v>
      </c>
      <c r="I521" s="27">
        <f t="shared" si="22"/>
        <v>2</v>
      </c>
      <c r="J521" s="27">
        <f t="shared" si="23"/>
        <v>2</v>
      </c>
      <c r="K521" s="27">
        <f t="shared" si="21"/>
        <v>2</v>
      </c>
      <c r="L521" s="25">
        <v>544.41796824999994</v>
      </c>
      <c r="M521" s="25">
        <v>547.77367682023259</v>
      </c>
      <c r="N521" s="38">
        <v>0.47708910554034034</v>
      </c>
      <c r="O521" s="38">
        <v>-15.122040276419114</v>
      </c>
      <c r="P521" s="71">
        <v>-17.030396698580475</v>
      </c>
      <c r="Q521" s="53">
        <v>44060</v>
      </c>
      <c r="R521" s="23">
        <v>10</v>
      </c>
      <c r="S521" s="24">
        <v>541.34849299999996</v>
      </c>
      <c r="T521" s="24">
        <v>544.69929655301814</v>
      </c>
      <c r="U521" s="20">
        <v>0.47908163328469477</v>
      </c>
      <c r="V521" s="20">
        <v>-14.683662447337875</v>
      </c>
      <c r="W521" s="20">
        <v>-16.599988980476653</v>
      </c>
      <c r="X521" s="22">
        <v>44060</v>
      </c>
      <c r="Y521" s="23">
        <v>10</v>
      </c>
      <c r="Z521" s="24">
        <v>547.48744349999993</v>
      </c>
      <c r="AA521" s="24">
        <v>550.84805708744705</v>
      </c>
      <c r="AB521" s="20">
        <v>0.47509657779598591</v>
      </c>
      <c r="AC521" s="20">
        <v>-15.56041810550035</v>
      </c>
      <c r="AD521" s="20">
        <v>-17.460804416684294</v>
      </c>
      <c r="AE521" s="22" t="s">
        <v>17</v>
      </c>
      <c r="AF521" s="23"/>
      <c r="AG521" s="24" t="s">
        <v>17</v>
      </c>
      <c r="AH521" s="24" t="s">
        <v>17</v>
      </c>
      <c r="AI521" s="20" t="s">
        <v>17</v>
      </c>
      <c r="AJ521" s="20" t="s">
        <v>17</v>
      </c>
      <c r="AK521" s="20" t="s">
        <v>17</v>
      </c>
      <c r="AL521" s="22" t="s">
        <v>17</v>
      </c>
      <c r="AM521" s="23" t="s">
        <v>17</v>
      </c>
      <c r="AN521" s="24" t="s">
        <v>17</v>
      </c>
      <c r="AO521" s="24" t="s">
        <v>17</v>
      </c>
      <c r="AP521" s="20" t="s">
        <v>17</v>
      </c>
      <c r="AQ521" s="20" t="s">
        <v>17</v>
      </c>
      <c r="AR521" s="20" t="s">
        <v>17</v>
      </c>
      <c r="AS521" s="21"/>
      <c r="AT521" s="20"/>
      <c r="AU521" s="4"/>
      <c r="AV521" s="20"/>
      <c r="AW521" s="20" t="s">
        <v>17</v>
      </c>
      <c r="AX521" s="20" t="s">
        <v>17</v>
      </c>
      <c r="AY521" s="20" t="s">
        <v>17</v>
      </c>
      <c r="AZ521" s="5"/>
      <c r="BA521" s="6"/>
      <c r="BB521" s="4"/>
      <c r="BC521" s="6"/>
      <c r="BD521" s="6"/>
      <c r="BE521" s="6"/>
      <c r="BF521" s="7"/>
    </row>
    <row r="522" spans="1:58" ht="18" customHeight="1">
      <c r="A522" s="106" t="s">
        <v>15</v>
      </c>
      <c r="B522" s="93" t="s">
        <v>500</v>
      </c>
      <c r="C522" s="28">
        <v>986.75</v>
      </c>
      <c r="D522" s="28">
        <v>986.87</v>
      </c>
      <c r="E522" s="28">
        <v>986.81</v>
      </c>
      <c r="F522" s="28">
        <v>986.81</v>
      </c>
      <c r="G522" s="29">
        <v>57721.261116840098</v>
      </c>
      <c r="H522" s="29">
        <v>54160.308081530602</v>
      </c>
      <c r="I522" s="27">
        <f t="shared" si="22"/>
        <v>2</v>
      </c>
      <c r="J522" s="27">
        <f t="shared" si="23"/>
        <v>1</v>
      </c>
      <c r="K522" s="27">
        <f t="shared" si="21"/>
        <v>1</v>
      </c>
      <c r="L522" s="25">
        <v>531.91019400000005</v>
      </c>
      <c r="M522" s="25">
        <v>535.18063156770882</v>
      </c>
      <c r="N522" s="38">
        <v>0.47485814553027694</v>
      </c>
      <c r="O522" s="38">
        <v>-4.6312490119806426</v>
      </c>
      <c r="P522" s="71">
        <v>-6.5306815941017504</v>
      </c>
      <c r="Q522" s="53">
        <v>44033</v>
      </c>
      <c r="R522" s="23">
        <v>10</v>
      </c>
      <c r="S522" s="24">
        <v>531.79807049999999</v>
      </c>
      <c r="T522" s="24">
        <v>535.07489974200917</v>
      </c>
      <c r="U522" s="20"/>
      <c r="V522" s="20"/>
      <c r="W522" s="20"/>
      <c r="X522" s="22">
        <v>44033</v>
      </c>
      <c r="Y522" s="23">
        <v>10</v>
      </c>
      <c r="Z522" s="24">
        <v>532.02231749999999</v>
      </c>
      <c r="AA522" s="24">
        <v>535.28636339340846</v>
      </c>
      <c r="AB522" s="20">
        <v>0.47485814553027694</v>
      </c>
      <c r="AC522" s="20">
        <v>-4.6312490119806426</v>
      </c>
      <c r="AD522" s="20">
        <v>-6.5306815941017504</v>
      </c>
      <c r="AE522" s="22" t="s">
        <v>17</v>
      </c>
      <c r="AF522" s="23"/>
      <c r="AG522" s="24" t="s">
        <v>17</v>
      </c>
      <c r="AH522" s="24" t="s">
        <v>17</v>
      </c>
      <c r="AI522" s="20" t="s">
        <v>17</v>
      </c>
      <c r="AJ522" s="20" t="s">
        <v>17</v>
      </c>
      <c r="AK522" s="20" t="s">
        <v>17</v>
      </c>
      <c r="AL522" s="22" t="s">
        <v>17</v>
      </c>
      <c r="AM522" s="23" t="s">
        <v>17</v>
      </c>
      <c r="AN522" s="24" t="s">
        <v>17</v>
      </c>
      <c r="AO522" s="24" t="s">
        <v>17</v>
      </c>
      <c r="AP522" s="20" t="s">
        <v>17</v>
      </c>
      <c r="AQ522" s="20" t="s">
        <v>17</v>
      </c>
      <c r="AR522" s="20" t="s">
        <v>17</v>
      </c>
      <c r="AS522" s="21"/>
      <c r="AT522" s="20"/>
      <c r="AU522" s="4"/>
      <c r="AV522" s="20"/>
      <c r="AW522" s="20" t="s">
        <v>17</v>
      </c>
      <c r="AX522" s="20" t="s">
        <v>17</v>
      </c>
      <c r="AY522" s="20" t="s">
        <v>17</v>
      </c>
      <c r="AZ522" s="5"/>
      <c r="BA522" s="6"/>
      <c r="BB522" s="4"/>
      <c r="BC522" s="6"/>
      <c r="BD522" s="6"/>
      <c r="BE522" s="6"/>
      <c r="BF522" s="7"/>
    </row>
    <row r="523" spans="1:58" ht="18" customHeight="1">
      <c r="A523" s="106" t="s">
        <v>15</v>
      </c>
      <c r="B523" s="93" t="s">
        <v>501</v>
      </c>
      <c r="C523" s="28">
        <v>993.3</v>
      </c>
      <c r="D523" s="28">
        <v>993.42</v>
      </c>
      <c r="E523" s="28">
        <v>993.3599999999999</v>
      </c>
      <c r="F523" s="28">
        <v>993.3599999999999</v>
      </c>
      <c r="G523" s="29">
        <v>58247.734292852801</v>
      </c>
      <c r="H523" s="29">
        <v>54628.627986787003</v>
      </c>
      <c r="I523" s="27">
        <f t="shared" si="22"/>
        <v>2</v>
      </c>
      <c r="J523" s="27">
        <f t="shared" si="23"/>
        <v>3</v>
      </c>
      <c r="K523" s="27">
        <f t="shared" si="21"/>
        <v>2</v>
      </c>
      <c r="L523" s="25">
        <v>454.59783349999998</v>
      </c>
      <c r="M523" s="25">
        <v>457.48045231947958</v>
      </c>
      <c r="N523" s="38">
        <v>0.49096883903998467</v>
      </c>
      <c r="O523" s="38">
        <v>-12.308324285301598</v>
      </c>
      <c r="P523" s="71">
        <v>-14.271422937884971</v>
      </c>
      <c r="Q523" s="53">
        <v>44011</v>
      </c>
      <c r="R523" s="23">
        <v>10</v>
      </c>
      <c r="S523" s="24">
        <v>456.36290050000002</v>
      </c>
      <c r="T523" s="24">
        <v>459.28271006930578</v>
      </c>
      <c r="U523" s="20">
        <v>0.49520119292134623</v>
      </c>
      <c r="V523" s="20">
        <v>-11.823857130411231</v>
      </c>
      <c r="W523" s="20">
        <v>-13.804661902096615</v>
      </c>
      <c r="X523" s="22">
        <v>44011</v>
      </c>
      <c r="Y523" s="23">
        <v>10</v>
      </c>
      <c r="Z523" s="24">
        <v>452.83276649999999</v>
      </c>
      <c r="AA523" s="24">
        <v>455.67819456965333</v>
      </c>
      <c r="AB523" s="20">
        <v>0.48634813337034011</v>
      </c>
      <c r="AC523" s="20">
        <v>-12.792791440191964</v>
      </c>
      <c r="AD523" s="20">
        <v>-14.738183973673324</v>
      </c>
      <c r="AE523" s="22">
        <v>44343</v>
      </c>
      <c r="AF523" s="23" t="s">
        <v>88</v>
      </c>
      <c r="AG523" s="24"/>
      <c r="AH523" s="24"/>
      <c r="AI523" s="54">
        <v>0.49135719082826768</v>
      </c>
      <c r="AJ523" s="55"/>
      <c r="AK523" s="55"/>
      <c r="AL523" s="22" t="s">
        <v>17</v>
      </c>
      <c r="AM523" s="23" t="s">
        <v>17</v>
      </c>
      <c r="AN523" s="24" t="s">
        <v>17</v>
      </c>
      <c r="AO523" s="24"/>
      <c r="AP523" s="20"/>
      <c r="AQ523" s="20"/>
      <c r="AR523" s="20"/>
      <c r="AS523" s="21"/>
      <c r="AT523" s="20"/>
      <c r="AU523" s="4"/>
      <c r="AV523" s="20"/>
      <c r="AW523" s="20"/>
      <c r="AX523" s="20"/>
      <c r="AY523" s="20"/>
      <c r="AZ523" s="5"/>
      <c r="BA523" s="6"/>
      <c r="BB523" s="4"/>
      <c r="BC523" s="6"/>
      <c r="BD523" s="6"/>
      <c r="BE523" s="6"/>
      <c r="BF523" s="7"/>
    </row>
    <row r="524" spans="1:58" ht="18" customHeight="1">
      <c r="A524" s="107" t="s">
        <v>15</v>
      </c>
      <c r="B524" s="93" t="s">
        <v>502</v>
      </c>
      <c r="C524" s="42">
        <v>999.82</v>
      </c>
      <c r="D524" s="42">
        <v>1000.0200000000001</v>
      </c>
      <c r="E524" s="42">
        <v>999.92000000000007</v>
      </c>
      <c r="F524" s="42">
        <v>999.92000000000007</v>
      </c>
      <c r="G524" s="43">
        <v>58771.992038260003</v>
      </c>
      <c r="H524" s="43">
        <v>55102.432738176904</v>
      </c>
      <c r="I524" s="27">
        <f t="shared" si="22"/>
        <v>1</v>
      </c>
      <c r="J524" s="27">
        <f t="shared" si="23"/>
        <v>3</v>
      </c>
      <c r="K524" s="27">
        <f t="shared" si="21"/>
        <v>2</v>
      </c>
      <c r="L524" s="25">
        <v>451.94641850000005</v>
      </c>
      <c r="M524" s="25">
        <v>454.78852476151502</v>
      </c>
      <c r="N524" s="38">
        <v>0.48390933268656805</v>
      </c>
      <c r="O524" s="38">
        <v>-8.5319109952168848</v>
      </c>
      <c r="P524" s="71">
        <v>-10.461900864297435</v>
      </c>
      <c r="Q524" s="53">
        <v>42900</v>
      </c>
      <c r="R524" s="23">
        <v>20</v>
      </c>
      <c r="S524" s="24"/>
      <c r="T524" s="24"/>
      <c r="U524" s="1">
        <v>0.47912851145204272</v>
      </c>
      <c r="V524" s="2">
        <v>-9.0286782586844758</v>
      </c>
      <c r="W524" s="2">
        <v>-10.945192304492647</v>
      </c>
      <c r="X524" s="22">
        <v>42900</v>
      </c>
      <c r="Y524" s="23">
        <v>20</v>
      </c>
      <c r="Z524" s="24"/>
      <c r="AA524" s="24"/>
      <c r="AB524" s="1">
        <v>0.48586642308823258</v>
      </c>
      <c r="AC524" s="2">
        <v>-8.0351437317492937</v>
      </c>
      <c r="AD524" s="2">
        <v>-9.9786094241022241</v>
      </c>
      <c r="AE524" s="22">
        <v>43182</v>
      </c>
      <c r="AF524" s="23">
        <v>3</v>
      </c>
      <c r="AG524" s="24">
        <v>451.94641850000005</v>
      </c>
      <c r="AH524" s="24">
        <v>454.78852476151502</v>
      </c>
      <c r="AI524" s="1">
        <v>0.48673306351942891</v>
      </c>
      <c r="AJ524" s="2"/>
      <c r="AK524" s="2"/>
      <c r="AL524" s="22"/>
      <c r="AM524" s="23"/>
      <c r="AN524" s="24" t="s">
        <v>17</v>
      </c>
      <c r="AO524" s="24" t="s">
        <v>17</v>
      </c>
      <c r="AP524" s="20" t="s">
        <v>17</v>
      </c>
      <c r="AQ524" s="20" t="s">
        <v>17</v>
      </c>
      <c r="AR524" s="20" t="s">
        <v>17</v>
      </c>
      <c r="AS524" s="3"/>
      <c r="AT524" s="2"/>
      <c r="AU524" s="4"/>
      <c r="AV524" s="2"/>
      <c r="AW524" s="1" t="s">
        <v>17</v>
      </c>
      <c r="AX524" s="2" t="s">
        <v>17</v>
      </c>
      <c r="AY524" s="2" t="s">
        <v>17</v>
      </c>
      <c r="AZ524" s="5"/>
      <c r="BA524" s="6"/>
      <c r="BB524" s="4"/>
      <c r="BC524" s="6"/>
      <c r="BD524" s="6"/>
      <c r="BE524" s="6"/>
      <c r="BF524" s="7"/>
    </row>
    <row r="525" spans="1:58" ht="18" customHeight="1">
      <c r="A525" s="107" t="s">
        <v>15</v>
      </c>
      <c r="B525" s="93" t="s">
        <v>503</v>
      </c>
      <c r="C525" s="42">
        <v>1005.855</v>
      </c>
      <c r="D525" s="42">
        <v>1006.0549999999999</v>
      </c>
      <c r="E525" s="42">
        <v>1005.9549999999999</v>
      </c>
      <c r="F525" s="42">
        <v>1005.9549999999999</v>
      </c>
      <c r="G525" s="43">
        <v>59252.409380828401</v>
      </c>
      <c r="H525" s="43">
        <v>55584.753991348603</v>
      </c>
      <c r="I525" s="27">
        <f t="shared" si="22"/>
        <v>1</v>
      </c>
      <c r="J525" s="27">
        <f t="shared" si="23"/>
        <v>2</v>
      </c>
      <c r="K525" s="27">
        <f t="shared" si="21"/>
        <v>2</v>
      </c>
      <c r="L525" s="25">
        <v>528.71109100000001</v>
      </c>
      <c r="M525" s="25">
        <v>532.00254783177422</v>
      </c>
      <c r="N525" s="38">
        <v>0.48458764540892929</v>
      </c>
      <c r="O525" s="38">
        <v>-1.2637176393930361</v>
      </c>
      <c r="P525" s="71">
        <v>-3.2020682210287532</v>
      </c>
      <c r="Q525" s="53">
        <v>43175</v>
      </c>
      <c r="R525" s="23">
        <v>3</v>
      </c>
      <c r="S525" s="24">
        <v>528.71109100000001</v>
      </c>
      <c r="T525" s="24">
        <v>532.00254783177422</v>
      </c>
      <c r="U525" s="1"/>
      <c r="V525" s="2"/>
      <c r="W525" s="2"/>
      <c r="X525" s="22">
        <v>42811</v>
      </c>
      <c r="Y525" s="23">
        <v>20</v>
      </c>
      <c r="Z525" s="24"/>
      <c r="AA525" s="24"/>
      <c r="AB525" s="1">
        <v>0.48733043251592001</v>
      </c>
      <c r="AC525" s="2">
        <v>2.4897001827952625</v>
      </c>
      <c r="AD525" s="2">
        <v>0.54037845273158247</v>
      </c>
      <c r="AE525" s="22">
        <v>42811</v>
      </c>
      <c r="AF525" s="23">
        <v>20</v>
      </c>
      <c r="AG525" s="24"/>
      <c r="AH525" s="24"/>
      <c r="AI525" s="1">
        <v>0.48184485830193857</v>
      </c>
      <c r="AJ525" s="2">
        <v>-5.0171354615813346</v>
      </c>
      <c r="AK525" s="2">
        <v>-6.9445148947890889</v>
      </c>
      <c r="AL525" s="22"/>
      <c r="AM525" s="23"/>
      <c r="AN525" s="24" t="s">
        <v>17</v>
      </c>
      <c r="AO525" s="24" t="s">
        <v>17</v>
      </c>
      <c r="AP525" s="20" t="s">
        <v>17</v>
      </c>
      <c r="AQ525" s="20" t="s">
        <v>17</v>
      </c>
      <c r="AR525" s="20" t="s">
        <v>17</v>
      </c>
      <c r="AS525" s="3"/>
      <c r="AT525" s="2"/>
      <c r="AU525" s="4"/>
      <c r="AV525" s="2"/>
      <c r="AW525" s="1" t="s">
        <v>17</v>
      </c>
      <c r="AX525" s="2" t="s">
        <v>17</v>
      </c>
      <c r="AY525" s="2" t="s">
        <v>17</v>
      </c>
      <c r="AZ525" s="5"/>
      <c r="BA525" s="6"/>
      <c r="BB525" s="4"/>
      <c r="BC525" s="6"/>
      <c r="BD525" s="6"/>
      <c r="BE525" s="6"/>
      <c r="BF525" s="7"/>
    </row>
    <row r="526" spans="1:58" ht="18" customHeight="1">
      <c r="A526" s="107" t="s">
        <v>15</v>
      </c>
      <c r="B526" s="93" t="s">
        <v>504</v>
      </c>
      <c r="C526" s="42">
        <v>1012.85</v>
      </c>
      <c r="D526" s="42">
        <v>1013.0500000000001</v>
      </c>
      <c r="E526" s="42">
        <v>1012.95</v>
      </c>
      <c r="F526" s="42">
        <v>1012.95</v>
      </c>
      <c r="G526" s="43">
        <v>59731.684849593898</v>
      </c>
      <c r="H526" s="43">
        <v>56150.360153959999</v>
      </c>
      <c r="I526" s="27">
        <f t="shared" si="22"/>
        <v>1</v>
      </c>
      <c r="J526" s="27">
        <f t="shared" si="23"/>
        <v>2</v>
      </c>
      <c r="K526" s="27">
        <f t="shared" si="21"/>
        <v>2</v>
      </c>
      <c r="L526" s="25">
        <v>480.52834233333334</v>
      </c>
      <c r="M526" s="25">
        <v>483.52009747288218</v>
      </c>
      <c r="N526" s="38">
        <v>0.48183577094107477</v>
      </c>
      <c r="O526" s="38">
        <v>4.6745041637429319</v>
      </c>
      <c r="P526" s="71">
        <v>2.7471610799786328</v>
      </c>
      <c r="Q526" s="53">
        <v>42899</v>
      </c>
      <c r="R526" s="23">
        <v>20</v>
      </c>
      <c r="S526" s="24"/>
      <c r="T526" s="24"/>
      <c r="U526" s="1">
        <v>0.48178530350395654</v>
      </c>
      <c r="V526" s="2">
        <v>6.1468435897338303</v>
      </c>
      <c r="W526" s="2">
        <v>4.2197023757180041</v>
      </c>
      <c r="X526" s="22">
        <v>42899</v>
      </c>
      <c r="Y526" s="23">
        <v>20</v>
      </c>
      <c r="Z526" s="24"/>
      <c r="AA526" s="24"/>
      <c r="AB526" s="1">
        <v>0.481886238378193</v>
      </c>
      <c r="AC526" s="2">
        <v>3.2021647377520335</v>
      </c>
      <c r="AD526" s="2">
        <v>1.2746197842392615</v>
      </c>
      <c r="AE526" s="22">
        <v>43165</v>
      </c>
      <c r="AF526" s="23">
        <v>3</v>
      </c>
      <c r="AG526" s="24">
        <v>480.52834233333334</v>
      </c>
      <c r="AH526" s="24">
        <v>483.52009747288218</v>
      </c>
      <c r="AI526" s="1"/>
      <c r="AJ526" s="2"/>
      <c r="AK526" s="2"/>
      <c r="AL526" s="22"/>
      <c r="AM526" s="23"/>
      <c r="AN526" s="24" t="s">
        <v>17</v>
      </c>
      <c r="AO526" s="24" t="s">
        <v>17</v>
      </c>
      <c r="AP526" s="20" t="s">
        <v>17</v>
      </c>
      <c r="AQ526" s="20" t="s">
        <v>17</v>
      </c>
      <c r="AR526" s="20" t="s">
        <v>17</v>
      </c>
      <c r="AS526" s="3"/>
      <c r="AT526" s="2"/>
      <c r="AU526" s="4"/>
      <c r="AV526" s="2"/>
      <c r="AW526" s="1" t="s">
        <v>17</v>
      </c>
      <c r="AX526" s="2" t="s">
        <v>17</v>
      </c>
      <c r="AY526" s="2" t="s">
        <v>17</v>
      </c>
      <c r="AZ526" s="5"/>
      <c r="BA526" s="6"/>
      <c r="BB526" s="4"/>
      <c r="BC526" s="6"/>
      <c r="BD526" s="6"/>
      <c r="BE526" s="6"/>
      <c r="BF526" s="7"/>
    </row>
    <row r="527" spans="1:58" ht="18" customHeight="1">
      <c r="A527" s="107" t="s">
        <v>15</v>
      </c>
      <c r="B527" s="93" t="s">
        <v>505</v>
      </c>
      <c r="C527" s="42">
        <v>1019.35</v>
      </c>
      <c r="D527" s="42">
        <v>1019.5500000000001</v>
      </c>
      <c r="E527" s="42">
        <v>1019.45</v>
      </c>
      <c r="F527" s="42">
        <v>1019.45</v>
      </c>
      <c r="G527" s="43">
        <v>60225.806319988304</v>
      </c>
      <c r="H527" s="43">
        <v>56728.765297289101</v>
      </c>
      <c r="I527" s="27">
        <f t="shared" si="22"/>
        <v>1</v>
      </c>
      <c r="J527" s="27">
        <f t="shared" si="23"/>
        <v>2</v>
      </c>
      <c r="K527" s="27">
        <f t="shared" si="21"/>
        <v>2</v>
      </c>
      <c r="L527" s="25">
        <v>491.37847499999998</v>
      </c>
      <c r="M527" s="25">
        <v>494.39498217480121</v>
      </c>
      <c r="N527" s="38">
        <v>0.47698520555083945</v>
      </c>
      <c r="O527" s="38">
        <v>3.2124369503582773</v>
      </c>
      <c r="P527" s="71">
        <v>1.3044961281549194</v>
      </c>
      <c r="Q527" s="53">
        <v>42818</v>
      </c>
      <c r="R527" s="23">
        <v>20</v>
      </c>
      <c r="S527" s="24"/>
      <c r="T527" s="24"/>
      <c r="U527" s="1">
        <v>0.47882589541381471</v>
      </c>
      <c r="V527" s="2">
        <v>-0.79217327667102655</v>
      </c>
      <c r="W527" s="2">
        <v>-2.7074768583262854</v>
      </c>
      <c r="X527" s="22">
        <v>42818</v>
      </c>
      <c r="Y527" s="23">
        <v>20</v>
      </c>
      <c r="Z527" s="24"/>
      <c r="AA527" s="24"/>
      <c r="AB527" s="1">
        <v>0.4751445156878642</v>
      </c>
      <c r="AC527" s="2">
        <v>7.2170471773875811</v>
      </c>
      <c r="AD527" s="2">
        <v>5.3164691146361243</v>
      </c>
      <c r="AE527" s="22">
        <v>43175</v>
      </c>
      <c r="AF527" s="23">
        <v>3</v>
      </c>
      <c r="AG527" s="24">
        <v>491.37847499999998</v>
      </c>
      <c r="AH527" s="24">
        <v>494.39498217480121</v>
      </c>
      <c r="AI527" s="1"/>
      <c r="AJ527" s="2"/>
      <c r="AK527" s="2"/>
      <c r="AL527" s="22"/>
      <c r="AM527" s="23"/>
      <c r="AN527" s="24" t="s">
        <v>17</v>
      </c>
      <c r="AO527" s="24" t="s">
        <v>17</v>
      </c>
      <c r="AP527" s="20" t="s">
        <v>17</v>
      </c>
      <c r="AQ527" s="20" t="s">
        <v>17</v>
      </c>
      <c r="AR527" s="20" t="s">
        <v>17</v>
      </c>
      <c r="AS527" s="3"/>
      <c r="AT527" s="2"/>
      <c r="AU527" s="4"/>
      <c r="AV527" s="2"/>
      <c r="AW527" s="1" t="s">
        <v>17</v>
      </c>
      <c r="AX527" s="2" t="s">
        <v>17</v>
      </c>
      <c r="AY527" s="2" t="s">
        <v>17</v>
      </c>
      <c r="AZ527" s="5"/>
      <c r="BA527" s="6"/>
      <c r="BB527" s="4"/>
      <c r="BC527" s="6"/>
      <c r="BD527" s="6"/>
      <c r="BE527" s="6"/>
      <c r="BF527" s="7"/>
    </row>
    <row r="528" spans="1:58" ht="18" customHeight="1">
      <c r="A528" s="107" t="s">
        <v>15</v>
      </c>
      <c r="B528" s="93" t="s">
        <v>506</v>
      </c>
      <c r="C528" s="42">
        <v>1022.35</v>
      </c>
      <c r="D528" s="42">
        <v>1022.5500000000001</v>
      </c>
      <c r="E528" s="42">
        <v>1022.45</v>
      </c>
      <c r="F528" s="42">
        <v>1022.45</v>
      </c>
      <c r="G528" s="43">
        <v>60445.603247600397</v>
      </c>
      <c r="H528" s="43">
        <v>57000.9352174952</v>
      </c>
      <c r="I528" s="27">
        <f t="shared" si="22"/>
        <v>1</v>
      </c>
      <c r="J528" s="27">
        <f t="shared" si="23"/>
        <v>3</v>
      </c>
      <c r="K528" s="27">
        <f t="shared" si="21"/>
        <v>2</v>
      </c>
      <c r="L528" s="25">
        <v>468.74391000000003</v>
      </c>
      <c r="M528" s="25">
        <v>471.68086653533618</v>
      </c>
      <c r="N528" s="38">
        <v>0.47834519676233828</v>
      </c>
      <c r="O528" s="38">
        <v>-8.2010975107068553</v>
      </c>
      <c r="P528" s="71">
        <v>-10.101263323183062</v>
      </c>
      <c r="Q528" s="53">
        <v>42811</v>
      </c>
      <c r="R528" s="23">
        <v>20</v>
      </c>
      <c r="S528" s="24"/>
      <c r="T528" s="24"/>
      <c r="U528" s="1">
        <v>0.47245093045833464</v>
      </c>
      <c r="V528" s="2">
        <v>-8.1161775338666189</v>
      </c>
      <c r="W528" s="2">
        <v>-10.005981255699957</v>
      </c>
      <c r="X528" s="22">
        <v>42811</v>
      </c>
      <c r="Y528" s="23">
        <v>20</v>
      </c>
      <c r="Z528" s="24"/>
      <c r="AA528" s="24"/>
      <c r="AB528" s="1">
        <v>0.47763197577976868</v>
      </c>
      <c r="AC528" s="2">
        <v>-8.2860174875470918</v>
      </c>
      <c r="AD528" s="2">
        <v>-10.196545390666166</v>
      </c>
      <c r="AE528" s="22">
        <v>43179</v>
      </c>
      <c r="AF528" s="23">
        <v>3</v>
      </c>
      <c r="AG528" s="24">
        <v>468.74391000000003</v>
      </c>
      <c r="AH528" s="24">
        <v>471.68086653533618</v>
      </c>
      <c r="AI528" s="1">
        <v>0.48495268404891156</v>
      </c>
      <c r="AJ528" s="2"/>
      <c r="AK528" s="2"/>
      <c r="AL528" s="22"/>
      <c r="AM528" s="23"/>
      <c r="AN528" s="24" t="s">
        <v>17</v>
      </c>
      <c r="AO528" s="24" t="s">
        <v>17</v>
      </c>
      <c r="AP528" s="20" t="s">
        <v>17</v>
      </c>
      <c r="AQ528" s="20" t="s">
        <v>17</v>
      </c>
      <c r="AR528" s="20" t="s">
        <v>17</v>
      </c>
      <c r="AS528" s="3"/>
      <c r="AT528" s="2"/>
      <c r="AU528" s="4"/>
      <c r="AV528" s="2"/>
      <c r="AW528" s="1" t="s">
        <v>17</v>
      </c>
      <c r="AX528" s="2" t="s">
        <v>17</v>
      </c>
      <c r="AY528" s="2" t="s">
        <v>17</v>
      </c>
      <c r="AZ528" s="5"/>
      <c r="BA528" s="6"/>
      <c r="BB528" s="4"/>
      <c r="BC528" s="6"/>
      <c r="BD528" s="6"/>
      <c r="BE528" s="6"/>
      <c r="BF528" s="7"/>
    </row>
    <row r="529" spans="1:58" ht="18" customHeight="1">
      <c r="A529" s="107" t="s">
        <v>15</v>
      </c>
      <c r="B529" s="93" t="s">
        <v>507</v>
      </c>
      <c r="C529" s="42">
        <v>1027.8499999999999</v>
      </c>
      <c r="D529" s="42">
        <v>1028.05</v>
      </c>
      <c r="E529" s="42">
        <v>1027.9499999999998</v>
      </c>
      <c r="F529" s="42">
        <v>1027.9499999999998</v>
      </c>
      <c r="G529" s="43">
        <v>60849.431293847301</v>
      </c>
      <c r="H529" s="43">
        <v>57509.860754594098</v>
      </c>
      <c r="I529" s="27">
        <f t="shared" si="22"/>
        <v>1</v>
      </c>
      <c r="J529" s="27">
        <f t="shared" si="23"/>
        <v>2</v>
      </c>
      <c r="K529" s="27">
        <f t="shared" si="21"/>
        <v>2</v>
      </c>
      <c r="L529" s="25">
        <v>552.57665350000002</v>
      </c>
      <c r="M529" s="25">
        <v>555.94063371584843</v>
      </c>
      <c r="N529" s="38">
        <v>0.46984582067732816</v>
      </c>
      <c r="O529" s="38">
        <v>-7.8860391686613731</v>
      </c>
      <c r="P529" s="71">
        <v>-9.7654224513706858</v>
      </c>
      <c r="Q529" s="53">
        <v>42899</v>
      </c>
      <c r="R529" s="23">
        <v>20</v>
      </c>
      <c r="S529" s="24"/>
      <c r="T529" s="24"/>
      <c r="U529" s="1">
        <v>0.4684991215520018</v>
      </c>
      <c r="V529" s="2">
        <v>-5.7059319758497873</v>
      </c>
      <c r="W529" s="2">
        <v>-7.5799284620577945</v>
      </c>
      <c r="X529" s="22">
        <v>42899</v>
      </c>
      <c r="Y529" s="23">
        <v>20</v>
      </c>
      <c r="Z529" s="24"/>
      <c r="AA529" s="24"/>
      <c r="AB529" s="1">
        <v>0.47119251980265453</v>
      </c>
      <c r="AC529" s="2">
        <v>-10.06614636147296</v>
      </c>
      <c r="AD529" s="2">
        <v>-11.950916440683578</v>
      </c>
      <c r="AE529" s="22">
        <v>43175</v>
      </c>
      <c r="AF529" s="23">
        <v>3</v>
      </c>
      <c r="AG529" s="24">
        <v>552.57665350000002</v>
      </c>
      <c r="AH529" s="24">
        <v>555.94063371584843</v>
      </c>
      <c r="AI529" s="1"/>
      <c r="AJ529" s="2"/>
      <c r="AK529" s="2"/>
      <c r="AL529" s="22"/>
      <c r="AM529" s="23"/>
      <c r="AN529" s="24" t="s">
        <v>17</v>
      </c>
      <c r="AO529" s="24" t="s">
        <v>17</v>
      </c>
      <c r="AP529" s="20" t="s">
        <v>17</v>
      </c>
      <c r="AQ529" s="20" t="s">
        <v>17</v>
      </c>
      <c r="AR529" s="20" t="s">
        <v>17</v>
      </c>
      <c r="AS529" s="3"/>
      <c r="AT529" s="2"/>
      <c r="AU529" s="4"/>
      <c r="AV529" s="2"/>
      <c r="AW529" s="1" t="s">
        <v>17</v>
      </c>
      <c r="AX529" s="2" t="s">
        <v>17</v>
      </c>
      <c r="AY529" s="2" t="s">
        <v>17</v>
      </c>
      <c r="AZ529" s="5"/>
      <c r="BA529" s="6"/>
      <c r="BB529" s="4"/>
      <c r="BC529" s="6"/>
      <c r="BD529" s="6"/>
      <c r="BE529" s="6"/>
      <c r="BF529" s="7"/>
    </row>
    <row r="530" spans="1:58" ht="18" customHeight="1">
      <c r="A530" s="107" t="s">
        <v>15</v>
      </c>
      <c r="B530" s="93" t="s">
        <v>508</v>
      </c>
      <c r="C530" s="42">
        <v>1033.3399999999999</v>
      </c>
      <c r="D530" s="42">
        <v>1033.54</v>
      </c>
      <c r="E530" s="42">
        <v>1033.44</v>
      </c>
      <c r="F530" s="42">
        <v>1033.44</v>
      </c>
      <c r="G530" s="43">
        <v>61266.012116668397</v>
      </c>
      <c r="H530" s="43">
        <v>57967.285829020002</v>
      </c>
      <c r="I530" s="27">
        <f t="shared" si="22"/>
        <v>1</v>
      </c>
      <c r="J530" s="27">
        <f t="shared" si="23"/>
        <v>2</v>
      </c>
      <c r="K530" s="27">
        <f t="shared" si="21"/>
        <v>1</v>
      </c>
      <c r="L530" s="25">
        <v>565.38356850000002</v>
      </c>
      <c r="M530" s="25">
        <v>568.85620311100297</v>
      </c>
      <c r="N530" s="38">
        <v>0.4736940414900026</v>
      </c>
      <c r="O530" s="38">
        <v>-0.16034910487960907</v>
      </c>
      <c r="P530" s="71">
        <v>-2.0483267634034963</v>
      </c>
      <c r="Q530" s="22">
        <v>42817</v>
      </c>
      <c r="R530" s="23">
        <v>20</v>
      </c>
      <c r="S530" s="24"/>
      <c r="T530" s="24"/>
      <c r="U530" s="1">
        <v>0.4719944146309718</v>
      </c>
      <c r="V530" s="2">
        <v>-0.16034910487960907</v>
      </c>
      <c r="W530" s="2">
        <v>-2.0483267634034963</v>
      </c>
      <c r="X530" s="22">
        <v>43182</v>
      </c>
      <c r="Y530" s="23">
        <v>3</v>
      </c>
      <c r="Z530" s="24">
        <v>565.38356850000002</v>
      </c>
      <c r="AA530" s="24">
        <v>568.85620311100297</v>
      </c>
      <c r="AB530" s="1">
        <v>0.4753936683490334</v>
      </c>
      <c r="AC530" s="2"/>
      <c r="AD530" s="2"/>
      <c r="AE530" s="22"/>
      <c r="AF530" s="23"/>
      <c r="AG530" s="24"/>
      <c r="AH530" s="24"/>
      <c r="AI530" s="1"/>
      <c r="AJ530" s="2"/>
      <c r="AK530" s="2"/>
      <c r="AL530" s="22"/>
      <c r="AM530" s="23"/>
      <c r="AN530" s="24" t="s">
        <v>17</v>
      </c>
      <c r="AO530" s="24" t="s">
        <v>17</v>
      </c>
      <c r="AP530" s="20" t="s">
        <v>17</v>
      </c>
      <c r="AQ530" s="20" t="s">
        <v>17</v>
      </c>
      <c r="AR530" s="20" t="s">
        <v>17</v>
      </c>
      <c r="AS530" s="3"/>
      <c r="AT530" s="2"/>
      <c r="AU530" s="4"/>
      <c r="AV530" s="2"/>
      <c r="AW530" s="1" t="s">
        <v>17</v>
      </c>
      <c r="AX530" s="2" t="s">
        <v>17</v>
      </c>
      <c r="AY530" s="2" t="s">
        <v>17</v>
      </c>
      <c r="AZ530" s="5"/>
      <c r="BA530" s="6"/>
      <c r="BB530" s="4"/>
      <c r="BC530" s="6"/>
      <c r="BD530" s="6"/>
      <c r="BE530" s="6"/>
      <c r="BF530" s="7"/>
    </row>
    <row r="531" spans="1:58" ht="18" customHeight="1">
      <c r="A531" s="107" t="s">
        <v>15</v>
      </c>
      <c r="B531" s="93" t="s">
        <v>509</v>
      </c>
      <c r="C531" s="42">
        <v>1038.95</v>
      </c>
      <c r="D531" s="42">
        <v>1039.1500000000001</v>
      </c>
      <c r="E531" s="42">
        <v>1039.0500000000002</v>
      </c>
      <c r="F531" s="42">
        <v>1039.0500000000002</v>
      </c>
      <c r="G531" s="43">
        <v>61719.7663991179</v>
      </c>
      <c r="H531" s="43">
        <v>58416.994663218597</v>
      </c>
      <c r="I531" s="27">
        <f t="shared" si="22"/>
        <v>1</v>
      </c>
      <c r="J531" s="27">
        <f t="shared" si="23"/>
        <v>3</v>
      </c>
      <c r="K531" s="27">
        <f t="shared" si="21"/>
        <v>2</v>
      </c>
      <c r="L531" s="25">
        <v>515.10763799999995</v>
      </c>
      <c r="M531" s="25">
        <v>518.26121164209837</v>
      </c>
      <c r="N531" s="38">
        <v>0.47608228664556645</v>
      </c>
      <c r="O531" s="38">
        <v>-7.9072828994591893</v>
      </c>
      <c r="P531" s="71">
        <v>-9.8160731522710662</v>
      </c>
      <c r="Q531" s="53">
        <v>42895</v>
      </c>
      <c r="R531" s="23">
        <v>20</v>
      </c>
      <c r="S531" s="24"/>
      <c r="T531" s="24"/>
      <c r="U531" s="1">
        <v>0.47998733991572173</v>
      </c>
      <c r="V531" s="2">
        <v>-4.5718892989321525</v>
      </c>
      <c r="W531" s="2">
        <v>-6.4918386585950394</v>
      </c>
      <c r="X531" s="22">
        <v>42895</v>
      </c>
      <c r="Y531" s="23">
        <v>20</v>
      </c>
      <c r="Z531" s="24"/>
      <c r="AA531" s="24"/>
      <c r="AB531" s="1">
        <v>0.47440778649021631</v>
      </c>
      <c r="AC531" s="2">
        <v>-11.242676499986226</v>
      </c>
      <c r="AD531" s="2">
        <v>-13.140307645947091</v>
      </c>
      <c r="AE531" s="22">
        <v>43179</v>
      </c>
      <c r="AF531" s="23">
        <v>3</v>
      </c>
      <c r="AG531" s="24">
        <v>515.10763799999995</v>
      </c>
      <c r="AH531" s="24">
        <v>518.26121164209837</v>
      </c>
      <c r="AI531" s="1">
        <v>0.47385173353076127</v>
      </c>
      <c r="AJ531" s="2"/>
      <c r="AK531" s="2"/>
      <c r="AL531" s="22"/>
      <c r="AM531" s="23"/>
      <c r="AN531" s="24" t="s">
        <v>17</v>
      </c>
      <c r="AO531" s="24" t="s">
        <v>17</v>
      </c>
      <c r="AP531" s="20" t="s">
        <v>17</v>
      </c>
      <c r="AQ531" s="20" t="s">
        <v>17</v>
      </c>
      <c r="AR531" s="20" t="s">
        <v>17</v>
      </c>
      <c r="AS531" s="3"/>
      <c r="AT531" s="2"/>
      <c r="AU531" s="4"/>
      <c r="AV531" s="2"/>
      <c r="AW531" s="1" t="s">
        <v>17</v>
      </c>
      <c r="AX531" s="2" t="s">
        <v>17</v>
      </c>
      <c r="AY531" s="2" t="s">
        <v>17</v>
      </c>
      <c r="AZ531" s="5"/>
      <c r="BA531" s="6"/>
      <c r="BB531" s="4"/>
      <c r="BC531" s="6"/>
      <c r="BD531" s="6"/>
      <c r="BE531" s="6"/>
      <c r="BF531" s="7"/>
    </row>
    <row r="532" spans="1:58" ht="18" customHeight="1">
      <c r="A532" s="107" t="s">
        <v>15</v>
      </c>
      <c r="B532" s="93" t="s">
        <v>510</v>
      </c>
      <c r="C532" s="42">
        <v>1046.8</v>
      </c>
      <c r="D532" s="42">
        <v>1047</v>
      </c>
      <c r="E532" s="42">
        <v>1046.9000000000001</v>
      </c>
      <c r="F532" s="42">
        <v>1046.9000000000001</v>
      </c>
      <c r="G532" s="43">
        <v>62414.138329898597</v>
      </c>
      <c r="H532" s="43">
        <v>59032.308845010601</v>
      </c>
      <c r="I532" s="27">
        <f t="shared" si="22"/>
        <v>1</v>
      </c>
      <c r="J532" s="27">
        <f t="shared" si="23"/>
        <v>0</v>
      </c>
      <c r="K532" s="27">
        <f t="shared" si="21"/>
        <v>0</v>
      </c>
      <c r="L532" s="25">
        <v>574.47111700000005</v>
      </c>
      <c r="M532" s="25">
        <v>578.07537067060446</v>
      </c>
      <c r="N532" s="38"/>
      <c r="O532" s="38"/>
      <c r="P532" s="71"/>
      <c r="Q532" s="22">
        <v>43175</v>
      </c>
      <c r="R532" s="23">
        <v>3</v>
      </c>
      <c r="S532" s="24">
        <v>574.47111700000005</v>
      </c>
      <c r="T532" s="24">
        <v>578.07537067060446</v>
      </c>
      <c r="U532" s="1"/>
      <c r="V532" s="2"/>
      <c r="W532" s="2"/>
      <c r="X532" s="22"/>
      <c r="Y532" s="23"/>
      <c r="Z532" s="24"/>
      <c r="AA532" s="24"/>
      <c r="AB532" s="1"/>
      <c r="AC532" s="2"/>
      <c r="AD532" s="2"/>
      <c r="AE532" s="22"/>
      <c r="AF532" s="23"/>
      <c r="AG532" s="24"/>
      <c r="AH532" s="24"/>
      <c r="AI532" s="1"/>
      <c r="AJ532" s="2"/>
      <c r="AK532" s="2"/>
      <c r="AL532" s="22"/>
      <c r="AM532" s="23"/>
      <c r="AN532" s="24" t="s">
        <v>17</v>
      </c>
      <c r="AO532" s="24" t="s">
        <v>17</v>
      </c>
      <c r="AP532" s="20" t="s">
        <v>17</v>
      </c>
      <c r="AQ532" s="20" t="s">
        <v>17</v>
      </c>
      <c r="AR532" s="20" t="s">
        <v>17</v>
      </c>
      <c r="AS532" s="3"/>
      <c r="AT532" s="2"/>
      <c r="AU532" s="4"/>
      <c r="AV532" s="2"/>
      <c r="AW532" s="1" t="s">
        <v>17</v>
      </c>
      <c r="AX532" s="2" t="s">
        <v>17</v>
      </c>
      <c r="AY532" s="2" t="s">
        <v>17</v>
      </c>
      <c r="AZ532" s="5"/>
      <c r="BA532" s="6"/>
      <c r="BB532" s="4"/>
      <c r="BC532" s="6"/>
      <c r="BD532" s="6"/>
      <c r="BE532" s="6"/>
      <c r="BF532" s="7"/>
    </row>
    <row r="533" spans="1:58" ht="18" customHeight="1">
      <c r="A533" s="107" t="s">
        <v>15</v>
      </c>
      <c r="B533" s="113" t="s">
        <v>511</v>
      </c>
      <c r="C533" s="42">
        <v>1050.05</v>
      </c>
      <c r="D533" s="42">
        <v>1050.1699999999998</v>
      </c>
      <c r="E533" s="42">
        <v>1050.1099999999999</v>
      </c>
      <c r="F533" s="42">
        <v>1050.1099999999999</v>
      </c>
      <c r="G533" s="43">
        <v>62697.477325960899</v>
      </c>
      <c r="H533" s="43">
        <v>59275.771047120499</v>
      </c>
      <c r="I533" s="27">
        <f t="shared" si="22"/>
        <v>1</v>
      </c>
      <c r="J533" s="27">
        <f t="shared" si="23"/>
        <v>4</v>
      </c>
      <c r="K533" s="27">
        <f t="shared" si="21"/>
        <v>2</v>
      </c>
      <c r="L533" s="25">
        <v>572.21302449999996</v>
      </c>
      <c r="M533" s="25">
        <v>575.77758793573935</v>
      </c>
      <c r="N533" s="38">
        <v>0.48771693161303586</v>
      </c>
      <c r="O533" s="38">
        <v>6.2439011372942277</v>
      </c>
      <c r="P533" s="71">
        <v>4.2865293821497952</v>
      </c>
      <c r="Q533" s="53">
        <v>42754</v>
      </c>
      <c r="R533" s="23">
        <v>17</v>
      </c>
      <c r="S533" s="24"/>
      <c r="T533" s="24"/>
      <c r="U533" s="1">
        <v>0.48560666343955283</v>
      </c>
      <c r="V533" s="2">
        <v>9.1901514504222348</v>
      </c>
      <c r="W533" s="2">
        <v>7.2477247966640235</v>
      </c>
      <c r="X533" s="22">
        <v>42754</v>
      </c>
      <c r="Y533" s="23">
        <v>17</v>
      </c>
      <c r="Z533" s="24"/>
      <c r="AA533" s="24"/>
      <c r="AB533" s="1">
        <v>0.49307921413266342</v>
      </c>
      <c r="AC533" s="2">
        <v>3.2976508241662206</v>
      </c>
      <c r="AD533" s="2">
        <v>1.3253339676355669</v>
      </c>
      <c r="AE533" s="22">
        <v>43186</v>
      </c>
      <c r="AF533" s="23">
        <v>2</v>
      </c>
      <c r="AG533" s="24">
        <v>572.21302449999996</v>
      </c>
      <c r="AH533" s="24">
        <v>575.77758793573935</v>
      </c>
      <c r="AI533" s="1">
        <v>0.48215435677523288</v>
      </c>
      <c r="AJ533" s="2"/>
      <c r="AK533" s="2"/>
      <c r="AL533" s="22">
        <v>44343</v>
      </c>
      <c r="AM533" s="23" t="s">
        <v>88</v>
      </c>
      <c r="AN533" s="24"/>
      <c r="AO533" s="24"/>
      <c r="AP533" s="20">
        <v>0.49002749210469432</v>
      </c>
      <c r="AQ533" s="20"/>
      <c r="AR533" s="20"/>
      <c r="AS533" s="3"/>
      <c r="AT533" s="2"/>
      <c r="AU533" s="4"/>
      <c r="AV533" s="2"/>
      <c r="AW533" s="1" t="s">
        <v>17</v>
      </c>
      <c r="AX533" s="2" t="s">
        <v>17</v>
      </c>
      <c r="AY533" s="2" t="s">
        <v>17</v>
      </c>
      <c r="AZ533" s="5"/>
      <c r="BA533" s="6"/>
      <c r="BB533" s="4"/>
      <c r="BC533" s="6"/>
      <c r="BD533" s="6"/>
      <c r="BE533" s="6"/>
      <c r="BF533" s="7"/>
    </row>
    <row r="534" spans="1:58" ht="18" customHeight="1">
      <c r="A534" s="107" t="s">
        <v>15</v>
      </c>
      <c r="B534" s="93" t="s">
        <v>512</v>
      </c>
      <c r="C534" s="42">
        <v>1057.05</v>
      </c>
      <c r="D534" s="42">
        <v>1057.25</v>
      </c>
      <c r="E534" s="42">
        <v>1057.1500000000001</v>
      </c>
      <c r="F534" s="42">
        <v>1057.1500000000001</v>
      </c>
      <c r="G534" s="43">
        <v>63346.832044967603</v>
      </c>
      <c r="H534" s="43">
        <v>59740.6113978418</v>
      </c>
      <c r="I534" s="27">
        <f t="shared" si="22"/>
        <v>1</v>
      </c>
      <c r="J534" s="27">
        <f t="shared" si="23"/>
        <v>3</v>
      </c>
      <c r="K534" s="27">
        <f t="shared" si="21"/>
        <v>2</v>
      </c>
      <c r="L534" s="25">
        <v>539.25287600000001</v>
      </c>
      <c r="M534" s="25">
        <v>542.68905904923645</v>
      </c>
      <c r="N534" s="38">
        <v>0.48638054295402355</v>
      </c>
      <c r="O534" s="38">
        <v>-18.523382760814723</v>
      </c>
      <c r="P534" s="71">
        <v>-20.455270017033346</v>
      </c>
      <c r="Q534" s="53">
        <v>42894</v>
      </c>
      <c r="R534" s="23">
        <v>20</v>
      </c>
      <c r="S534" s="24"/>
      <c r="T534" s="24"/>
      <c r="U534" s="1">
        <v>0.48560316520163127</v>
      </c>
      <c r="V534" s="2">
        <v>-20.64913283802894</v>
      </c>
      <c r="W534" s="2">
        <v>-22.591545498835465</v>
      </c>
      <c r="X534" s="22">
        <v>42894</v>
      </c>
      <c r="Y534" s="23">
        <v>20</v>
      </c>
      <c r="Z534" s="24"/>
      <c r="AA534" s="24"/>
      <c r="AB534" s="1">
        <v>0.48034046290768018</v>
      </c>
      <c r="AC534" s="2">
        <v>-16.397632683600506</v>
      </c>
      <c r="AD534" s="2">
        <v>-18.318994535231226</v>
      </c>
      <c r="AE534" s="22">
        <v>43179</v>
      </c>
      <c r="AF534" s="23">
        <v>3</v>
      </c>
      <c r="AG534" s="24">
        <v>539.25287600000001</v>
      </c>
      <c r="AH534" s="24">
        <v>542.68905904923645</v>
      </c>
      <c r="AI534" s="1">
        <v>0.49319800075275921</v>
      </c>
      <c r="AJ534" s="2"/>
      <c r="AK534" s="2"/>
      <c r="AL534" s="22"/>
      <c r="AM534" s="23"/>
      <c r="AN534" s="24" t="s">
        <v>17</v>
      </c>
      <c r="AO534" s="24" t="s">
        <v>17</v>
      </c>
      <c r="AP534" s="20" t="s">
        <v>17</v>
      </c>
      <c r="AQ534" s="20" t="s">
        <v>17</v>
      </c>
      <c r="AR534" s="20" t="s">
        <v>17</v>
      </c>
      <c r="AS534" s="3"/>
      <c r="AT534" s="2"/>
      <c r="AU534" s="4"/>
      <c r="AV534" s="2"/>
      <c r="AW534" s="1" t="s">
        <v>17</v>
      </c>
      <c r="AX534" s="2" t="s">
        <v>17</v>
      </c>
      <c r="AY534" s="2" t="s">
        <v>17</v>
      </c>
      <c r="AZ534" s="5"/>
      <c r="BA534" s="6"/>
      <c r="BB534" s="4"/>
      <c r="BC534" s="6"/>
      <c r="BD534" s="6"/>
      <c r="BE534" s="6"/>
      <c r="BF534" s="7"/>
    </row>
    <row r="535" spans="1:58" ht="18" customHeight="1">
      <c r="A535" s="107" t="s">
        <v>15</v>
      </c>
      <c r="B535" s="93" t="s">
        <v>513</v>
      </c>
      <c r="C535" s="42">
        <v>1062</v>
      </c>
      <c r="D535" s="42">
        <v>1062.2</v>
      </c>
      <c r="E535" s="42">
        <v>1062.0999999999999</v>
      </c>
      <c r="F535" s="42">
        <v>1062.0999999999999</v>
      </c>
      <c r="G535" s="43">
        <v>63857.429131160097</v>
      </c>
      <c r="H535" s="43">
        <v>60096.9554868626</v>
      </c>
      <c r="I535" s="27">
        <f t="shared" si="22"/>
        <v>1</v>
      </c>
      <c r="J535" s="27">
        <f t="shared" si="23"/>
        <v>1</v>
      </c>
      <c r="K535" s="27">
        <f t="shared" si="21"/>
        <v>0</v>
      </c>
      <c r="L535" s="25">
        <v>441.86042450000002</v>
      </c>
      <c r="M535" s="25">
        <v>444.61180226688515</v>
      </c>
      <c r="N535" s="38">
        <v>0.4819506878408486</v>
      </c>
      <c r="O535" s="38"/>
      <c r="P535" s="71"/>
      <c r="Q535" s="22">
        <v>43179</v>
      </c>
      <c r="R535" s="23">
        <v>3</v>
      </c>
      <c r="S535" s="24">
        <v>441.86042450000002</v>
      </c>
      <c r="T535" s="24">
        <v>444.61180226688515</v>
      </c>
      <c r="U535" s="1">
        <v>0.4819506878408486</v>
      </c>
      <c r="V535" s="2"/>
      <c r="W535" s="2"/>
      <c r="X535" s="22"/>
      <c r="Y535" s="23"/>
      <c r="Z535" s="24"/>
      <c r="AA535" s="24"/>
      <c r="AB535" s="1"/>
      <c r="AC535" s="2"/>
      <c r="AD535" s="2"/>
      <c r="AE535" s="22"/>
      <c r="AF535" s="23"/>
      <c r="AG535" s="24"/>
      <c r="AH535" s="24"/>
      <c r="AI535" s="1"/>
      <c r="AJ535" s="2"/>
      <c r="AK535" s="2"/>
      <c r="AL535" s="22"/>
      <c r="AM535" s="23"/>
      <c r="AN535" s="24" t="s">
        <v>17</v>
      </c>
      <c r="AO535" s="24" t="s">
        <v>17</v>
      </c>
      <c r="AP535" s="20" t="s">
        <v>17</v>
      </c>
      <c r="AQ535" s="20" t="s">
        <v>17</v>
      </c>
      <c r="AR535" s="20" t="s">
        <v>17</v>
      </c>
      <c r="AS535" s="3"/>
      <c r="AT535" s="2"/>
      <c r="AU535" s="4"/>
      <c r="AV535" s="2"/>
      <c r="AW535" s="1" t="s">
        <v>17</v>
      </c>
      <c r="AX535" s="2" t="s">
        <v>17</v>
      </c>
      <c r="AY535" s="2" t="s">
        <v>17</v>
      </c>
      <c r="AZ535" s="5"/>
      <c r="BA535" s="6"/>
      <c r="BB535" s="4"/>
      <c r="BC535" s="6"/>
      <c r="BD535" s="6"/>
      <c r="BE535" s="6"/>
      <c r="BF535" s="7"/>
    </row>
    <row r="536" spans="1:58" ht="18" customHeight="1">
      <c r="A536" s="107" t="s">
        <v>15</v>
      </c>
      <c r="B536" s="93" t="s">
        <v>514</v>
      </c>
      <c r="C536" s="42">
        <v>1068.01</v>
      </c>
      <c r="D536" s="42">
        <v>1068.21</v>
      </c>
      <c r="E536" s="42">
        <v>1068.1100000000001</v>
      </c>
      <c r="F536" s="42">
        <v>1068.1100000000001</v>
      </c>
      <c r="G536" s="43">
        <v>64519.967681617003</v>
      </c>
      <c r="H536" s="43">
        <v>60535.815412021897</v>
      </c>
      <c r="I536" s="27">
        <f t="shared" si="22"/>
        <v>1</v>
      </c>
      <c r="J536" s="27">
        <f t="shared" si="23"/>
        <v>3</v>
      </c>
      <c r="K536" s="27">
        <f t="shared" si="21"/>
        <v>2</v>
      </c>
      <c r="L536" s="25">
        <v>430.67214799999999</v>
      </c>
      <c r="M536" s="25">
        <v>433.36744086659741</v>
      </c>
      <c r="N536" s="38">
        <v>0.48806677779518931</v>
      </c>
      <c r="O536" s="38">
        <v>-8.3846514661656268</v>
      </c>
      <c r="P536" s="71">
        <v>-10.344268802361833</v>
      </c>
      <c r="Q536" s="53">
        <v>42895</v>
      </c>
      <c r="R536" s="23">
        <v>20</v>
      </c>
      <c r="S536" s="24"/>
      <c r="T536" s="24"/>
      <c r="U536" s="1">
        <v>0.49023669456649266</v>
      </c>
      <c r="V536" s="2">
        <v>-9.7261601996438962</v>
      </c>
      <c r="W536" s="2">
        <v>-11.687106977909867</v>
      </c>
      <c r="X536" s="22">
        <v>42895</v>
      </c>
      <c r="Y536" s="23">
        <v>20</v>
      </c>
      <c r="Z536" s="24"/>
      <c r="AA536" s="24"/>
      <c r="AB536" s="1">
        <v>0.48957197353161064</v>
      </c>
      <c r="AC536" s="2">
        <v>-7.0431427326873575</v>
      </c>
      <c r="AD536" s="2">
        <v>-9.0014306268138</v>
      </c>
      <c r="AE536" s="22">
        <v>43182</v>
      </c>
      <c r="AF536" s="23">
        <v>3</v>
      </c>
      <c r="AG536" s="24">
        <v>430.67214799999999</v>
      </c>
      <c r="AH536" s="24">
        <v>433.36744086659741</v>
      </c>
      <c r="AI536" s="1">
        <v>0.48439166528746469</v>
      </c>
      <c r="AJ536" s="2"/>
      <c r="AK536" s="2"/>
      <c r="AL536" s="22"/>
      <c r="AM536" s="23"/>
      <c r="AN536" s="24" t="s">
        <v>17</v>
      </c>
      <c r="AO536" s="24" t="s">
        <v>17</v>
      </c>
      <c r="AP536" s="20" t="s">
        <v>17</v>
      </c>
      <c r="AQ536" s="20" t="s">
        <v>17</v>
      </c>
      <c r="AR536" s="20" t="s">
        <v>17</v>
      </c>
      <c r="AS536" s="3"/>
      <c r="AT536" s="2"/>
      <c r="AU536" s="4"/>
      <c r="AV536" s="2"/>
      <c r="AW536" s="1" t="s">
        <v>17</v>
      </c>
      <c r="AX536" s="2" t="s">
        <v>17</v>
      </c>
      <c r="AY536" s="2" t="s">
        <v>17</v>
      </c>
      <c r="AZ536" s="5"/>
      <c r="BA536" s="6"/>
      <c r="BB536" s="4"/>
      <c r="BC536" s="6"/>
      <c r="BD536" s="6"/>
      <c r="BE536" s="6"/>
      <c r="BF536" s="7"/>
    </row>
    <row r="537" spans="1:58" ht="18" customHeight="1">
      <c r="A537" s="107" t="s">
        <v>15</v>
      </c>
      <c r="B537" s="93" t="s">
        <v>515</v>
      </c>
      <c r="C537" s="42">
        <v>1073</v>
      </c>
      <c r="D537" s="42">
        <v>1073.2</v>
      </c>
      <c r="E537" s="42">
        <v>1073.0999999999999</v>
      </c>
      <c r="F537" s="42">
        <v>1073.0999999999999</v>
      </c>
      <c r="G537" s="43">
        <v>64978.009428025398</v>
      </c>
      <c r="H537" s="43">
        <v>60893.4052094</v>
      </c>
      <c r="I537" s="27">
        <f t="shared" si="22"/>
        <v>1</v>
      </c>
      <c r="J537" s="27">
        <f t="shared" si="23"/>
        <v>1</v>
      </c>
      <c r="K537" s="27">
        <f t="shared" si="21"/>
        <v>1</v>
      </c>
      <c r="L537" s="25">
        <v>438.26077650000002</v>
      </c>
      <c r="M537" s="25">
        <v>441.04323058664016</v>
      </c>
      <c r="N537" s="38">
        <v>0.49139743954285109</v>
      </c>
      <c r="O537" s="38">
        <v>4.955621969495061</v>
      </c>
      <c r="P537" s="71">
        <v>3.2870668390214686</v>
      </c>
      <c r="Q537" s="22">
        <v>42816</v>
      </c>
      <c r="R537" s="23">
        <v>20</v>
      </c>
      <c r="S537" s="24"/>
      <c r="T537" s="24"/>
      <c r="U537" s="44"/>
      <c r="V537" s="45">
        <v>4.955621969495061</v>
      </c>
      <c r="W537" s="45">
        <v>3.2870668390214686</v>
      </c>
      <c r="X537" s="22">
        <v>43182</v>
      </c>
      <c r="Y537" s="23">
        <v>3</v>
      </c>
      <c r="Z537" s="24">
        <v>438.26077650000002</v>
      </c>
      <c r="AA537" s="24">
        <v>441.04323058664016</v>
      </c>
      <c r="AB537" s="1">
        <v>0.49139743954285109</v>
      </c>
      <c r="AC537" s="2"/>
      <c r="AD537" s="2"/>
      <c r="AE537" s="22"/>
      <c r="AF537" s="23"/>
      <c r="AG537" s="24"/>
      <c r="AH537" s="24"/>
      <c r="AI537" s="1"/>
      <c r="AJ537" s="2"/>
      <c r="AK537" s="2"/>
      <c r="AL537" s="22"/>
      <c r="AM537" s="23"/>
      <c r="AN537" s="24" t="s">
        <v>17</v>
      </c>
      <c r="AO537" s="24" t="s">
        <v>17</v>
      </c>
      <c r="AP537" s="20" t="s">
        <v>17</v>
      </c>
      <c r="AQ537" s="20" t="s">
        <v>17</v>
      </c>
      <c r="AR537" s="20" t="s">
        <v>17</v>
      </c>
      <c r="AS537" s="3"/>
      <c r="AT537" s="2"/>
      <c r="AU537" s="4"/>
      <c r="AV537" s="2"/>
      <c r="AW537" s="1" t="s">
        <v>17</v>
      </c>
      <c r="AX537" s="2" t="s">
        <v>17</v>
      </c>
      <c r="AY537" s="2" t="s">
        <v>17</v>
      </c>
      <c r="AZ537" s="5"/>
      <c r="BA537" s="6"/>
      <c r="BB537" s="4"/>
      <c r="BC537" s="6"/>
      <c r="BD537" s="6"/>
      <c r="BE537" s="6"/>
      <c r="BF537" s="7"/>
    </row>
    <row r="538" spans="1:58" ht="18" customHeight="1">
      <c r="A538" s="107" t="s">
        <v>15</v>
      </c>
      <c r="B538" s="93" t="s">
        <v>516</v>
      </c>
      <c r="C538" s="42">
        <v>1077</v>
      </c>
      <c r="D538" s="42">
        <v>1077.2</v>
      </c>
      <c r="E538" s="42">
        <v>1077.0999999999999</v>
      </c>
      <c r="F538" s="42">
        <v>1077.0999999999999</v>
      </c>
      <c r="G538" s="43">
        <v>65341.165201570802</v>
      </c>
      <c r="H538" s="43">
        <v>61186.440771268899</v>
      </c>
      <c r="I538" s="27">
        <f t="shared" si="22"/>
        <v>1</v>
      </c>
      <c r="J538" s="27">
        <f t="shared" si="23"/>
        <v>2</v>
      </c>
      <c r="K538" s="27">
        <f t="shared" si="21"/>
        <v>2</v>
      </c>
      <c r="L538" s="25">
        <v>435.50881099999998</v>
      </c>
      <c r="M538" s="25">
        <v>438.23753007533247</v>
      </c>
      <c r="N538" s="38">
        <v>0.48498906378624529</v>
      </c>
      <c r="O538" s="38">
        <v>-5.5174336690547161</v>
      </c>
      <c r="P538" s="71">
        <v>-7.4573899241996973</v>
      </c>
      <c r="Q538" s="53">
        <v>42888</v>
      </c>
      <c r="R538" s="23">
        <v>20</v>
      </c>
      <c r="S538" s="24"/>
      <c r="T538" s="24"/>
      <c r="U538" s="1">
        <v>0.48530101814137083</v>
      </c>
      <c r="V538" s="2">
        <v>-6.2729867336157596</v>
      </c>
      <c r="W538" s="2">
        <v>-8.214190806181243</v>
      </c>
      <c r="X538" s="22">
        <v>42888</v>
      </c>
      <c r="Y538" s="23">
        <v>20</v>
      </c>
      <c r="Z538" s="24"/>
      <c r="AA538" s="24"/>
      <c r="AB538" s="1">
        <v>0.48467710943111975</v>
      </c>
      <c r="AC538" s="2">
        <v>-4.7618806044936735</v>
      </c>
      <c r="AD538" s="2">
        <v>-6.7005890422181524</v>
      </c>
      <c r="AE538" s="22">
        <v>43165</v>
      </c>
      <c r="AF538" s="23">
        <v>3</v>
      </c>
      <c r="AG538" s="24">
        <v>435.50881099999998</v>
      </c>
      <c r="AH538" s="24">
        <v>438.23753007533247</v>
      </c>
      <c r="AI538" s="1"/>
      <c r="AJ538" s="2"/>
      <c r="AK538" s="2"/>
      <c r="AL538" s="22"/>
      <c r="AM538" s="23"/>
      <c r="AN538" s="24" t="s">
        <v>17</v>
      </c>
      <c r="AO538" s="24" t="s">
        <v>17</v>
      </c>
      <c r="AP538" s="20" t="s">
        <v>17</v>
      </c>
      <c r="AQ538" s="20" t="s">
        <v>17</v>
      </c>
      <c r="AR538" s="20" t="s">
        <v>17</v>
      </c>
      <c r="AS538" s="3"/>
      <c r="AT538" s="2"/>
      <c r="AU538" s="4"/>
      <c r="AV538" s="2"/>
      <c r="AW538" s="1" t="s">
        <v>17</v>
      </c>
      <c r="AX538" s="2" t="s">
        <v>17</v>
      </c>
      <c r="AY538" s="2" t="s">
        <v>17</v>
      </c>
      <c r="AZ538" s="5"/>
      <c r="BA538" s="6"/>
      <c r="BB538" s="4"/>
      <c r="BC538" s="6"/>
      <c r="BD538" s="6"/>
      <c r="BE538" s="6"/>
      <c r="BF538" s="7"/>
    </row>
    <row r="539" spans="1:58" ht="18" customHeight="1">
      <c r="A539" s="107" t="s">
        <v>15</v>
      </c>
      <c r="B539" s="93" t="s">
        <v>517</v>
      </c>
      <c r="C539" s="42">
        <v>1081.8</v>
      </c>
      <c r="D539" s="42">
        <v>1082</v>
      </c>
      <c r="E539" s="42">
        <v>1081.9000000000001</v>
      </c>
      <c r="F539" s="42">
        <v>1081.9000000000001</v>
      </c>
      <c r="G539" s="43">
        <v>65771.580058291307</v>
      </c>
      <c r="H539" s="43">
        <v>61571.392505558702</v>
      </c>
      <c r="I539" s="27">
        <f t="shared" si="22"/>
        <v>1</v>
      </c>
      <c r="J539" s="27">
        <f t="shared" si="23"/>
        <v>2</v>
      </c>
      <c r="K539" s="27">
        <f t="shared" si="21"/>
        <v>2</v>
      </c>
      <c r="L539" s="25">
        <v>436.48499766666669</v>
      </c>
      <c r="M539" s="25">
        <v>439.22650302427695</v>
      </c>
      <c r="N539" s="38">
        <v>0.48104572112950272</v>
      </c>
      <c r="O539" s="38">
        <v>-13.547429562742074</v>
      </c>
      <c r="P539" s="71">
        <v>-15.471612447260085</v>
      </c>
      <c r="Q539" s="53">
        <v>42894</v>
      </c>
      <c r="R539" s="23">
        <v>20</v>
      </c>
      <c r="S539" s="24"/>
      <c r="T539" s="24"/>
      <c r="U539" s="1">
        <v>0.47595602343175614</v>
      </c>
      <c r="V539" s="2">
        <v>-13.270907709961088</v>
      </c>
      <c r="W539" s="2">
        <v>-15.174731803688113</v>
      </c>
      <c r="X539" s="22">
        <v>42894</v>
      </c>
      <c r="Y539" s="23">
        <v>20</v>
      </c>
      <c r="Z539" s="24"/>
      <c r="AA539" s="24"/>
      <c r="AB539" s="1">
        <v>0.48613541882724931</v>
      </c>
      <c r="AC539" s="2">
        <v>-13.823951415523062</v>
      </c>
      <c r="AD539" s="2">
        <v>-15.76849309083206</v>
      </c>
      <c r="AE539" s="22">
        <v>43165</v>
      </c>
      <c r="AF539" s="23">
        <v>3</v>
      </c>
      <c r="AG539" s="24">
        <v>436.48499766666669</v>
      </c>
      <c r="AH539" s="24">
        <v>439.22650302427695</v>
      </c>
      <c r="AI539" s="1"/>
      <c r="AJ539" s="2"/>
      <c r="AK539" s="2"/>
      <c r="AL539" s="22"/>
      <c r="AM539" s="23"/>
      <c r="AN539" s="24" t="s">
        <v>17</v>
      </c>
      <c r="AO539" s="24" t="s">
        <v>17</v>
      </c>
      <c r="AP539" s="20" t="s">
        <v>17</v>
      </c>
      <c r="AQ539" s="20" t="s">
        <v>17</v>
      </c>
      <c r="AR539" s="20" t="s">
        <v>17</v>
      </c>
      <c r="AS539" s="3"/>
      <c r="AT539" s="2"/>
      <c r="AU539" s="4"/>
      <c r="AV539" s="2"/>
      <c r="AW539" s="1" t="s">
        <v>17</v>
      </c>
      <c r="AX539" s="2" t="s">
        <v>17</v>
      </c>
      <c r="AY539" s="2" t="s">
        <v>17</v>
      </c>
      <c r="AZ539" s="5"/>
      <c r="BA539" s="6"/>
      <c r="BB539" s="4"/>
      <c r="BC539" s="6"/>
      <c r="BD539" s="6"/>
      <c r="BE539" s="6"/>
      <c r="BF539" s="7"/>
    </row>
    <row r="540" spans="1:58" ht="18" customHeight="1">
      <c r="A540" s="107" t="s">
        <v>15</v>
      </c>
      <c r="B540" s="93" t="s">
        <v>518</v>
      </c>
      <c r="C540" s="42">
        <v>1087.5</v>
      </c>
      <c r="D540" s="42">
        <v>1087.7</v>
      </c>
      <c r="E540" s="42">
        <v>1087.5999999999999</v>
      </c>
      <c r="F540" s="42">
        <v>1087.5999999999999</v>
      </c>
      <c r="G540" s="43">
        <v>66364.882911312598</v>
      </c>
      <c r="H540" s="43">
        <v>62055.269855931299</v>
      </c>
      <c r="I540" s="27">
        <f t="shared" si="22"/>
        <v>1</v>
      </c>
      <c r="J540" s="27">
        <f t="shared" si="23"/>
        <v>1</v>
      </c>
      <c r="K540" s="27">
        <f t="shared" si="21"/>
        <v>1</v>
      </c>
      <c r="L540" s="25">
        <v>439.40290800000002</v>
      </c>
      <c r="M540" s="25">
        <v>442.22197447298879</v>
      </c>
      <c r="N540" s="38">
        <v>0.49656931141051075</v>
      </c>
      <c r="O540" s="38">
        <v>-3.9420830882361813</v>
      </c>
      <c r="P540" s="71">
        <v>-5.7316313013453524</v>
      </c>
      <c r="Q540" s="22">
        <v>42816</v>
      </c>
      <c r="R540" s="23">
        <v>20</v>
      </c>
      <c r="S540" s="24"/>
      <c r="T540" s="24"/>
      <c r="U540" s="44"/>
      <c r="V540" s="45">
        <v>-3.9420830882361813</v>
      </c>
      <c r="W540" s="45">
        <v>-5.7316313013453524</v>
      </c>
      <c r="X540" s="22">
        <v>43182</v>
      </c>
      <c r="Y540" s="23">
        <v>3</v>
      </c>
      <c r="Z540" s="24">
        <v>439.40290800000002</v>
      </c>
      <c r="AA540" s="24">
        <v>442.22197447298879</v>
      </c>
      <c r="AB540" s="1">
        <v>0.49656931141051075</v>
      </c>
      <c r="AC540" s="2"/>
      <c r="AD540" s="2"/>
      <c r="AE540" s="22"/>
      <c r="AF540" s="23"/>
      <c r="AG540" s="24"/>
      <c r="AH540" s="24"/>
      <c r="AI540" s="1"/>
      <c r="AJ540" s="2"/>
      <c r="AK540" s="2"/>
      <c r="AL540" s="22"/>
      <c r="AM540" s="23"/>
      <c r="AN540" s="24" t="s">
        <v>17</v>
      </c>
      <c r="AO540" s="24" t="s">
        <v>17</v>
      </c>
      <c r="AP540" s="20" t="s">
        <v>17</v>
      </c>
      <c r="AQ540" s="20" t="s">
        <v>17</v>
      </c>
      <c r="AR540" s="20" t="s">
        <v>17</v>
      </c>
      <c r="AS540" s="3"/>
      <c r="AT540" s="2"/>
      <c r="AU540" s="4"/>
      <c r="AV540" s="2"/>
      <c r="AW540" s="1" t="s">
        <v>17</v>
      </c>
      <c r="AX540" s="2" t="s">
        <v>17</v>
      </c>
      <c r="AY540" s="2" t="s">
        <v>17</v>
      </c>
      <c r="AZ540" s="5"/>
      <c r="BA540" s="6"/>
      <c r="BB540" s="4"/>
      <c r="BC540" s="6"/>
      <c r="BD540" s="6"/>
      <c r="BE540" s="6"/>
      <c r="BF540" s="7"/>
    </row>
    <row r="541" spans="1:58" ht="18" customHeight="1">
      <c r="A541" s="107" t="s">
        <v>15</v>
      </c>
      <c r="B541" s="93" t="s">
        <v>519</v>
      </c>
      <c r="C541" s="42">
        <v>1092</v>
      </c>
      <c r="D541" s="42">
        <v>1092.1199999999999</v>
      </c>
      <c r="E541" s="42">
        <v>1092.06</v>
      </c>
      <c r="F541" s="42">
        <v>1092.06</v>
      </c>
      <c r="G541" s="43">
        <v>66804.8914190379</v>
      </c>
      <c r="H541" s="43">
        <v>62467.056544036197</v>
      </c>
      <c r="I541" s="27">
        <f t="shared" si="22"/>
        <v>1</v>
      </c>
      <c r="J541" s="27">
        <f t="shared" si="23"/>
        <v>0</v>
      </c>
      <c r="K541" s="27">
        <f t="shared" si="21"/>
        <v>0</v>
      </c>
      <c r="L541" s="25">
        <v>431.022876</v>
      </c>
      <c r="M541" s="25">
        <v>433.68366958279574</v>
      </c>
      <c r="N541" s="38"/>
      <c r="O541" s="38"/>
      <c r="P541" s="71"/>
      <c r="Q541" s="53">
        <v>43165</v>
      </c>
      <c r="R541" s="23">
        <v>3</v>
      </c>
      <c r="S541" s="24">
        <v>431.022876</v>
      </c>
      <c r="T541" s="24">
        <v>433.68366958279574</v>
      </c>
      <c r="U541" s="1"/>
      <c r="V541" s="2"/>
      <c r="W541" s="2"/>
      <c r="X541" s="22"/>
      <c r="Y541" s="23"/>
      <c r="Z541" s="24" t="s">
        <v>17</v>
      </c>
      <c r="AA541" s="24" t="s">
        <v>17</v>
      </c>
      <c r="AB541" s="1"/>
      <c r="AC541" s="2"/>
      <c r="AD541" s="2"/>
      <c r="AE541" s="22"/>
      <c r="AF541" s="23"/>
      <c r="AG541" s="24" t="s">
        <v>17</v>
      </c>
      <c r="AH541" s="24" t="s">
        <v>17</v>
      </c>
      <c r="AI541" s="1"/>
      <c r="AJ541" s="2"/>
      <c r="AK541" s="2"/>
      <c r="AL541" s="22"/>
      <c r="AM541" s="23"/>
      <c r="AN541" s="24" t="s">
        <v>17</v>
      </c>
      <c r="AO541" s="24" t="s">
        <v>17</v>
      </c>
      <c r="AP541" s="20" t="s">
        <v>17</v>
      </c>
      <c r="AQ541" s="20" t="s">
        <v>17</v>
      </c>
      <c r="AR541" s="20" t="s">
        <v>17</v>
      </c>
      <c r="AS541" s="3"/>
      <c r="AT541" s="2"/>
      <c r="AU541" s="4"/>
      <c r="AV541" s="2"/>
      <c r="AW541" s="1" t="s">
        <v>17</v>
      </c>
      <c r="AX541" s="2" t="s">
        <v>17</v>
      </c>
      <c r="AY541" s="2" t="s">
        <v>17</v>
      </c>
      <c r="AZ541" s="5"/>
      <c r="BA541" s="6"/>
      <c r="BB541" s="4"/>
      <c r="BC541" s="6"/>
      <c r="BD541" s="6"/>
      <c r="BE541" s="6"/>
      <c r="BF541" s="7"/>
    </row>
    <row r="542" spans="1:58" ht="18" customHeight="1">
      <c r="A542" s="107" t="s">
        <v>15</v>
      </c>
      <c r="B542" s="93" t="s">
        <v>520</v>
      </c>
      <c r="C542" s="42">
        <v>1097.8</v>
      </c>
      <c r="D542" s="42">
        <v>1098</v>
      </c>
      <c r="E542" s="42">
        <v>1097.9000000000001</v>
      </c>
      <c r="F542" s="42">
        <v>1097.9000000000001</v>
      </c>
      <c r="G542" s="43">
        <v>67402.464294247402</v>
      </c>
      <c r="H542" s="43">
        <v>63015.601733784497</v>
      </c>
      <c r="I542" s="27">
        <f t="shared" si="22"/>
        <v>1</v>
      </c>
      <c r="J542" s="27">
        <f t="shared" si="23"/>
        <v>3</v>
      </c>
      <c r="K542" s="27">
        <f t="shared" si="21"/>
        <v>2</v>
      </c>
      <c r="L542" s="25">
        <v>438.39204700000005</v>
      </c>
      <c r="M542" s="25">
        <v>441.08165104116227</v>
      </c>
      <c r="N542" s="38">
        <v>0.47730467430251444</v>
      </c>
      <c r="O542" s="38">
        <v>-4.3464769461801778</v>
      </c>
      <c r="P542" s="71">
        <v>-6.2605902842535199</v>
      </c>
      <c r="Q542" s="53">
        <v>42818</v>
      </c>
      <c r="R542" s="23">
        <v>20</v>
      </c>
      <c r="S542" s="24"/>
      <c r="T542" s="24"/>
      <c r="U542" s="1">
        <v>0.47925424316686005</v>
      </c>
      <c r="V542" s="2">
        <v>-4.9693489919359068</v>
      </c>
      <c r="W542" s="2">
        <v>-6.886365964603347</v>
      </c>
      <c r="X542" s="22">
        <v>42818</v>
      </c>
      <c r="Y542" s="23">
        <v>20</v>
      </c>
      <c r="Z542" s="24"/>
      <c r="AA542" s="24"/>
      <c r="AB542" s="1">
        <v>0.47780242586981103</v>
      </c>
      <c r="AC542" s="2">
        <v>-3.7236049004244487</v>
      </c>
      <c r="AD542" s="2">
        <v>-5.6348146039036928</v>
      </c>
      <c r="AE542" s="22">
        <v>43187</v>
      </c>
      <c r="AF542" s="23">
        <v>3</v>
      </c>
      <c r="AG542" s="24">
        <v>438.39204700000005</v>
      </c>
      <c r="AH542" s="24">
        <v>441.08165104116227</v>
      </c>
      <c r="AI542" s="1">
        <v>0.47485735387087225</v>
      </c>
      <c r="AJ542" s="2"/>
      <c r="AK542" s="2"/>
      <c r="AL542" s="22"/>
      <c r="AM542" s="23"/>
      <c r="AN542" s="24" t="s">
        <v>17</v>
      </c>
      <c r="AO542" s="24" t="s">
        <v>17</v>
      </c>
      <c r="AP542" s="20" t="s">
        <v>17</v>
      </c>
      <c r="AQ542" s="20" t="s">
        <v>17</v>
      </c>
      <c r="AR542" s="20" t="s">
        <v>17</v>
      </c>
      <c r="AS542" s="3"/>
      <c r="AT542" s="2"/>
      <c r="AU542" s="4"/>
      <c r="AV542" s="2"/>
      <c r="AW542" s="1" t="s">
        <v>17</v>
      </c>
      <c r="AX542" s="2" t="s">
        <v>17</v>
      </c>
      <c r="AY542" s="2" t="s">
        <v>17</v>
      </c>
      <c r="AZ542" s="5"/>
      <c r="BA542" s="6"/>
      <c r="BB542" s="4"/>
      <c r="BC542" s="6"/>
      <c r="BD542" s="6"/>
      <c r="BE542" s="6"/>
      <c r="BF542" s="7"/>
    </row>
    <row r="543" spans="1:58" ht="18" customHeight="1">
      <c r="A543" s="107" t="s">
        <v>15</v>
      </c>
      <c r="B543" s="93" t="s">
        <v>521</v>
      </c>
      <c r="C543" s="42">
        <v>1101.5</v>
      </c>
      <c r="D543" s="42">
        <v>1101.6199999999999</v>
      </c>
      <c r="E543" s="42">
        <v>1101.56</v>
      </c>
      <c r="F543" s="42">
        <v>1101.56</v>
      </c>
      <c r="G543" s="43">
        <v>67834.628151491896</v>
      </c>
      <c r="H543" s="43">
        <v>63384.007644229598</v>
      </c>
      <c r="I543" s="27">
        <f t="shared" si="22"/>
        <v>1</v>
      </c>
      <c r="J543" s="27">
        <f t="shared" si="23"/>
        <v>0</v>
      </c>
      <c r="K543" s="27">
        <f t="shared" si="21"/>
        <v>0</v>
      </c>
      <c r="L543" s="25">
        <v>446.3854245</v>
      </c>
      <c r="M543" s="25">
        <v>449.12406916718101</v>
      </c>
      <c r="N543" s="38"/>
      <c r="O543" s="38"/>
      <c r="P543" s="71"/>
      <c r="Q543" s="53">
        <v>43161</v>
      </c>
      <c r="R543" s="23">
        <v>3</v>
      </c>
      <c r="S543" s="24">
        <v>446.3854245</v>
      </c>
      <c r="T543" s="24">
        <v>449.12406916718101</v>
      </c>
      <c r="U543" s="1"/>
      <c r="V543" s="2"/>
      <c r="W543" s="2"/>
      <c r="X543" s="22" t="s">
        <v>17</v>
      </c>
      <c r="Y543" s="23"/>
      <c r="Z543" s="24" t="s">
        <v>17</v>
      </c>
      <c r="AA543" s="24" t="s">
        <v>17</v>
      </c>
      <c r="AB543" s="1" t="s">
        <v>17</v>
      </c>
      <c r="AC543" s="2" t="s">
        <v>17</v>
      </c>
      <c r="AD543" s="2" t="s">
        <v>17</v>
      </c>
      <c r="AE543" s="22" t="s">
        <v>17</v>
      </c>
      <c r="AF543" s="23"/>
      <c r="AG543" s="24" t="s">
        <v>17</v>
      </c>
      <c r="AH543" s="24" t="s">
        <v>17</v>
      </c>
      <c r="AI543" s="1" t="s">
        <v>17</v>
      </c>
      <c r="AJ543" s="2"/>
      <c r="AK543" s="2"/>
      <c r="AL543" s="22"/>
      <c r="AM543" s="23"/>
      <c r="AN543" s="24" t="s">
        <v>17</v>
      </c>
      <c r="AO543" s="24" t="s">
        <v>17</v>
      </c>
      <c r="AP543" s="20" t="s">
        <v>17</v>
      </c>
      <c r="AQ543" s="20" t="s">
        <v>17</v>
      </c>
      <c r="AR543" s="20" t="s">
        <v>17</v>
      </c>
      <c r="AS543" s="3"/>
      <c r="AT543" s="2"/>
      <c r="AU543" s="4"/>
      <c r="AV543" s="2"/>
      <c r="AW543" s="1" t="s">
        <v>17</v>
      </c>
      <c r="AX543" s="2" t="s">
        <v>17</v>
      </c>
      <c r="AY543" s="2" t="s">
        <v>17</v>
      </c>
      <c r="AZ543" s="5"/>
      <c r="BA543" s="6"/>
      <c r="BB543" s="4"/>
      <c r="BC543" s="6"/>
      <c r="BD543" s="6"/>
      <c r="BE543" s="6"/>
      <c r="BF543" s="7"/>
    </row>
    <row r="544" spans="1:58" ht="18" customHeight="1">
      <c r="A544" s="107" t="s">
        <v>15</v>
      </c>
      <c r="B544" s="93" t="s">
        <v>522</v>
      </c>
      <c r="C544" s="42">
        <v>1105.8</v>
      </c>
      <c r="D544" s="42">
        <v>1106</v>
      </c>
      <c r="E544" s="42">
        <v>1105.9000000000001</v>
      </c>
      <c r="F544" s="42">
        <v>1105.9000000000001</v>
      </c>
      <c r="G544" s="43">
        <v>68310.1199821052</v>
      </c>
      <c r="H544" s="43">
        <v>63844.491589908597</v>
      </c>
      <c r="I544" s="27">
        <f t="shared" si="22"/>
        <v>1</v>
      </c>
      <c r="J544" s="27">
        <f t="shared" si="23"/>
        <v>3</v>
      </c>
      <c r="K544" s="27">
        <f t="shared" si="21"/>
        <v>2</v>
      </c>
      <c r="L544" s="25">
        <v>444.85734000000002</v>
      </c>
      <c r="M544" s="25">
        <v>447.65809066773068</v>
      </c>
      <c r="N544" s="38">
        <v>0.48458206813769183</v>
      </c>
      <c r="O544" s="38">
        <v>0.49136127257726203</v>
      </c>
      <c r="P544" s="71">
        <v>-1.4415428897273652</v>
      </c>
      <c r="Q544" s="53">
        <v>42900</v>
      </c>
      <c r="R544" s="23">
        <v>20</v>
      </c>
      <c r="S544" s="24"/>
      <c r="T544" s="24"/>
      <c r="U544" s="1">
        <v>0.48380647105594754</v>
      </c>
      <c r="V544" s="2">
        <v>-0.64202233612131732</v>
      </c>
      <c r="W544" s="2">
        <v>-2.5772482203451075</v>
      </c>
      <c r="X544" s="22">
        <v>42900</v>
      </c>
      <c r="Y544" s="23">
        <v>20</v>
      </c>
      <c r="Z544" s="24"/>
      <c r="AA544" s="24"/>
      <c r="AB544" s="1">
        <v>0.48264561009636608</v>
      </c>
      <c r="AC544" s="2">
        <v>1.6247448812758414</v>
      </c>
      <c r="AD544" s="2">
        <v>-0.30583755910962296</v>
      </c>
      <c r="AE544" s="22">
        <v>43189</v>
      </c>
      <c r="AF544" s="23">
        <v>3</v>
      </c>
      <c r="AG544" s="24">
        <v>444.85734000000002</v>
      </c>
      <c r="AH544" s="24">
        <v>447.65809066773068</v>
      </c>
      <c r="AI544" s="1">
        <v>0.48729412326076194</v>
      </c>
      <c r="AJ544" s="2"/>
      <c r="AK544" s="2"/>
      <c r="AL544" s="22"/>
      <c r="AM544" s="23"/>
      <c r="AN544" s="24" t="s">
        <v>17</v>
      </c>
      <c r="AO544" s="24" t="s">
        <v>17</v>
      </c>
      <c r="AP544" s="20" t="s">
        <v>17</v>
      </c>
      <c r="AQ544" s="20" t="s">
        <v>17</v>
      </c>
      <c r="AR544" s="20" t="s">
        <v>17</v>
      </c>
      <c r="AS544" s="3"/>
      <c r="AT544" s="2"/>
      <c r="AU544" s="4"/>
      <c r="AV544" s="2"/>
      <c r="AW544" s="1" t="s">
        <v>17</v>
      </c>
      <c r="AX544" s="2" t="s">
        <v>17</v>
      </c>
      <c r="AY544" s="2" t="s">
        <v>17</v>
      </c>
      <c r="AZ544" s="5"/>
      <c r="BA544" s="6"/>
      <c r="BB544" s="4"/>
      <c r="BC544" s="6"/>
      <c r="BD544" s="6"/>
      <c r="BE544" s="6"/>
      <c r="BF544" s="7"/>
    </row>
    <row r="545" spans="1:58" ht="18" customHeight="1">
      <c r="A545" s="107" t="s">
        <v>15</v>
      </c>
      <c r="B545" s="93" t="s">
        <v>523</v>
      </c>
      <c r="C545" s="42">
        <v>1110.5</v>
      </c>
      <c r="D545" s="42">
        <v>1110.6199999999999</v>
      </c>
      <c r="E545" s="42">
        <v>1110.56</v>
      </c>
      <c r="F545" s="42">
        <v>1110.56</v>
      </c>
      <c r="G545" s="43">
        <v>68805.822879509098</v>
      </c>
      <c r="H545" s="43">
        <v>64400.461169463699</v>
      </c>
      <c r="I545" s="27">
        <f t="shared" si="22"/>
        <v>2</v>
      </c>
      <c r="J545" s="27">
        <f t="shared" si="23"/>
        <v>2</v>
      </c>
      <c r="K545" s="27">
        <f t="shared" si="21"/>
        <v>2</v>
      </c>
      <c r="L545" s="25">
        <v>465.66473250000001</v>
      </c>
      <c r="M545" s="25">
        <v>468.49293562774506</v>
      </c>
      <c r="N545" s="38">
        <v>0.46284418372477543</v>
      </c>
      <c r="O545" s="38">
        <v>-12.083251742856238</v>
      </c>
      <c r="P545" s="71">
        <v>-13.934628477755339</v>
      </c>
      <c r="Q545" s="53">
        <v>42754</v>
      </c>
      <c r="R545" s="23">
        <v>17</v>
      </c>
      <c r="S545" s="24" t="s">
        <v>17</v>
      </c>
      <c r="T545" s="24"/>
      <c r="U545" s="1">
        <v>0.45560516036857734</v>
      </c>
      <c r="V545" s="2">
        <v>-12.874935952090771</v>
      </c>
      <c r="W545" s="2">
        <v>-14.697356593565081</v>
      </c>
      <c r="X545" s="22">
        <v>42754</v>
      </c>
      <c r="Y545" s="23">
        <v>17</v>
      </c>
      <c r="Z545" s="24"/>
      <c r="AA545" s="24"/>
      <c r="AB545" s="1">
        <v>0.47008320708097351</v>
      </c>
      <c r="AC545" s="2">
        <v>-11.291567533621706</v>
      </c>
      <c r="AD545" s="2">
        <v>-13.1719003619456</v>
      </c>
      <c r="AE545" s="22">
        <v>43160</v>
      </c>
      <c r="AF545" s="23">
        <v>3</v>
      </c>
      <c r="AG545" s="24">
        <v>466.31241899999998</v>
      </c>
      <c r="AH545" s="24">
        <v>469.14455583553365</v>
      </c>
      <c r="AI545" s="1"/>
      <c r="AJ545" s="2"/>
      <c r="AK545" s="2"/>
      <c r="AL545" s="22">
        <v>43160</v>
      </c>
      <c r="AM545" s="23">
        <v>3</v>
      </c>
      <c r="AN545" s="24">
        <v>465.01704599999999</v>
      </c>
      <c r="AO545" s="24">
        <v>467.84131541995652</v>
      </c>
      <c r="AP545" s="20"/>
      <c r="AQ545" s="20"/>
      <c r="AR545" s="20"/>
      <c r="AS545" s="3"/>
      <c r="AT545" s="2"/>
      <c r="AU545" s="4"/>
      <c r="AV545" s="2"/>
      <c r="AW545" s="1"/>
      <c r="AX545" s="2"/>
      <c r="AY545" s="2"/>
      <c r="AZ545" s="5"/>
      <c r="BA545" s="6"/>
      <c r="BB545" s="4"/>
      <c r="BC545" s="6"/>
      <c r="BD545" s="6"/>
      <c r="BE545" s="6"/>
      <c r="BF545" s="7"/>
    </row>
    <row r="546" spans="1:58" ht="18" customHeight="1">
      <c r="A546" s="107" t="s">
        <v>15</v>
      </c>
      <c r="B546" s="93" t="s">
        <v>524</v>
      </c>
      <c r="C546" s="42">
        <v>1114</v>
      </c>
      <c r="D546" s="42">
        <v>1114.1199999999999</v>
      </c>
      <c r="E546" s="42">
        <v>1114.06</v>
      </c>
      <c r="F546" s="42">
        <v>1114.06</v>
      </c>
      <c r="G546" s="43">
        <v>69176.974026009004</v>
      </c>
      <c r="H546" s="43">
        <v>64764.874608550097</v>
      </c>
      <c r="I546" s="27">
        <f t="shared" si="22"/>
        <v>1</v>
      </c>
      <c r="J546" s="27">
        <f t="shared" si="23"/>
        <v>2</v>
      </c>
      <c r="K546" s="27">
        <f t="shared" si="21"/>
        <v>2</v>
      </c>
      <c r="L546" s="25">
        <v>491.64139</v>
      </c>
      <c r="M546" s="25">
        <v>494.61574107799674</v>
      </c>
      <c r="N546" s="38">
        <v>0.46804543083267536</v>
      </c>
      <c r="O546" s="38">
        <v>-17.589385545174807</v>
      </c>
      <c r="P546" s="71">
        <v>-19.461567268505512</v>
      </c>
      <c r="Q546" s="53">
        <v>42902</v>
      </c>
      <c r="R546" s="23">
        <v>17</v>
      </c>
      <c r="S546" s="24"/>
      <c r="T546" s="24"/>
      <c r="U546" s="1">
        <v>0.4682537646667484</v>
      </c>
      <c r="V546" s="2">
        <v>-16.227684722551096</v>
      </c>
      <c r="W546" s="2">
        <v>-18.10069978121809</v>
      </c>
      <c r="X546" s="22">
        <v>42902</v>
      </c>
      <c r="Y546" s="23">
        <v>17</v>
      </c>
      <c r="Z546" s="24"/>
      <c r="AA546" s="24"/>
      <c r="AB546" s="1">
        <v>0.46783709699860232</v>
      </c>
      <c r="AC546" s="2">
        <v>-18.951086367798521</v>
      </c>
      <c r="AD546" s="2">
        <v>-20.82243475579293</v>
      </c>
      <c r="AE546" s="22">
        <v>43165</v>
      </c>
      <c r="AF546" s="23">
        <v>3</v>
      </c>
      <c r="AG546" s="24">
        <v>491.64139</v>
      </c>
      <c r="AH546" s="24">
        <v>494.61574107799674</v>
      </c>
      <c r="AI546" s="1"/>
      <c r="AJ546" s="2"/>
      <c r="AK546" s="2"/>
      <c r="AL546" s="22"/>
      <c r="AM546" s="23"/>
      <c r="AN546" s="24" t="s">
        <v>17</v>
      </c>
      <c r="AO546" s="24" t="s">
        <v>17</v>
      </c>
      <c r="AP546" s="20" t="s">
        <v>17</v>
      </c>
      <c r="AQ546" s="20" t="s">
        <v>17</v>
      </c>
      <c r="AR546" s="20" t="s">
        <v>17</v>
      </c>
      <c r="AS546" s="3"/>
      <c r="AT546" s="2"/>
      <c r="AU546" s="4"/>
      <c r="AV546" s="2"/>
      <c r="AW546" s="1" t="s">
        <v>17</v>
      </c>
      <c r="AX546" s="2" t="s">
        <v>17</v>
      </c>
      <c r="AY546" s="2" t="s">
        <v>17</v>
      </c>
      <c r="AZ546" s="5"/>
      <c r="BA546" s="6"/>
      <c r="BB546" s="4"/>
      <c r="BC546" s="6"/>
      <c r="BD546" s="6"/>
      <c r="BE546" s="6"/>
      <c r="BF546" s="7"/>
    </row>
    <row r="547" spans="1:58" ht="18" customHeight="1">
      <c r="A547" s="107" t="s">
        <v>15</v>
      </c>
      <c r="B547" s="93" t="s">
        <v>525</v>
      </c>
      <c r="C547" s="42">
        <v>1119.5</v>
      </c>
      <c r="D547" s="42">
        <v>1119.6199999999999</v>
      </c>
      <c r="E547" s="42">
        <v>1119.56</v>
      </c>
      <c r="F547" s="42">
        <v>1119.56</v>
      </c>
      <c r="G547" s="43">
        <v>69756.510675638303</v>
      </c>
      <c r="H547" s="43">
        <v>65270.677290756299</v>
      </c>
      <c r="I547" s="27">
        <f t="shared" si="22"/>
        <v>1</v>
      </c>
      <c r="J547" s="27">
        <f t="shared" si="23"/>
        <v>1</v>
      </c>
      <c r="K547" s="27">
        <f t="shared" si="21"/>
        <v>1</v>
      </c>
      <c r="L547" s="25">
        <v>443.88800149999997</v>
      </c>
      <c r="M547" s="25">
        <v>446.64357363089619</v>
      </c>
      <c r="N547" s="38">
        <v>0.48048060766237022</v>
      </c>
      <c r="O547" s="38">
        <v>-7.6323781398575097</v>
      </c>
      <c r="P547" s="71">
        <v>-9.5543005705069906</v>
      </c>
      <c r="Q547" s="53">
        <v>42717</v>
      </c>
      <c r="R547" s="23">
        <v>11</v>
      </c>
      <c r="S547" s="24">
        <v>443.88800149999997</v>
      </c>
      <c r="T547" s="24">
        <v>446.64357363089619</v>
      </c>
      <c r="U547" s="1">
        <v>0.48048060766237022</v>
      </c>
      <c r="V547" s="2">
        <v>-7.6323781398575097</v>
      </c>
      <c r="W547" s="2">
        <v>-9.5543005705069906</v>
      </c>
      <c r="X547" s="22" t="s">
        <v>17</v>
      </c>
      <c r="Y547" s="23"/>
      <c r="Z547" s="24" t="s">
        <v>17</v>
      </c>
      <c r="AA547" s="24" t="s">
        <v>17</v>
      </c>
      <c r="AB547" s="1" t="s">
        <v>17</v>
      </c>
      <c r="AC547" s="2" t="s">
        <v>17</v>
      </c>
      <c r="AD547" s="2" t="s">
        <v>17</v>
      </c>
      <c r="AE547" s="22" t="s">
        <v>17</v>
      </c>
      <c r="AF547" s="23"/>
      <c r="AG547" s="24" t="s">
        <v>17</v>
      </c>
      <c r="AH547" s="24" t="s">
        <v>17</v>
      </c>
      <c r="AI547" s="1" t="s">
        <v>17</v>
      </c>
      <c r="AJ547" s="2" t="s">
        <v>17</v>
      </c>
      <c r="AK547" s="2" t="s">
        <v>17</v>
      </c>
      <c r="AL547" s="22"/>
      <c r="AM547" s="23"/>
      <c r="AN547" s="24" t="s">
        <v>17</v>
      </c>
      <c r="AO547" s="24" t="s">
        <v>17</v>
      </c>
      <c r="AP547" s="20" t="s">
        <v>17</v>
      </c>
      <c r="AQ547" s="20" t="s">
        <v>17</v>
      </c>
      <c r="AR547" s="20" t="s">
        <v>17</v>
      </c>
      <c r="AS547" s="3"/>
      <c r="AT547" s="2"/>
      <c r="AU547" s="4"/>
      <c r="AV547" s="2"/>
      <c r="AW547" s="1" t="s">
        <v>17</v>
      </c>
      <c r="AX547" s="2" t="s">
        <v>17</v>
      </c>
      <c r="AY547" s="2" t="s">
        <v>17</v>
      </c>
      <c r="AZ547" s="5"/>
      <c r="BA547" s="6"/>
      <c r="BB547" s="4"/>
      <c r="BC547" s="6"/>
      <c r="BD547" s="6"/>
      <c r="BE547" s="6"/>
      <c r="BF547" s="7"/>
    </row>
    <row r="548" spans="1:58" ht="18" customHeight="1">
      <c r="A548" s="107" t="s">
        <v>15</v>
      </c>
      <c r="B548" s="93" t="s">
        <v>526</v>
      </c>
      <c r="C548" s="42">
        <v>1123.5</v>
      </c>
      <c r="D548" s="42">
        <v>1123.6199999999999</v>
      </c>
      <c r="E548" s="42">
        <v>1123.56</v>
      </c>
      <c r="F548" s="42">
        <v>1123.56</v>
      </c>
      <c r="G548" s="43">
        <v>70174.721303311599</v>
      </c>
      <c r="H548" s="43">
        <v>65609.650351412303</v>
      </c>
      <c r="I548" s="27">
        <f t="shared" si="22"/>
        <v>2</v>
      </c>
      <c r="J548" s="27">
        <f t="shared" si="23"/>
        <v>2</v>
      </c>
      <c r="K548" s="27">
        <f t="shared" si="21"/>
        <v>2</v>
      </c>
      <c r="L548" s="25">
        <v>447.60654825000006</v>
      </c>
      <c r="M548" s="25">
        <v>450.41260908422259</v>
      </c>
      <c r="N548" s="38">
        <v>0.48600185052471989</v>
      </c>
      <c r="O548" s="38">
        <v>-3.5727715724501174</v>
      </c>
      <c r="P548" s="71">
        <v>-5.5167789745489966</v>
      </c>
      <c r="Q548" s="53">
        <v>42776</v>
      </c>
      <c r="R548" s="23">
        <v>17</v>
      </c>
      <c r="S548" s="24"/>
      <c r="T548" s="24"/>
      <c r="U548" s="1">
        <v>0.48521937831114137</v>
      </c>
      <c r="V548" s="2">
        <v>-3.9525907324353682</v>
      </c>
      <c r="W548" s="2">
        <v>-5.8934682456799337</v>
      </c>
      <c r="X548" s="22">
        <v>42776</v>
      </c>
      <c r="Y548" s="23">
        <v>17</v>
      </c>
      <c r="Z548" s="24"/>
      <c r="AA548" s="24"/>
      <c r="AB548" s="1">
        <v>0.48678432273829841</v>
      </c>
      <c r="AC548" s="2">
        <v>-3.1929524124648667</v>
      </c>
      <c r="AD548" s="2">
        <v>-5.1400897034180604</v>
      </c>
      <c r="AE548" s="22">
        <v>43161</v>
      </c>
      <c r="AF548" s="23">
        <v>3</v>
      </c>
      <c r="AG548" s="24">
        <v>446.75675850000005</v>
      </c>
      <c r="AH548" s="24">
        <v>449.55749197307449</v>
      </c>
      <c r="AI548" s="1"/>
      <c r="AJ548" s="2"/>
      <c r="AK548" s="2"/>
      <c r="AL548" s="22">
        <v>43161</v>
      </c>
      <c r="AM548" s="23">
        <v>3</v>
      </c>
      <c r="AN548" s="24">
        <v>448.45633800000002</v>
      </c>
      <c r="AO548" s="24">
        <v>451.26772619537076</v>
      </c>
      <c r="AP548" s="20"/>
      <c r="AQ548" s="20"/>
      <c r="AR548" s="20"/>
      <c r="AS548" s="3"/>
      <c r="AT548" s="2"/>
      <c r="AU548" s="4"/>
      <c r="AV548" s="2"/>
      <c r="AW548" s="1"/>
      <c r="AX548" s="2"/>
      <c r="AY548" s="2"/>
      <c r="AZ548" s="5"/>
      <c r="BA548" s="6"/>
      <c r="BB548" s="4"/>
      <c r="BC548" s="6"/>
      <c r="BD548" s="6"/>
      <c r="BE548" s="6"/>
      <c r="BF548" s="7"/>
    </row>
    <row r="549" spans="1:58" ht="18" customHeight="1">
      <c r="A549" s="107" t="s">
        <v>15</v>
      </c>
      <c r="B549" s="93" t="s">
        <v>527</v>
      </c>
      <c r="C549" s="42">
        <v>1128.5</v>
      </c>
      <c r="D549" s="42">
        <v>1128.6199999999999</v>
      </c>
      <c r="E549" s="42">
        <v>1128.56</v>
      </c>
      <c r="F549" s="42">
        <v>1128.56</v>
      </c>
      <c r="G549" s="43">
        <v>70690.008854674597</v>
      </c>
      <c r="H549" s="43">
        <v>66085.409095207797</v>
      </c>
      <c r="I549" s="27">
        <f t="shared" si="22"/>
        <v>1</v>
      </c>
      <c r="J549" s="27">
        <f t="shared" si="23"/>
        <v>1</v>
      </c>
      <c r="K549" s="27">
        <f t="shared" si="21"/>
        <v>1</v>
      </c>
      <c r="L549" s="25">
        <v>459.47666300000003</v>
      </c>
      <c r="M549" s="25">
        <v>462.37679783071491</v>
      </c>
      <c r="N549" s="38">
        <v>0.48853110119373433</v>
      </c>
      <c r="O549" s="38">
        <v>-12.008911624060037</v>
      </c>
      <c r="P549" s="71">
        <v>-13.963036028834974</v>
      </c>
      <c r="Q549" s="53">
        <v>42719</v>
      </c>
      <c r="R549" s="23">
        <v>12</v>
      </c>
      <c r="S549" s="24">
        <v>459.47666300000003</v>
      </c>
      <c r="T549" s="24">
        <v>462.37679783071491</v>
      </c>
      <c r="U549" s="1">
        <v>0.48853110119373433</v>
      </c>
      <c r="V549" s="2">
        <v>-12.008911624060037</v>
      </c>
      <c r="W549" s="2">
        <v>-13.963036028834974</v>
      </c>
      <c r="X549" s="22" t="s">
        <v>17</v>
      </c>
      <c r="Y549" s="23"/>
      <c r="Z549" s="24" t="s">
        <v>17</v>
      </c>
      <c r="AA549" s="24" t="s">
        <v>17</v>
      </c>
      <c r="AB549" s="1" t="s">
        <v>17</v>
      </c>
      <c r="AC549" s="2" t="s">
        <v>17</v>
      </c>
      <c r="AD549" s="2" t="s">
        <v>17</v>
      </c>
      <c r="AE549" s="22" t="s">
        <v>17</v>
      </c>
      <c r="AF549" s="23"/>
      <c r="AG549" s="24" t="s">
        <v>17</v>
      </c>
      <c r="AH549" s="24" t="s">
        <v>17</v>
      </c>
      <c r="AI549" s="1" t="s">
        <v>17</v>
      </c>
      <c r="AJ549" s="2" t="s">
        <v>17</v>
      </c>
      <c r="AK549" s="2" t="s">
        <v>17</v>
      </c>
      <c r="AL549" s="22"/>
      <c r="AM549" s="23"/>
      <c r="AN549" s="24" t="s">
        <v>17</v>
      </c>
      <c r="AO549" s="24" t="s">
        <v>17</v>
      </c>
      <c r="AP549" s="20" t="s">
        <v>17</v>
      </c>
      <c r="AQ549" s="20" t="s">
        <v>17</v>
      </c>
      <c r="AR549" s="20" t="s">
        <v>17</v>
      </c>
      <c r="AS549" s="3"/>
      <c r="AT549" s="2"/>
      <c r="AU549" s="4"/>
      <c r="AV549" s="2"/>
      <c r="AW549" s="1" t="s">
        <v>17</v>
      </c>
      <c r="AX549" s="2" t="s">
        <v>17</v>
      </c>
      <c r="AY549" s="2" t="s">
        <v>17</v>
      </c>
      <c r="AZ549" s="5"/>
      <c r="BA549" s="6"/>
      <c r="BB549" s="4"/>
      <c r="BC549" s="6"/>
      <c r="BD549" s="6"/>
      <c r="BE549" s="6"/>
      <c r="BF549" s="7"/>
    </row>
    <row r="550" spans="1:58" ht="18" customHeight="1">
      <c r="A550" s="107" t="s">
        <v>15</v>
      </c>
      <c r="B550" s="93" t="s">
        <v>528</v>
      </c>
      <c r="C550" s="42">
        <v>1133.5</v>
      </c>
      <c r="D550" s="42">
        <v>1133.614</v>
      </c>
      <c r="E550" s="42">
        <v>1133.557</v>
      </c>
      <c r="F550" s="42">
        <v>1133.557</v>
      </c>
      <c r="G550" s="43">
        <v>71177.171506862302</v>
      </c>
      <c r="H550" s="43">
        <v>66577.470840533497</v>
      </c>
      <c r="I550" s="27">
        <f t="shared" si="22"/>
        <v>1</v>
      </c>
      <c r="J550" s="27">
        <f t="shared" si="23"/>
        <v>3</v>
      </c>
      <c r="K550" s="27">
        <f t="shared" si="21"/>
        <v>2</v>
      </c>
      <c r="L550" s="25">
        <v>465.343931</v>
      </c>
      <c r="M550" s="25">
        <v>468.25907849130164</v>
      </c>
      <c r="N550" s="38">
        <v>0.48292439619575706</v>
      </c>
      <c r="O550" s="38">
        <v>2.1376329045840747</v>
      </c>
      <c r="P550" s="71">
        <v>0.21950036062839962</v>
      </c>
      <c r="Q550" s="53">
        <v>42810</v>
      </c>
      <c r="R550" s="23">
        <v>17</v>
      </c>
      <c r="S550" s="24"/>
      <c r="T550" s="24"/>
      <c r="U550" s="1">
        <v>0.48486849349682615</v>
      </c>
      <c r="V550" s="2">
        <v>6.7941562006779144</v>
      </c>
      <c r="W550" s="2">
        <v>4.8546822266906098</v>
      </c>
      <c r="X550" s="22">
        <v>42810</v>
      </c>
      <c r="Y550" s="23">
        <v>17</v>
      </c>
      <c r="Z550" s="24"/>
      <c r="AA550" s="24"/>
      <c r="AB550" s="1">
        <v>0.47419777848101141</v>
      </c>
      <c r="AC550" s="2">
        <v>-2.5188903915097649</v>
      </c>
      <c r="AD550" s="2">
        <v>-4.4156815054338105</v>
      </c>
      <c r="AE550" s="22">
        <v>43158</v>
      </c>
      <c r="AF550" s="23">
        <v>3</v>
      </c>
      <c r="AG550" s="24">
        <v>465.343931</v>
      </c>
      <c r="AH550" s="24">
        <v>468.25907849130164</v>
      </c>
      <c r="AI550" s="1"/>
      <c r="AJ550" s="2"/>
      <c r="AK550" s="2"/>
      <c r="AL550" s="22">
        <v>44343</v>
      </c>
      <c r="AM550" s="23" t="s">
        <v>88</v>
      </c>
      <c r="AN550" s="24"/>
      <c r="AO550" s="24"/>
      <c r="AP550" s="20">
        <v>0.48970691660943366</v>
      </c>
      <c r="AQ550" s="20"/>
      <c r="AR550" s="20"/>
      <c r="AS550" s="3"/>
      <c r="AT550" s="2"/>
      <c r="AU550" s="4"/>
      <c r="AV550" s="2"/>
      <c r="AW550" s="1" t="s">
        <v>17</v>
      </c>
      <c r="AX550" s="2" t="s">
        <v>17</v>
      </c>
      <c r="AY550" s="2" t="s">
        <v>17</v>
      </c>
      <c r="AZ550" s="5"/>
      <c r="BA550" s="6"/>
      <c r="BB550" s="4"/>
      <c r="BC550" s="6"/>
      <c r="BD550" s="6"/>
      <c r="BE550" s="6"/>
      <c r="BF550" s="7"/>
    </row>
    <row r="551" spans="1:58" ht="18" customHeight="1">
      <c r="A551" s="107" t="s">
        <v>15</v>
      </c>
      <c r="B551" s="93" t="s">
        <v>529</v>
      </c>
      <c r="C551" s="42">
        <v>1138</v>
      </c>
      <c r="D551" s="42">
        <v>1138.2</v>
      </c>
      <c r="E551" s="42">
        <v>1138.0999999999999</v>
      </c>
      <c r="F551" s="42">
        <v>1138.0999999999999</v>
      </c>
      <c r="G551" s="43">
        <v>71615.617575419703</v>
      </c>
      <c r="H551" s="43">
        <v>67012.474278772395</v>
      </c>
      <c r="I551" s="27">
        <f t="shared" ref="I551:I614" si="24">COUNT(T551,AA551,AH551,AO551,AV551,BC551)</f>
        <v>1</v>
      </c>
      <c r="J551" s="27">
        <f t="shared" si="23"/>
        <v>2</v>
      </c>
      <c r="K551" s="27">
        <f t="shared" ref="K551:K614" si="25">COUNT(V551,AC551,AJ551,AQ551,AX551,BF551)</f>
        <v>2</v>
      </c>
      <c r="L551" s="25">
        <v>459.95244649999995</v>
      </c>
      <c r="M551" s="25">
        <v>462.88006980412268</v>
      </c>
      <c r="N551" s="38">
        <v>0.48951353150805677</v>
      </c>
      <c r="O551" s="38">
        <v>-2.2767428905932086</v>
      </c>
      <c r="P551" s="71">
        <v>-4.2347970166254356</v>
      </c>
      <c r="Q551" s="53">
        <v>42893</v>
      </c>
      <c r="R551" s="23">
        <v>17</v>
      </c>
      <c r="S551" s="24"/>
      <c r="T551" s="24"/>
      <c r="U551" s="1">
        <v>0.49265143101973052</v>
      </c>
      <c r="V551" s="2">
        <v>-3.5191705999955136</v>
      </c>
      <c r="W551" s="2">
        <v>-5.4897763240744357</v>
      </c>
      <c r="X551" s="22">
        <v>42893</v>
      </c>
      <c r="Y551" s="23">
        <v>17</v>
      </c>
      <c r="Z551" s="24"/>
      <c r="AA551" s="24"/>
      <c r="AB551" s="1">
        <v>0.48637563199638301</v>
      </c>
      <c r="AC551" s="2">
        <v>-1.0343151811909035</v>
      </c>
      <c r="AD551" s="2">
        <v>-2.9798177091764355</v>
      </c>
      <c r="AE551" s="22">
        <v>43158</v>
      </c>
      <c r="AF551" s="23">
        <v>3</v>
      </c>
      <c r="AG551" s="24">
        <v>459.95244649999995</v>
      </c>
      <c r="AH551" s="24">
        <v>462.88006980412268</v>
      </c>
      <c r="AI551" s="1"/>
      <c r="AJ551" s="2"/>
      <c r="AK551" s="2"/>
      <c r="AL551" s="22"/>
      <c r="AM551" s="23"/>
      <c r="AN551" s="24" t="s">
        <v>17</v>
      </c>
      <c r="AO551" s="24" t="s">
        <v>17</v>
      </c>
      <c r="AP551" s="20" t="s">
        <v>17</v>
      </c>
      <c r="AQ551" s="20" t="s">
        <v>17</v>
      </c>
      <c r="AR551" s="20" t="s">
        <v>17</v>
      </c>
      <c r="AS551" s="3"/>
      <c r="AT551" s="2"/>
      <c r="AU551" s="4"/>
      <c r="AV551" s="2"/>
      <c r="AW551" s="1" t="s">
        <v>17</v>
      </c>
      <c r="AX551" s="2" t="s">
        <v>17</v>
      </c>
      <c r="AY551" s="2" t="s">
        <v>17</v>
      </c>
      <c r="AZ551" s="5"/>
      <c r="BA551" s="6"/>
      <c r="BB551" s="4"/>
      <c r="BC551" s="6"/>
      <c r="BD551" s="6"/>
      <c r="BE551" s="6"/>
      <c r="BF551" s="7"/>
    </row>
    <row r="552" spans="1:58" ht="18" customHeight="1">
      <c r="A552" s="107" t="s">
        <v>15</v>
      </c>
      <c r="B552" s="93" t="s">
        <v>530</v>
      </c>
      <c r="C552" s="42">
        <v>1143</v>
      </c>
      <c r="D552" s="42">
        <v>1143.1199999999999</v>
      </c>
      <c r="E552" s="42">
        <v>1143.06</v>
      </c>
      <c r="F552" s="42">
        <v>1143.06</v>
      </c>
      <c r="G552" s="43">
        <v>72071.099800523298</v>
      </c>
      <c r="H552" s="43">
        <v>67554.127443627207</v>
      </c>
      <c r="I552" s="27">
        <f t="shared" si="24"/>
        <v>2</v>
      </c>
      <c r="J552" s="27">
        <f t="shared" ref="J552:J615" si="26">COUNT(U552,AB552,AI552,AP552,AW552,BD552)</f>
        <v>2</v>
      </c>
      <c r="K552" s="27">
        <f t="shared" si="25"/>
        <v>2</v>
      </c>
      <c r="L552" s="25">
        <v>457.14091900000005</v>
      </c>
      <c r="M552" s="25">
        <v>460.13376604545425</v>
      </c>
      <c r="N552" s="38">
        <v>0.50673989392868712</v>
      </c>
      <c r="O552" s="38">
        <v>-4.9718079478586201</v>
      </c>
      <c r="P552" s="71">
        <v>-6.9987675235733686</v>
      </c>
      <c r="Q552" s="53">
        <v>42717</v>
      </c>
      <c r="R552" s="23">
        <v>11</v>
      </c>
      <c r="S552" s="24">
        <v>454.95832300000001</v>
      </c>
      <c r="T552" s="24">
        <v>457.95591124882145</v>
      </c>
      <c r="U552" s="1">
        <v>0.50996203968112219</v>
      </c>
      <c r="V552" s="2">
        <v>-2.6731096574262869</v>
      </c>
      <c r="W552" s="2">
        <v>-4.7129578161507757</v>
      </c>
      <c r="X552" s="22">
        <v>42717</v>
      </c>
      <c r="Y552" s="23">
        <v>11</v>
      </c>
      <c r="Z552" s="24">
        <v>459.32351500000004</v>
      </c>
      <c r="AA552" s="24">
        <v>462.31162084208705</v>
      </c>
      <c r="AB552" s="1">
        <v>0.50351774817625206</v>
      </c>
      <c r="AC552" s="2">
        <v>-7.2705062382909524</v>
      </c>
      <c r="AD552" s="2">
        <v>-9.2845772309959607</v>
      </c>
      <c r="AE552" s="22" t="s">
        <v>17</v>
      </c>
      <c r="AF552" s="23"/>
      <c r="AG552" s="24" t="s">
        <v>17</v>
      </c>
      <c r="AH552" s="24" t="s">
        <v>17</v>
      </c>
      <c r="AI552" s="1" t="s">
        <v>17</v>
      </c>
      <c r="AJ552" s="2" t="s">
        <v>17</v>
      </c>
      <c r="AK552" s="2" t="s">
        <v>17</v>
      </c>
      <c r="AL552" s="22"/>
      <c r="AM552" s="23"/>
      <c r="AN552" s="24" t="s">
        <v>17</v>
      </c>
      <c r="AO552" s="24" t="s">
        <v>17</v>
      </c>
      <c r="AP552" s="20" t="s">
        <v>17</v>
      </c>
      <c r="AQ552" s="20" t="s">
        <v>17</v>
      </c>
      <c r="AR552" s="20" t="s">
        <v>17</v>
      </c>
      <c r="AS552" s="3"/>
      <c r="AT552" s="2"/>
      <c r="AU552" s="4"/>
      <c r="AV552" s="2"/>
      <c r="AW552" s="1" t="s">
        <v>17</v>
      </c>
      <c r="AX552" s="2" t="s">
        <v>17</v>
      </c>
      <c r="AY552" s="2" t="s">
        <v>17</v>
      </c>
      <c r="AZ552" s="5"/>
      <c r="BA552" s="6"/>
      <c r="BB552" s="4"/>
      <c r="BC552" s="6"/>
      <c r="BD552" s="6"/>
      <c r="BE552" s="6"/>
      <c r="BF552" s="7"/>
    </row>
    <row r="553" spans="1:58" ht="18" customHeight="1">
      <c r="A553" s="107" t="s">
        <v>15</v>
      </c>
      <c r="B553" s="93" t="s">
        <v>531</v>
      </c>
      <c r="C553" s="42">
        <v>1148</v>
      </c>
      <c r="D553" s="42">
        <v>1148.1199999999999</v>
      </c>
      <c r="E553" s="42">
        <v>1148.06</v>
      </c>
      <c r="F553" s="42">
        <v>1148.06</v>
      </c>
      <c r="G553" s="43">
        <v>72490.425706469701</v>
      </c>
      <c r="H553" s="43">
        <v>68133.522234825097</v>
      </c>
      <c r="I553" s="27">
        <f t="shared" si="24"/>
        <v>1</v>
      </c>
      <c r="J553" s="27">
        <f t="shared" si="26"/>
        <v>2</v>
      </c>
      <c r="K553" s="27">
        <f t="shared" si="25"/>
        <v>2</v>
      </c>
      <c r="L553" s="25">
        <v>459.5251935</v>
      </c>
      <c r="M553" s="25">
        <v>462.44556922241895</v>
      </c>
      <c r="N553" s="38">
        <v>0.48049342273670526</v>
      </c>
      <c r="O553" s="38">
        <v>-0.95819404252389662</v>
      </c>
      <c r="P553" s="71">
        <v>-2.8801677334707176</v>
      </c>
      <c r="Q553" s="53">
        <v>42810</v>
      </c>
      <c r="R553" s="23">
        <v>17</v>
      </c>
      <c r="S553" s="24"/>
      <c r="T553" s="24"/>
      <c r="U553" s="1">
        <v>0.46909809632467159</v>
      </c>
      <c r="V553" s="2">
        <v>-3.0620093447960572</v>
      </c>
      <c r="W553" s="2">
        <v>-4.9384017300947436</v>
      </c>
      <c r="X553" s="22">
        <v>42810</v>
      </c>
      <c r="Y553" s="23">
        <v>17</v>
      </c>
      <c r="Z553" s="24"/>
      <c r="AA553" s="24"/>
      <c r="AB553" s="1">
        <v>0.49188874914873892</v>
      </c>
      <c r="AC553" s="2">
        <v>1.145621259748264</v>
      </c>
      <c r="AD553" s="2">
        <v>-0.82193373684669169</v>
      </c>
      <c r="AE553" s="22">
        <v>43158</v>
      </c>
      <c r="AF553" s="23">
        <v>3</v>
      </c>
      <c r="AG553" s="24">
        <v>459.5251935</v>
      </c>
      <c r="AH553" s="24">
        <v>462.44556922241895</v>
      </c>
      <c r="AI553" s="1"/>
      <c r="AJ553" s="2"/>
      <c r="AK553" s="2"/>
      <c r="AL553" s="22"/>
      <c r="AM553" s="23"/>
      <c r="AN553" s="24" t="s">
        <v>17</v>
      </c>
      <c r="AO553" s="24" t="s">
        <v>17</v>
      </c>
      <c r="AP553" s="20" t="s">
        <v>17</v>
      </c>
      <c r="AQ553" s="20" t="s">
        <v>17</v>
      </c>
      <c r="AR553" s="20" t="s">
        <v>17</v>
      </c>
      <c r="AS553" s="3"/>
      <c r="AT553" s="2"/>
      <c r="AU553" s="4"/>
      <c r="AV553" s="2"/>
      <c r="AW553" s="1" t="s">
        <v>17</v>
      </c>
      <c r="AX553" s="2" t="s">
        <v>17</v>
      </c>
      <c r="AY553" s="2" t="s">
        <v>17</v>
      </c>
      <c r="AZ553" s="5"/>
      <c r="BA553" s="6"/>
      <c r="BB553" s="4"/>
      <c r="BC553" s="6"/>
      <c r="BD553" s="6"/>
      <c r="BE553" s="6"/>
      <c r="BF553" s="7"/>
    </row>
    <row r="554" spans="1:58" ht="18" customHeight="1">
      <c r="A554" s="107" t="s">
        <v>15</v>
      </c>
      <c r="B554" s="93" t="s">
        <v>532</v>
      </c>
      <c r="C554" s="42">
        <v>1153.5</v>
      </c>
      <c r="D554" s="42">
        <v>1153.6199999999999</v>
      </c>
      <c r="E554" s="42">
        <v>1153.56</v>
      </c>
      <c r="F554" s="42">
        <v>1153.56</v>
      </c>
      <c r="G554" s="43">
        <v>72939.028931568493</v>
      </c>
      <c r="H554" s="43">
        <v>68761.946188506394</v>
      </c>
      <c r="I554" s="27">
        <f t="shared" si="24"/>
        <v>2</v>
      </c>
      <c r="J554" s="27">
        <f t="shared" si="26"/>
        <v>2</v>
      </c>
      <c r="K554" s="27">
        <f t="shared" si="25"/>
        <v>2</v>
      </c>
      <c r="L554" s="25">
        <v>459.05414674999997</v>
      </c>
      <c r="M554" s="25">
        <v>462.00456593924753</v>
      </c>
      <c r="N554" s="38">
        <v>0.49746566603003917</v>
      </c>
      <c r="O554" s="38">
        <v>-10.950518950717969</v>
      </c>
      <c r="P554" s="71">
        <v>-12.940381614838126</v>
      </c>
      <c r="Q554" s="53">
        <v>42732</v>
      </c>
      <c r="R554" s="23">
        <v>12</v>
      </c>
      <c r="S554" s="24">
        <v>458.02294000000001</v>
      </c>
      <c r="T554" s="24">
        <v>460.9843222695078</v>
      </c>
      <c r="U554" s="1">
        <v>0.50043160280721644</v>
      </c>
      <c r="V554" s="2">
        <v>-7.9156284636726637</v>
      </c>
      <c r="W554" s="2">
        <v>-9.9173548749015303</v>
      </c>
      <c r="X554" s="22">
        <v>42732</v>
      </c>
      <c r="Y554" s="23">
        <v>13</v>
      </c>
      <c r="Z554" s="24">
        <v>460.0853535</v>
      </c>
      <c r="AA554" s="24">
        <v>463.02480960898731</v>
      </c>
      <c r="AB554" s="1">
        <v>0.4944997292528619</v>
      </c>
      <c r="AC554" s="2">
        <v>-13.985409437763273</v>
      </c>
      <c r="AD554" s="2">
        <v>-15.963408354774721</v>
      </c>
      <c r="AE554" s="22" t="s">
        <v>17</v>
      </c>
      <c r="AF554" s="23"/>
      <c r="AG554" s="24" t="s">
        <v>17</v>
      </c>
      <c r="AH554" s="24" t="s">
        <v>17</v>
      </c>
      <c r="AI554" s="1" t="s">
        <v>17</v>
      </c>
      <c r="AJ554" s="2" t="s">
        <v>17</v>
      </c>
      <c r="AK554" s="2" t="s">
        <v>17</v>
      </c>
      <c r="AL554" s="22"/>
      <c r="AM554" s="23"/>
      <c r="AN554" s="24" t="s">
        <v>17</v>
      </c>
      <c r="AO554" s="24" t="s">
        <v>17</v>
      </c>
      <c r="AP554" s="20" t="s">
        <v>17</v>
      </c>
      <c r="AQ554" s="20" t="s">
        <v>17</v>
      </c>
      <c r="AR554" s="20" t="s">
        <v>17</v>
      </c>
      <c r="AS554" s="3"/>
      <c r="AT554" s="2"/>
      <c r="AU554" s="4"/>
      <c r="AV554" s="2"/>
      <c r="AW554" s="1" t="s">
        <v>17</v>
      </c>
      <c r="AX554" s="2" t="s">
        <v>17</v>
      </c>
      <c r="AY554" s="2" t="s">
        <v>17</v>
      </c>
      <c r="AZ554" s="5"/>
      <c r="BA554" s="6"/>
      <c r="BB554" s="4"/>
      <c r="BC554" s="6"/>
      <c r="BD554" s="6"/>
      <c r="BE554" s="6"/>
      <c r="BF554" s="7"/>
    </row>
    <row r="555" spans="1:58" ht="18" customHeight="1">
      <c r="A555" s="107" t="s">
        <v>15</v>
      </c>
      <c r="B555" s="113" t="s">
        <v>533</v>
      </c>
      <c r="C555" s="42">
        <v>1158.5</v>
      </c>
      <c r="D555" s="42">
        <v>1158.6199999999999</v>
      </c>
      <c r="E555" s="42">
        <v>1158.56</v>
      </c>
      <c r="F555" s="42">
        <v>1158.56</v>
      </c>
      <c r="G555" s="43">
        <v>73376.616095314894</v>
      </c>
      <c r="H555" s="43">
        <v>69310.680241380396</v>
      </c>
      <c r="I555" s="27">
        <f t="shared" si="24"/>
        <v>2</v>
      </c>
      <c r="J555" s="27">
        <f t="shared" si="26"/>
        <v>2</v>
      </c>
      <c r="K555" s="27">
        <f t="shared" si="25"/>
        <v>2</v>
      </c>
      <c r="L555" s="25">
        <v>455.63862975000001</v>
      </c>
      <c r="M555" s="25">
        <v>458.55475013647447</v>
      </c>
      <c r="N555" s="38">
        <v>0.49538291543316237</v>
      </c>
      <c r="O555" s="38">
        <v>-4.0367482147992124</v>
      </c>
      <c r="P555" s="71">
        <v>-6.0182798765318619</v>
      </c>
      <c r="Q555" s="53">
        <v>42719</v>
      </c>
      <c r="R555" s="23">
        <v>11</v>
      </c>
      <c r="S555" s="24">
        <v>451.53279850000001</v>
      </c>
      <c r="T555" s="24">
        <v>454.43651986392769</v>
      </c>
      <c r="U555" s="1">
        <v>0.49774066545049678</v>
      </c>
      <c r="V555" s="2">
        <v>-2.8968986771636951</v>
      </c>
      <c r="W555" s="2">
        <v>-4.8878613389656822</v>
      </c>
      <c r="X555" s="22">
        <v>42719</v>
      </c>
      <c r="Y555" s="23">
        <v>11</v>
      </c>
      <c r="Z555" s="24">
        <v>459.744461</v>
      </c>
      <c r="AA555" s="24">
        <v>462.67298040902131</v>
      </c>
      <c r="AB555" s="1">
        <v>0.49302516541582797</v>
      </c>
      <c r="AC555" s="2">
        <v>-5.1765977524347306</v>
      </c>
      <c r="AD555" s="2">
        <v>-7.1486984140980425</v>
      </c>
      <c r="AE555" s="22" t="s">
        <v>17</v>
      </c>
      <c r="AF555" s="23"/>
      <c r="AG555" s="24" t="s">
        <v>17</v>
      </c>
      <c r="AH555" s="24" t="s">
        <v>17</v>
      </c>
      <c r="AI555" s="1" t="s">
        <v>17</v>
      </c>
      <c r="AJ555" s="2" t="s">
        <v>17</v>
      </c>
      <c r="AK555" s="2" t="s">
        <v>17</v>
      </c>
      <c r="AL555" s="22"/>
      <c r="AM555" s="23"/>
      <c r="AN555" s="24" t="s">
        <v>17</v>
      </c>
      <c r="AO555" s="24" t="s">
        <v>17</v>
      </c>
      <c r="AP555" s="20" t="s">
        <v>17</v>
      </c>
      <c r="AQ555" s="20" t="s">
        <v>17</v>
      </c>
      <c r="AR555" s="20" t="s">
        <v>17</v>
      </c>
      <c r="AS555" s="3"/>
      <c r="AT555" s="2"/>
      <c r="AU555" s="4"/>
      <c r="AV555" s="2"/>
      <c r="AW555" s="1" t="s">
        <v>17</v>
      </c>
      <c r="AX555" s="2" t="s">
        <v>17</v>
      </c>
      <c r="AY555" s="2" t="s">
        <v>17</v>
      </c>
      <c r="AZ555" s="5"/>
      <c r="BA555" s="6"/>
      <c r="BB555" s="4"/>
      <c r="BC555" s="6"/>
      <c r="BD555" s="6"/>
      <c r="BE555" s="6"/>
      <c r="BF555" s="7"/>
    </row>
    <row r="556" spans="1:58" ht="18" customHeight="1">
      <c r="A556" s="107" t="s">
        <v>15</v>
      </c>
      <c r="B556" s="93" t="s">
        <v>534</v>
      </c>
      <c r="C556" s="42">
        <v>1163.0350000000001</v>
      </c>
      <c r="D556" s="42">
        <v>1163.2349999999999</v>
      </c>
      <c r="E556" s="42">
        <v>1163.135</v>
      </c>
      <c r="F556" s="42">
        <v>1163.135</v>
      </c>
      <c r="G556" s="43">
        <v>73761.763073399896</v>
      </c>
      <c r="H556" s="43">
        <v>69798.808355490095</v>
      </c>
      <c r="I556" s="27">
        <f t="shared" si="24"/>
        <v>1</v>
      </c>
      <c r="J556" s="27">
        <f t="shared" si="26"/>
        <v>2</v>
      </c>
      <c r="K556" s="27">
        <f t="shared" si="25"/>
        <v>2</v>
      </c>
      <c r="L556" s="25">
        <v>467.30205999999998</v>
      </c>
      <c r="M556" s="25">
        <v>470.19814747589743</v>
      </c>
      <c r="N556" s="38">
        <v>0.47722180683640314</v>
      </c>
      <c r="O556" s="38">
        <v>-9.8297790704082733E-2</v>
      </c>
      <c r="P556" s="71">
        <v>-2.0071850180496953</v>
      </c>
      <c r="Q556" s="53">
        <v>43158</v>
      </c>
      <c r="R556" s="23">
        <v>3</v>
      </c>
      <c r="S556" s="24">
        <v>467.30205999999998</v>
      </c>
      <c r="T556" s="24">
        <v>470.19814747589743</v>
      </c>
      <c r="U556" s="1"/>
      <c r="V556" s="2"/>
      <c r="W556" s="2"/>
      <c r="X556" s="22">
        <v>42893</v>
      </c>
      <c r="Y556" s="23">
        <v>17</v>
      </c>
      <c r="Z556" s="24"/>
      <c r="AA556" s="24"/>
      <c r="AB556" s="1">
        <v>0.47967984004060327</v>
      </c>
      <c r="AC556" s="2">
        <v>0.61825471520182695</v>
      </c>
      <c r="AD556" s="2">
        <v>-1.3004646449605861</v>
      </c>
      <c r="AE556" s="22">
        <v>42893</v>
      </c>
      <c r="AF556" s="23">
        <v>17</v>
      </c>
      <c r="AG556" s="24"/>
      <c r="AH556" s="24"/>
      <c r="AI556" s="1">
        <v>0.47476377363220301</v>
      </c>
      <c r="AJ556" s="2">
        <v>-0.81485029660999242</v>
      </c>
      <c r="AK556" s="2">
        <v>-2.7139053911388045</v>
      </c>
      <c r="AL556" s="22"/>
      <c r="AM556" s="23"/>
      <c r="AN556" s="24" t="s">
        <v>17</v>
      </c>
      <c r="AO556" s="24" t="s">
        <v>17</v>
      </c>
      <c r="AP556" s="20" t="s">
        <v>17</v>
      </c>
      <c r="AQ556" s="20" t="s">
        <v>17</v>
      </c>
      <c r="AR556" s="20" t="s">
        <v>17</v>
      </c>
      <c r="AS556" s="3"/>
      <c r="AT556" s="2"/>
      <c r="AU556" s="4"/>
      <c r="AV556" s="2"/>
      <c r="AW556" s="1" t="s">
        <v>17</v>
      </c>
      <c r="AX556" s="2" t="s">
        <v>17</v>
      </c>
      <c r="AY556" s="2" t="s">
        <v>17</v>
      </c>
      <c r="AZ556" s="5"/>
      <c r="BA556" s="6"/>
      <c r="BB556" s="4"/>
      <c r="BC556" s="6"/>
      <c r="BD556" s="6"/>
      <c r="BE556" s="6"/>
      <c r="BF556" s="7"/>
    </row>
    <row r="557" spans="1:58" ht="18" customHeight="1">
      <c r="A557" s="107" t="s">
        <v>15</v>
      </c>
      <c r="B557" s="93" t="s">
        <v>535</v>
      </c>
      <c r="C557" s="42">
        <v>1168</v>
      </c>
      <c r="D557" s="42">
        <v>1168.1199999999999</v>
      </c>
      <c r="E557" s="42">
        <v>1168.06</v>
      </c>
      <c r="F557" s="42">
        <v>1168.06</v>
      </c>
      <c r="G557" s="43">
        <v>74236.275005082905</v>
      </c>
      <c r="H557" s="43">
        <v>70330.591078481695</v>
      </c>
      <c r="I557" s="27">
        <f t="shared" si="24"/>
        <v>1</v>
      </c>
      <c r="J557" s="27">
        <f t="shared" si="26"/>
        <v>1</v>
      </c>
      <c r="K557" s="27">
        <f t="shared" si="25"/>
        <v>1</v>
      </c>
      <c r="L557" s="25">
        <v>466.2666835</v>
      </c>
      <c r="M557" s="25">
        <v>469.21320099858656</v>
      </c>
      <c r="N557" s="38">
        <v>0.48911628900794035</v>
      </c>
      <c r="O557" s="38">
        <v>-8.0198701283850085</v>
      </c>
      <c r="P557" s="71">
        <v>-9.9763352844167699</v>
      </c>
      <c r="Q557" s="53">
        <v>42718</v>
      </c>
      <c r="R557" s="23">
        <v>11</v>
      </c>
      <c r="S557" s="24">
        <v>466.2666835</v>
      </c>
      <c r="T557" s="24">
        <v>469.21320099858656</v>
      </c>
      <c r="U557" s="1">
        <v>0.48911628900794035</v>
      </c>
      <c r="V557" s="2">
        <v>-8.0198701283850085</v>
      </c>
      <c r="W557" s="2">
        <v>-9.9763352844167699</v>
      </c>
      <c r="X557" s="22" t="s">
        <v>17</v>
      </c>
      <c r="Y557" s="23"/>
      <c r="Z557" s="24" t="s">
        <v>17</v>
      </c>
      <c r="AA557" s="24" t="s">
        <v>17</v>
      </c>
      <c r="AB557" s="1" t="s">
        <v>17</v>
      </c>
      <c r="AC557" s="2" t="s">
        <v>17</v>
      </c>
      <c r="AD557" s="2" t="s">
        <v>17</v>
      </c>
      <c r="AE557" s="22" t="s">
        <v>17</v>
      </c>
      <c r="AF557" s="23"/>
      <c r="AG557" s="24" t="s">
        <v>17</v>
      </c>
      <c r="AH557" s="24" t="s">
        <v>17</v>
      </c>
      <c r="AI557" s="1" t="s">
        <v>17</v>
      </c>
      <c r="AJ557" s="2" t="s">
        <v>17</v>
      </c>
      <c r="AK557" s="2" t="s">
        <v>17</v>
      </c>
      <c r="AL557" s="22"/>
      <c r="AM557" s="23"/>
      <c r="AN557" s="24" t="s">
        <v>17</v>
      </c>
      <c r="AO557" s="24" t="s">
        <v>17</v>
      </c>
      <c r="AP557" s="20" t="s">
        <v>17</v>
      </c>
      <c r="AQ557" s="20" t="s">
        <v>17</v>
      </c>
      <c r="AR557" s="20" t="s">
        <v>17</v>
      </c>
      <c r="AS557" s="3"/>
      <c r="AT557" s="2"/>
      <c r="AU557" s="4"/>
      <c r="AV557" s="2"/>
      <c r="AW557" s="1" t="s">
        <v>17</v>
      </c>
      <c r="AX557" s="2" t="s">
        <v>17</v>
      </c>
      <c r="AY557" s="2" t="s">
        <v>17</v>
      </c>
      <c r="AZ557" s="5"/>
      <c r="BA557" s="6"/>
      <c r="BB557" s="4"/>
      <c r="BC557" s="6"/>
      <c r="BD557" s="6"/>
      <c r="BE557" s="6"/>
      <c r="BF557" s="7"/>
    </row>
    <row r="558" spans="1:58" ht="18" customHeight="1">
      <c r="A558" s="107" t="s">
        <v>15</v>
      </c>
      <c r="B558" s="93" t="s">
        <v>536</v>
      </c>
      <c r="C558" s="42">
        <v>1173.5</v>
      </c>
      <c r="D558" s="42">
        <v>1173.6199999999999</v>
      </c>
      <c r="E558" s="42">
        <v>1173.56</v>
      </c>
      <c r="F558" s="42">
        <v>1173.56</v>
      </c>
      <c r="G558" s="43">
        <v>74695.415402325802</v>
      </c>
      <c r="H558" s="43">
        <v>70868.102927541899</v>
      </c>
      <c r="I558" s="27">
        <f t="shared" si="24"/>
        <v>2</v>
      </c>
      <c r="J558" s="27">
        <f t="shared" si="26"/>
        <v>3</v>
      </c>
      <c r="K558" s="27">
        <f t="shared" si="25"/>
        <v>2</v>
      </c>
      <c r="L558" s="25">
        <v>457.12557449999997</v>
      </c>
      <c r="M558" s="25">
        <v>459.9920829016072</v>
      </c>
      <c r="N558" s="38">
        <v>0.49868616975142405</v>
      </c>
      <c r="O558" s="38">
        <v>-8.8367928641264744</v>
      </c>
      <c r="P558" s="71">
        <v>-10.77821449887667</v>
      </c>
      <c r="Q558" s="53">
        <v>42719</v>
      </c>
      <c r="R558" s="23">
        <v>11</v>
      </c>
      <c r="S558" s="24">
        <v>455.91669100000001</v>
      </c>
      <c r="T558" s="24">
        <v>458.7873180592245</v>
      </c>
      <c r="U558" s="1">
        <v>0.48733630790875893</v>
      </c>
      <c r="V558" s="2">
        <v>-8.2011519157489943</v>
      </c>
      <c r="W558" s="2">
        <v>-10.15049714738403</v>
      </c>
      <c r="X558" s="22">
        <v>42719</v>
      </c>
      <c r="Y558" s="23">
        <v>11</v>
      </c>
      <c r="Z558" s="24">
        <v>458.33445799999998</v>
      </c>
      <c r="AA558" s="24">
        <v>461.19684774398991</v>
      </c>
      <c r="AB558" s="1">
        <v>0.48337450946633886</v>
      </c>
      <c r="AC558" s="2">
        <v>-9.4724338125039544</v>
      </c>
      <c r="AD558" s="2">
        <v>-11.40593185036931</v>
      </c>
      <c r="AE558" s="22">
        <v>44054</v>
      </c>
      <c r="AF558" s="23" t="s">
        <v>88</v>
      </c>
      <c r="AG558" s="24"/>
      <c r="AH558" s="24"/>
      <c r="AI558" s="1">
        <v>0.52534769187917441</v>
      </c>
      <c r="AJ558" s="2"/>
      <c r="AK558" s="2"/>
      <c r="AL558" s="22"/>
      <c r="AM558" s="23"/>
      <c r="AN558" s="24" t="s">
        <v>17</v>
      </c>
      <c r="AO558" s="24" t="s">
        <v>17</v>
      </c>
      <c r="AP558" s="20" t="s">
        <v>17</v>
      </c>
      <c r="AQ558" s="20" t="s">
        <v>17</v>
      </c>
      <c r="AR558" s="20" t="s">
        <v>17</v>
      </c>
      <c r="AS558" s="3"/>
      <c r="AT558" s="2"/>
      <c r="AU558" s="4"/>
      <c r="AV558" s="2"/>
      <c r="AW558" s="1" t="s">
        <v>17</v>
      </c>
      <c r="AX558" s="2" t="s">
        <v>17</v>
      </c>
      <c r="AY558" s="2" t="s">
        <v>17</v>
      </c>
      <c r="AZ558" s="5"/>
      <c r="BA558" s="6"/>
      <c r="BB558" s="4"/>
      <c r="BC558" s="6"/>
      <c r="BD558" s="6"/>
      <c r="BE558" s="6"/>
      <c r="BF558" s="7"/>
    </row>
    <row r="559" spans="1:58" ht="18" customHeight="1">
      <c r="A559" s="107" t="s">
        <v>15</v>
      </c>
      <c r="B559" s="93" t="s">
        <v>537</v>
      </c>
      <c r="C559" s="42">
        <v>1177.96</v>
      </c>
      <c r="D559" s="42">
        <v>1178.08</v>
      </c>
      <c r="E559" s="42">
        <v>1178.02</v>
      </c>
      <c r="F559" s="42">
        <v>1178.02</v>
      </c>
      <c r="G559" s="43">
        <v>75054.381397441102</v>
      </c>
      <c r="H559" s="43">
        <v>71282.459787209606</v>
      </c>
      <c r="I559" s="27">
        <f t="shared" si="24"/>
        <v>2</v>
      </c>
      <c r="J559" s="27">
        <f t="shared" si="26"/>
        <v>2</v>
      </c>
      <c r="K559" s="27">
        <f t="shared" si="25"/>
        <v>2</v>
      </c>
      <c r="L559" s="25">
        <v>474.99540100000002</v>
      </c>
      <c r="M559" s="25">
        <v>477.99186612687765</v>
      </c>
      <c r="N559" s="38">
        <v>0.49289001574615021</v>
      </c>
      <c r="O559" s="38">
        <v>-18.250710696897656</v>
      </c>
      <c r="P559" s="71">
        <v>-20.222270759882257</v>
      </c>
      <c r="Q559" s="53">
        <v>42776</v>
      </c>
      <c r="R559" s="23">
        <v>17</v>
      </c>
      <c r="S559" s="24"/>
      <c r="T559" s="24"/>
      <c r="U559" s="1">
        <v>0.49751310314793962</v>
      </c>
      <c r="V559" s="2">
        <v>-17.109939026651588</v>
      </c>
      <c r="W559" s="2">
        <v>-19.099991439243347</v>
      </c>
      <c r="X559" s="22">
        <v>42776</v>
      </c>
      <c r="Y559" s="23">
        <v>17</v>
      </c>
      <c r="Z559" s="24"/>
      <c r="AA559" s="24"/>
      <c r="AB559" s="1">
        <v>0.48826692834436081</v>
      </c>
      <c r="AC559" s="2">
        <v>-19.39148236714372</v>
      </c>
      <c r="AD559" s="2">
        <v>-21.344550080521163</v>
      </c>
      <c r="AE559" s="22">
        <v>43160</v>
      </c>
      <c r="AF559" s="23">
        <v>3</v>
      </c>
      <c r="AG559" s="24">
        <v>474.57369900000003</v>
      </c>
      <c r="AH559" s="24">
        <v>477.56750385830611</v>
      </c>
      <c r="AI559" s="1"/>
      <c r="AJ559" s="2"/>
      <c r="AK559" s="2"/>
      <c r="AL559" s="22">
        <v>43160</v>
      </c>
      <c r="AM559" s="23">
        <v>3</v>
      </c>
      <c r="AN559" s="24">
        <v>475.417103</v>
      </c>
      <c r="AO559" s="24">
        <v>478.41622839544925</v>
      </c>
      <c r="AP559" s="1"/>
      <c r="AQ559" s="2"/>
      <c r="AR559" s="2"/>
      <c r="AS559" s="3"/>
      <c r="AT559" s="2"/>
      <c r="AU559" s="4"/>
      <c r="AV559" s="2"/>
      <c r="AW559" s="1"/>
      <c r="AX559" s="2"/>
      <c r="AY559" s="2"/>
      <c r="AZ559" s="5"/>
      <c r="BA559" s="6"/>
      <c r="BB559" s="4"/>
      <c r="BC559" s="6"/>
      <c r="BD559" s="6"/>
      <c r="BE559" s="6"/>
      <c r="BF559" s="7"/>
    </row>
    <row r="560" spans="1:58" ht="18" customHeight="1">
      <c r="A560" s="107" t="s">
        <v>15</v>
      </c>
      <c r="B560" s="93" t="s">
        <v>538</v>
      </c>
      <c r="C560" s="42">
        <v>1183.5</v>
      </c>
      <c r="D560" s="42">
        <v>1183.6199999999999</v>
      </c>
      <c r="E560" s="42">
        <v>1183.56</v>
      </c>
      <c r="F560" s="42">
        <v>1183.56</v>
      </c>
      <c r="G560" s="43">
        <v>75512.729392474503</v>
      </c>
      <c r="H560" s="43">
        <v>71811.3506739359</v>
      </c>
      <c r="I560" s="27">
        <f t="shared" si="24"/>
        <v>2</v>
      </c>
      <c r="J560" s="27">
        <f t="shared" si="26"/>
        <v>2</v>
      </c>
      <c r="K560" s="27">
        <f t="shared" si="25"/>
        <v>2</v>
      </c>
      <c r="L560" s="25">
        <v>484.43219149999999</v>
      </c>
      <c r="M560" s="25">
        <v>487.55026789176605</v>
      </c>
      <c r="N560" s="38">
        <v>0.49818951047686522</v>
      </c>
      <c r="O560" s="38">
        <v>-7.616122674436232</v>
      </c>
      <c r="P560" s="71">
        <v>-9.6088807163436929</v>
      </c>
      <c r="Q560" s="53">
        <v>42718</v>
      </c>
      <c r="R560" s="23">
        <v>11</v>
      </c>
      <c r="S560" s="24">
        <v>483.82684899999998</v>
      </c>
      <c r="T560" s="24">
        <v>486.9602015243463</v>
      </c>
      <c r="U560" s="1">
        <v>0.50125276373003125</v>
      </c>
      <c r="V560" s="2">
        <v>-8.1365303913212284</v>
      </c>
      <c r="W560" s="2">
        <v>-10.141541446241353</v>
      </c>
      <c r="X560" s="22">
        <v>42718</v>
      </c>
      <c r="Y560" s="23">
        <v>11</v>
      </c>
      <c r="Z560" s="24">
        <v>485.03753399999999</v>
      </c>
      <c r="AA560" s="24">
        <v>488.14033425918581</v>
      </c>
      <c r="AB560" s="1">
        <v>0.49512625722369918</v>
      </c>
      <c r="AC560" s="2">
        <v>-7.0957149575512357</v>
      </c>
      <c r="AD560" s="2">
        <v>-9.0762199864460325</v>
      </c>
      <c r="AE560" s="22" t="s">
        <v>17</v>
      </c>
      <c r="AF560" s="23"/>
      <c r="AG560" s="24" t="s">
        <v>17</v>
      </c>
      <c r="AH560" s="24" t="s">
        <v>17</v>
      </c>
      <c r="AI560" s="1" t="s">
        <v>17</v>
      </c>
      <c r="AJ560" s="2" t="s">
        <v>17</v>
      </c>
      <c r="AK560" s="2" t="s">
        <v>17</v>
      </c>
      <c r="AL560" s="3"/>
      <c r="AM560" s="2"/>
      <c r="AN560" s="24" t="s">
        <v>17</v>
      </c>
      <c r="AO560" s="24" t="s">
        <v>17</v>
      </c>
      <c r="AP560" s="1" t="s">
        <v>17</v>
      </c>
      <c r="AQ560" s="2" t="s">
        <v>17</v>
      </c>
      <c r="AR560" s="2" t="s">
        <v>17</v>
      </c>
      <c r="AS560" s="3"/>
      <c r="AT560" s="2"/>
      <c r="AU560" s="4"/>
      <c r="AV560" s="2"/>
      <c r="AW560" s="1" t="s">
        <v>17</v>
      </c>
      <c r="AX560" s="2" t="s">
        <v>17</v>
      </c>
      <c r="AY560" s="2" t="s">
        <v>17</v>
      </c>
      <c r="AZ560" s="5"/>
      <c r="BA560" s="6"/>
      <c r="BB560" s="4"/>
      <c r="BC560" s="6"/>
      <c r="BD560" s="6"/>
      <c r="BE560" s="6"/>
      <c r="BF560" s="7"/>
    </row>
    <row r="561" spans="1:58" ht="18" customHeight="1">
      <c r="A561" s="107" t="s">
        <v>15</v>
      </c>
      <c r="B561" s="113" t="s">
        <v>539</v>
      </c>
      <c r="C561" s="42">
        <v>1188.49</v>
      </c>
      <c r="D561" s="42">
        <v>1188.6099999999999</v>
      </c>
      <c r="E561" s="42">
        <v>1188.55</v>
      </c>
      <c r="F561" s="42">
        <v>1188.55</v>
      </c>
      <c r="G561" s="43">
        <v>75923.866930345306</v>
      </c>
      <c r="H561" s="43">
        <v>72263.096088083897</v>
      </c>
      <c r="I561" s="27">
        <f t="shared" si="24"/>
        <v>1</v>
      </c>
      <c r="J561" s="27">
        <f t="shared" si="26"/>
        <v>1</v>
      </c>
      <c r="K561" s="27">
        <f t="shared" si="25"/>
        <v>1</v>
      </c>
      <c r="L561" s="25">
        <v>483.87302549999998</v>
      </c>
      <c r="M561" s="25">
        <v>487.05847257202129</v>
      </c>
      <c r="N561" s="38">
        <v>0.50953787040852738</v>
      </c>
      <c r="O561" s="38">
        <v>-8.2503444274854019</v>
      </c>
      <c r="P561" s="71">
        <v>-10.288495909119511</v>
      </c>
      <c r="Q561" s="53">
        <v>42732</v>
      </c>
      <c r="R561" s="23">
        <v>15</v>
      </c>
      <c r="S561" s="24">
        <v>483.87302549999998</v>
      </c>
      <c r="T561" s="24">
        <v>487.05847257202129</v>
      </c>
      <c r="U561" s="1">
        <v>0.50953787040852738</v>
      </c>
      <c r="V561" s="2">
        <v>-8.2503444274854019</v>
      </c>
      <c r="W561" s="2">
        <v>-10.288495909119511</v>
      </c>
      <c r="X561" s="22" t="s">
        <v>17</v>
      </c>
      <c r="Y561" s="23"/>
      <c r="Z561" s="24" t="s">
        <v>17</v>
      </c>
      <c r="AA561" s="24" t="s">
        <v>17</v>
      </c>
      <c r="AB561" s="1" t="s">
        <v>17</v>
      </c>
      <c r="AC561" s="2" t="s">
        <v>17</v>
      </c>
      <c r="AD561" s="2" t="s">
        <v>17</v>
      </c>
      <c r="AE561" s="22" t="s">
        <v>17</v>
      </c>
      <c r="AF561" s="23"/>
      <c r="AG561" s="24" t="s">
        <v>17</v>
      </c>
      <c r="AH561" s="24" t="s">
        <v>17</v>
      </c>
      <c r="AI561" s="1" t="s">
        <v>17</v>
      </c>
      <c r="AJ561" s="2" t="s">
        <v>17</v>
      </c>
      <c r="AK561" s="2" t="s">
        <v>17</v>
      </c>
      <c r="AL561" s="3"/>
      <c r="AM561" s="2"/>
      <c r="AN561" s="24" t="s">
        <v>17</v>
      </c>
      <c r="AO561" s="24" t="s">
        <v>17</v>
      </c>
      <c r="AP561" s="1" t="s">
        <v>17</v>
      </c>
      <c r="AQ561" s="2" t="s">
        <v>17</v>
      </c>
      <c r="AR561" s="2" t="s">
        <v>17</v>
      </c>
      <c r="AS561" s="3"/>
      <c r="AT561" s="2"/>
      <c r="AU561" s="4"/>
      <c r="AV561" s="2"/>
      <c r="AW561" s="1" t="s">
        <v>17</v>
      </c>
      <c r="AX561" s="2" t="s">
        <v>17</v>
      </c>
      <c r="AY561" s="2" t="s">
        <v>17</v>
      </c>
      <c r="AZ561" s="5"/>
      <c r="BA561" s="6"/>
      <c r="BB561" s="4"/>
      <c r="BC561" s="6"/>
      <c r="BD561" s="6"/>
      <c r="BE561" s="6"/>
      <c r="BF561" s="7"/>
    </row>
    <row r="562" spans="1:58" ht="18" customHeight="1">
      <c r="A562" s="107" t="s">
        <v>15</v>
      </c>
      <c r="B562" s="113" t="s">
        <v>540</v>
      </c>
      <c r="C562" s="42">
        <v>1193.5</v>
      </c>
      <c r="D562" s="42">
        <v>1193.6199999999999</v>
      </c>
      <c r="E562" s="42">
        <v>1193.56</v>
      </c>
      <c r="F562" s="42">
        <v>1193.56</v>
      </c>
      <c r="G562" s="43">
        <v>76320.436827032201</v>
      </c>
      <c r="H562" s="43">
        <v>72701.366222456505</v>
      </c>
      <c r="I562" s="27">
        <f t="shared" si="24"/>
        <v>2</v>
      </c>
      <c r="J562" s="27">
        <f t="shared" si="26"/>
        <v>2</v>
      </c>
      <c r="K562" s="27">
        <f t="shared" si="25"/>
        <v>2</v>
      </c>
      <c r="L562" s="25">
        <v>439.88227575000002</v>
      </c>
      <c r="M562" s="25">
        <v>442.76253941985385</v>
      </c>
      <c r="N562" s="38">
        <v>0.5067865613135325</v>
      </c>
      <c r="O562" s="38">
        <v>-9.0705846959977521</v>
      </c>
      <c r="P562" s="71">
        <v>-11.097730941251882</v>
      </c>
      <c r="Q562" s="53">
        <v>42718</v>
      </c>
      <c r="R562" s="23">
        <v>11</v>
      </c>
      <c r="S562" s="24">
        <v>441.161969</v>
      </c>
      <c r="T562" s="24">
        <v>444.06925861323208</v>
      </c>
      <c r="U562" s="1">
        <v>0.51006757539617809</v>
      </c>
      <c r="V562" s="2">
        <v>-8.5293650376062615</v>
      </c>
      <c r="W562" s="2">
        <v>-10.569635339190974</v>
      </c>
      <c r="X562" s="22">
        <v>42718</v>
      </c>
      <c r="Y562" s="23">
        <v>11</v>
      </c>
      <c r="Z562" s="24">
        <v>438.60258250000004</v>
      </c>
      <c r="AA562" s="24">
        <v>441.45582022647562</v>
      </c>
      <c r="AB562" s="1">
        <v>0.50350554723088692</v>
      </c>
      <c r="AC562" s="2">
        <v>-9.6118043543892426</v>
      </c>
      <c r="AD562" s="2">
        <v>-11.62582654331279</v>
      </c>
      <c r="AE562" s="22" t="s">
        <v>17</v>
      </c>
      <c r="AF562" s="23"/>
      <c r="AG562" s="24" t="s">
        <v>17</v>
      </c>
      <c r="AH562" s="24" t="s">
        <v>17</v>
      </c>
      <c r="AI562" s="1" t="s">
        <v>17</v>
      </c>
      <c r="AJ562" s="2" t="s">
        <v>17</v>
      </c>
      <c r="AK562" s="2" t="s">
        <v>17</v>
      </c>
      <c r="AL562" s="3"/>
      <c r="AM562" s="2"/>
      <c r="AN562" s="24" t="s">
        <v>17</v>
      </c>
      <c r="AO562" s="24" t="s">
        <v>17</v>
      </c>
      <c r="AP562" s="1" t="s">
        <v>17</v>
      </c>
      <c r="AQ562" s="2" t="s">
        <v>17</v>
      </c>
      <c r="AR562" s="2" t="s">
        <v>17</v>
      </c>
      <c r="AS562" s="3"/>
      <c r="AT562" s="2"/>
      <c r="AU562" s="4"/>
      <c r="AV562" s="2"/>
      <c r="AW562" s="1" t="s">
        <v>17</v>
      </c>
      <c r="AX562" s="2" t="s">
        <v>17</v>
      </c>
      <c r="AY562" s="2" t="s">
        <v>17</v>
      </c>
      <c r="AZ562" s="5"/>
      <c r="BA562" s="6"/>
      <c r="BB562" s="4"/>
      <c r="BC562" s="6"/>
      <c r="BD562" s="6"/>
      <c r="BE562" s="6"/>
      <c r="BF562" s="7"/>
    </row>
    <row r="563" spans="1:58" ht="18" customHeight="1">
      <c r="A563" s="107" t="s">
        <v>15</v>
      </c>
      <c r="B563" s="113" t="s">
        <v>541</v>
      </c>
      <c r="C563" s="42">
        <v>1198.5</v>
      </c>
      <c r="D563" s="42">
        <v>1198.6199999999999</v>
      </c>
      <c r="E563" s="42">
        <v>1198.56</v>
      </c>
      <c r="F563" s="42">
        <v>1198.56</v>
      </c>
      <c r="G563" s="43">
        <v>76737.147885425904</v>
      </c>
      <c r="H563" s="43">
        <v>73147.497084531598</v>
      </c>
      <c r="I563" s="27">
        <f t="shared" si="24"/>
        <v>2</v>
      </c>
      <c r="J563" s="27">
        <f t="shared" si="26"/>
        <v>2</v>
      </c>
      <c r="K563" s="27">
        <f t="shared" si="25"/>
        <v>2</v>
      </c>
      <c r="L563" s="25">
        <v>442.99309399999999</v>
      </c>
      <c r="M563" s="25">
        <v>445.88512027463167</v>
      </c>
      <c r="N563" s="38">
        <v>0.50532735556951813</v>
      </c>
      <c r="O563" s="38">
        <v>-10.783845848982399</v>
      </c>
      <c r="P563" s="71">
        <v>-12.805155271260471</v>
      </c>
      <c r="Q563" s="53">
        <v>42732</v>
      </c>
      <c r="R563" s="23">
        <v>15</v>
      </c>
      <c r="S563" s="24">
        <v>439.2244925</v>
      </c>
      <c r="T563" s="24">
        <v>442.11543289346054</v>
      </c>
      <c r="U563" s="1">
        <v>0.5094365187248151</v>
      </c>
      <c r="V563" s="2">
        <v>-7.5460301339911329</v>
      </c>
      <c r="W563" s="2">
        <v>-9.5837762088903933</v>
      </c>
      <c r="X563" s="22">
        <v>43551</v>
      </c>
      <c r="Y563" s="23">
        <v>10</v>
      </c>
      <c r="Z563" s="24">
        <v>446.76169549999997</v>
      </c>
      <c r="AA563" s="24">
        <v>449.65480765580281</v>
      </c>
      <c r="AB563" s="1">
        <v>0.50121819241422116</v>
      </c>
      <c r="AC563" s="2">
        <v>-14.021661563973664</v>
      </c>
      <c r="AD563" s="2">
        <v>-16.026534333630551</v>
      </c>
      <c r="AE563" s="22" t="s">
        <v>17</v>
      </c>
      <c r="AF563" s="23"/>
      <c r="AG563" s="24" t="s">
        <v>17</v>
      </c>
      <c r="AH563" s="24" t="s">
        <v>17</v>
      </c>
      <c r="AI563" s="1" t="s">
        <v>17</v>
      </c>
      <c r="AJ563" s="2" t="s">
        <v>17</v>
      </c>
      <c r="AK563" s="2" t="s">
        <v>17</v>
      </c>
      <c r="AL563" s="3"/>
      <c r="AM563" s="2"/>
      <c r="AN563" s="24" t="s">
        <v>17</v>
      </c>
      <c r="AO563" s="24" t="s">
        <v>17</v>
      </c>
      <c r="AP563" s="1" t="s">
        <v>17</v>
      </c>
      <c r="AQ563" s="2" t="s">
        <v>17</v>
      </c>
      <c r="AR563" s="2" t="s">
        <v>17</v>
      </c>
      <c r="AS563" s="3"/>
      <c r="AT563" s="2"/>
      <c r="AU563" s="4"/>
      <c r="AV563" s="2"/>
      <c r="AW563" s="1" t="s">
        <v>17</v>
      </c>
      <c r="AX563" s="2" t="s">
        <v>17</v>
      </c>
      <c r="AY563" s="2" t="s">
        <v>17</v>
      </c>
      <c r="AZ563" s="5"/>
      <c r="BA563" s="6"/>
      <c r="BB563" s="4"/>
      <c r="BC563" s="6"/>
      <c r="BD563" s="6"/>
      <c r="BE563" s="6"/>
      <c r="BF563" s="7"/>
    </row>
    <row r="564" spans="1:58" ht="18" customHeight="1">
      <c r="A564" s="107" t="s">
        <v>15</v>
      </c>
      <c r="B564" s="113" t="s">
        <v>542</v>
      </c>
      <c r="C564" s="42">
        <v>1202.5</v>
      </c>
      <c r="D564" s="42">
        <v>1202.6199999999999</v>
      </c>
      <c r="E564" s="42">
        <v>1202.56</v>
      </c>
      <c r="F564" s="42">
        <v>1202.56</v>
      </c>
      <c r="G564" s="43">
        <v>77061.154658349798</v>
      </c>
      <c r="H564" s="43">
        <v>73554.935779324602</v>
      </c>
      <c r="I564" s="27">
        <f t="shared" si="24"/>
        <v>3</v>
      </c>
      <c r="J564" s="27">
        <f t="shared" si="26"/>
        <v>2</v>
      </c>
      <c r="K564" s="27">
        <f t="shared" si="25"/>
        <v>2</v>
      </c>
      <c r="L564" s="25">
        <v>462.4512661666667</v>
      </c>
      <c r="M564" s="25">
        <v>465.41480990550917</v>
      </c>
      <c r="N564" s="38">
        <v>0.49573528121082955</v>
      </c>
      <c r="O564" s="38">
        <v>-11.004201678531112</v>
      </c>
      <c r="P564" s="71">
        <v>-12.98714280337443</v>
      </c>
      <c r="Q564" s="53">
        <v>42717</v>
      </c>
      <c r="R564" s="23">
        <v>11</v>
      </c>
      <c r="S564" s="24">
        <v>463.63035200000002</v>
      </c>
      <c r="T564" s="24">
        <v>466.59505219483617</v>
      </c>
      <c r="U564" s="1">
        <v>0.49493299643299515</v>
      </c>
      <c r="V564" s="2">
        <v>-11.076342426686537</v>
      </c>
      <c r="W564" s="2">
        <v>-13.056074412418518</v>
      </c>
      <c r="X564" s="22">
        <v>42717</v>
      </c>
      <c r="Y564" s="23">
        <v>11</v>
      </c>
      <c r="Z564" s="24">
        <v>459.41188950000003</v>
      </c>
      <c r="AA564" s="24">
        <v>462.3591386772697</v>
      </c>
      <c r="AB564" s="1">
        <v>0.49653756598866394</v>
      </c>
      <c r="AC564" s="2">
        <v>-10.932060930375687</v>
      </c>
      <c r="AD564" s="2">
        <v>-12.918211194330343</v>
      </c>
      <c r="AE564" s="22">
        <v>43161</v>
      </c>
      <c r="AF564" s="23">
        <v>3</v>
      </c>
      <c r="AG564" s="24">
        <v>464.31155699999999</v>
      </c>
      <c r="AH564" s="24">
        <v>467.29023884442159</v>
      </c>
      <c r="AI564" s="1"/>
      <c r="AJ564" s="2"/>
      <c r="AK564" s="2"/>
      <c r="AL564" s="3"/>
      <c r="AM564" s="2"/>
      <c r="AN564" s="24" t="s">
        <v>17</v>
      </c>
      <c r="AO564" s="24" t="s">
        <v>17</v>
      </c>
      <c r="AP564" s="1" t="s">
        <v>17</v>
      </c>
      <c r="AQ564" s="2" t="s">
        <v>17</v>
      </c>
      <c r="AR564" s="2" t="s">
        <v>17</v>
      </c>
      <c r="AS564" s="3"/>
      <c r="AT564" s="2"/>
      <c r="AU564" s="4"/>
      <c r="AV564" s="2"/>
      <c r="AW564" s="1" t="s">
        <v>17</v>
      </c>
      <c r="AX564" s="2" t="s">
        <v>17</v>
      </c>
      <c r="AY564" s="2" t="s">
        <v>17</v>
      </c>
      <c r="AZ564" s="5"/>
      <c r="BA564" s="6"/>
      <c r="BB564" s="4"/>
      <c r="BC564" s="6"/>
      <c r="BD564" s="6"/>
      <c r="BE564" s="6"/>
      <c r="BF564" s="7"/>
    </row>
    <row r="565" spans="1:58" ht="18" customHeight="1">
      <c r="A565" s="107" t="s">
        <v>15</v>
      </c>
      <c r="B565" s="93" t="s">
        <v>543</v>
      </c>
      <c r="C565" s="42">
        <v>1208</v>
      </c>
      <c r="D565" s="42">
        <v>1208.1199999999999</v>
      </c>
      <c r="E565" s="42">
        <v>1208.06</v>
      </c>
      <c r="F565" s="42">
        <v>1208.06</v>
      </c>
      <c r="G565" s="43">
        <v>77563.838609192302</v>
      </c>
      <c r="H565" s="43">
        <v>74087.352456977998</v>
      </c>
      <c r="I565" s="27">
        <f t="shared" si="24"/>
        <v>1</v>
      </c>
      <c r="J565" s="27">
        <f t="shared" si="26"/>
        <v>1</v>
      </c>
      <c r="K565" s="27">
        <f t="shared" si="25"/>
        <v>1</v>
      </c>
      <c r="L565" s="25">
        <v>456.80674950000002</v>
      </c>
      <c r="M565" s="25">
        <v>459.63758473650438</v>
      </c>
      <c r="N565" s="38">
        <v>0.47964460837346401</v>
      </c>
      <c r="O565" s="38">
        <v>-6.4289700921127402</v>
      </c>
      <c r="P565" s="71">
        <v>-8.3475485256065962</v>
      </c>
      <c r="Q565" s="53">
        <v>42531</v>
      </c>
      <c r="R565" s="23">
        <v>11</v>
      </c>
      <c r="S565" s="24">
        <v>456.80674950000002</v>
      </c>
      <c r="T565" s="24">
        <v>459.63758473650438</v>
      </c>
      <c r="U565" s="1">
        <v>0.47964460837346401</v>
      </c>
      <c r="V565" s="2">
        <v>-6.4289700921127402</v>
      </c>
      <c r="W565" s="2">
        <v>-8.3475485256065962</v>
      </c>
      <c r="X565" s="22" t="s">
        <v>17</v>
      </c>
      <c r="Y565" s="23"/>
      <c r="Z565" s="24" t="s">
        <v>17</v>
      </c>
      <c r="AA565" s="24" t="s">
        <v>17</v>
      </c>
      <c r="AB565" s="1" t="s">
        <v>17</v>
      </c>
      <c r="AC565" s="2" t="s">
        <v>17</v>
      </c>
      <c r="AD565" s="2" t="s">
        <v>17</v>
      </c>
      <c r="AE565" s="22" t="s">
        <v>17</v>
      </c>
      <c r="AF565" s="23"/>
      <c r="AG565" s="24" t="s">
        <v>17</v>
      </c>
      <c r="AH565" s="24" t="s">
        <v>17</v>
      </c>
      <c r="AI565" s="1" t="s">
        <v>17</v>
      </c>
      <c r="AJ565" s="2" t="s">
        <v>17</v>
      </c>
      <c r="AK565" s="2" t="s">
        <v>17</v>
      </c>
      <c r="AL565" s="3"/>
      <c r="AM565" s="2"/>
      <c r="AN565" s="24" t="s">
        <v>17</v>
      </c>
      <c r="AO565" s="24" t="s">
        <v>17</v>
      </c>
      <c r="AP565" s="1" t="s">
        <v>17</v>
      </c>
      <c r="AQ565" s="2" t="s">
        <v>17</v>
      </c>
      <c r="AR565" s="2" t="s">
        <v>17</v>
      </c>
      <c r="AS565" s="3"/>
      <c r="AT565" s="2"/>
      <c r="AU565" s="4"/>
      <c r="AV565" s="2"/>
      <c r="AW565" s="1" t="s">
        <v>17</v>
      </c>
      <c r="AX565" s="2" t="s">
        <v>17</v>
      </c>
      <c r="AY565" s="2" t="s">
        <v>17</v>
      </c>
      <c r="AZ565" s="5"/>
      <c r="BA565" s="6"/>
      <c r="BB565" s="4"/>
      <c r="BC565" s="6"/>
      <c r="BD565" s="6"/>
      <c r="BE565" s="6"/>
      <c r="BF565" s="7"/>
    </row>
    <row r="566" spans="1:58" ht="18" customHeight="1">
      <c r="A566" s="107" t="s">
        <v>15</v>
      </c>
      <c r="B566" s="93" t="s">
        <v>544</v>
      </c>
      <c r="C566" s="42">
        <v>1213</v>
      </c>
      <c r="D566" s="42">
        <v>1213.1199999999999</v>
      </c>
      <c r="E566" s="42">
        <v>1213.06</v>
      </c>
      <c r="F566" s="42">
        <v>1213.06</v>
      </c>
      <c r="G566" s="43">
        <v>77961.316654327704</v>
      </c>
      <c r="H566" s="43">
        <v>74586.061825411307</v>
      </c>
      <c r="I566" s="27">
        <f t="shared" si="24"/>
        <v>1</v>
      </c>
      <c r="J566" s="27">
        <f t="shared" si="26"/>
        <v>1</v>
      </c>
      <c r="K566" s="27">
        <f t="shared" si="25"/>
        <v>1</v>
      </c>
      <c r="L566" s="25">
        <v>455.81449199999997</v>
      </c>
      <c r="M566" s="25">
        <v>458.63357479141331</v>
      </c>
      <c r="N566" s="38">
        <v>0.47869312258130847</v>
      </c>
      <c r="O566" s="38">
        <v>-2.4882166847378651</v>
      </c>
      <c r="P566" s="71">
        <v>-4.4029891750630989</v>
      </c>
      <c r="Q566" s="53">
        <v>42585</v>
      </c>
      <c r="R566" s="23">
        <v>11</v>
      </c>
      <c r="S566" s="24">
        <v>455.81449199999997</v>
      </c>
      <c r="T566" s="24">
        <v>458.63357479141331</v>
      </c>
      <c r="U566" s="1">
        <v>0.47869312258130847</v>
      </c>
      <c r="V566" s="2">
        <v>-2.4882166847378651</v>
      </c>
      <c r="W566" s="2">
        <v>-4.4029891750630989</v>
      </c>
      <c r="X566" s="22" t="s">
        <v>17</v>
      </c>
      <c r="Y566" s="23"/>
      <c r="Z566" s="24" t="s">
        <v>17</v>
      </c>
      <c r="AA566" s="24" t="s">
        <v>17</v>
      </c>
      <c r="AB566" s="1" t="s">
        <v>17</v>
      </c>
      <c r="AC566" s="2" t="s">
        <v>17</v>
      </c>
      <c r="AD566" s="2" t="s">
        <v>17</v>
      </c>
      <c r="AE566" s="22" t="s">
        <v>17</v>
      </c>
      <c r="AF566" s="23"/>
      <c r="AG566" s="24" t="s">
        <v>17</v>
      </c>
      <c r="AH566" s="24" t="s">
        <v>17</v>
      </c>
      <c r="AI566" s="1" t="s">
        <v>17</v>
      </c>
      <c r="AJ566" s="2" t="s">
        <v>17</v>
      </c>
      <c r="AK566" s="2" t="s">
        <v>17</v>
      </c>
      <c r="AL566" s="3"/>
      <c r="AM566" s="2"/>
      <c r="AN566" s="24" t="s">
        <v>17</v>
      </c>
      <c r="AO566" s="24" t="s">
        <v>17</v>
      </c>
      <c r="AP566" s="1" t="s">
        <v>17</v>
      </c>
      <c r="AQ566" s="2" t="s">
        <v>17</v>
      </c>
      <c r="AR566" s="2" t="s">
        <v>17</v>
      </c>
      <c r="AS566" s="3"/>
      <c r="AT566" s="2"/>
      <c r="AU566" s="4"/>
      <c r="AV566" s="2"/>
      <c r="AW566" s="1" t="s">
        <v>17</v>
      </c>
      <c r="AX566" s="2" t="s">
        <v>17</v>
      </c>
      <c r="AY566" s="2" t="s">
        <v>17</v>
      </c>
      <c r="AZ566" s="5"/>
      <c r="BA566" s="6"/>
      <c r="BB566" s="4"/>
      <c r="BC566" s="6"/>
      <c r="BD566" s="6"/>
      <c r="BE566" s="6"/>
      <c r="BF566" s="7"/>
    </row>
    <row r="567" spans="1:58" ht="18" customHeight="1">
      <c r="A567" s="107" t="s">
        <v>15</v>
      </c>
      <c r="B567" s="93" t="s">
        <v>545</v>
      </c>
      <c r="C567" s="42">
        <v>1217.5</v>
      </c>
      <c r="D567" s="42">
        <v>1217.6199999999999</v>
      </c>
      <c r="E567" s="42">
        <v>1217.56</v>
      </c>
      <c r="F567" s="42">
        <v>1217.56</v>
      </c>
      <c r="G567" s="43">
        <v>78356.742184821007</v>
      </c>
      <c r="H567" s="43">
        <v>74955.618234967696</v>
      </c>
      <c r="I567" s="27">
        <f t="shared" si="24"/>
        <v>1</v>
      </c>
      <c r="J567" s="27">
        <f t="shared" si="26"/>
        <v>1</v>
      </c>
      <c r="K567" s="27">
        <f t="shared" si="25"/>
        <v>1</v>
      </c>
      <c r="L567" s="25">
        <v>472.72789450000005</v>
      </c>
      <c r="M567" s="25">
        <v>475.74335284836172</v>
      </c>
      <c r="N567" s="38">
        <v>0.49371871582315485</v>
      </c>
      <c r="O567" s="38">
        <v>-3.6079941430783302</v>
      </c>
      <c r="P567" s="71">
        <v>-5.5828690063709496</v>
      </c>
      <c r="Q567" s="53">
        <v>42531</v>
      </c>
      <c r="R567" s="23">
        <v>11</v>
      </c>
      <c r="S567" s="24">
        <v>472.72789450000005</v>
      </c>
      <c r="T567" s="24">
        <v>475.74335284836172</v>
      </c>
      <c r="U567" s="1">
        <v>0.49371871582315485</v>
      </c>
      <c r="V567" s="2">
        <v>-3.6079941430783302</v>
      </c>
      <c r="W567" s="2">
        <v>-5.5828690063709496</v>
      </c>
      <c r="X567" s="22" t="s">
        <v>17</v>
      </c>
      <c r="Y567" s="23"/>
      <c r="Z567" s="24" t="s">
        <v>17</v>
      </c>
      <c r="AA567" s="24" t="s">
        <v>17</v>
      </c>
      <c r="AB567" s="1" t="s">
        <v>17</v>
      </c>
      <c r="AC567" s="2" t="s">
        <v>17</v>
      </c>
      <c r="AD567" s="2" t="s">
        <v>17</v>
      </c>
      <c r="AE567" s="22" t="s">
        <v>17</v>
      </c>
      <c r="AF567" s="23"/>
      <c r="AG567" s="24" t="s">
        <v>17</v>
      </c>
      <c r="AH567" s="24" t="s">
        <v>17</v>
      </c>
      <c r="AI567" s="1" t="s">
        <v>17</v>
      </c>
      <c r="AJ567" s="2" t="s">
        <v>17</v>
      </c>
      <c r="AK567" s="2" t="s">
        <v>17</v>
      </c>
      <c r="AL567" s="3"/>
      <c r="AM567" s="2"/>
      <c r="AN567" s="24" t="s">
        <v>17</v>
      </c>
      <c r="AO567" s="24" t="s">
        <v>17</v>
      </c>
      <c r="AP567" s="1" t="s">
        <v>17</v>
      </c>
      <c r="AQ567" s="2" t="s">
        <v>17</v>
      </c>
      <c r="AR567" s="2" t="s">
        <v>17</v>
      </c>
      <c r="AS567" s="3"/>
      <c r="AT567" s="2"/>
      <c r="AU567" s="4"/>
      <c r="AV567" s="2"/>
      <c r="AW567" s="1" t="s">
        <v>17</v>
      </c>
      <c r="AX567" s="2" t="s">
        <v>17</v>
      </c>
      <c r="AY567" s="2" t="s">
        <v>17</v>
      </c>
      <c r="AZ567" s="5"/>
      <c r="BA567" s="6"/>
      <c r="BB567" s="4"/>
      <c r="BC567" s="6"/>
      <c r="BD567" s="6"/>
      <c r="BE567" s="6"/>
      <c r="BF567" s="7"/>
    </row>
    <row r="568" spans="1:58" ht="18" customHeight="1">
      <c r="A568" s="107" t="s">
        <v>15</v>
      </c>
      <c r="B568" s="93" t="s">
        <v>546</v>
      </c>
      <c r="C568" s="42">
        <v>1223.5</v>
      </c>
      <c r="D568" s="42">
        <v>1223.6199999999999</v>
      </c>
      <c r="E568" s="42">
        <v>1223.56</v>
      </c>
      <c r="F568" s="42">
        <v>1223.56</v>
      </c>
      <c r="G568" s="43">
        <v>78924.567921298105</v>
      </c>
      <c r="H568" s="43">
        <v>75468.081024240004</v>
      </c>
      <c r="I568" s="27">
        <f t="shared" si="24"/>
        <v>1</v>
      </c>
      <c r="J568" s="27">
        <f t="shared" si="26"/>
        <v>1</v>
      </c>
      <c r="K568" s="27">
        <f t="shared" si="25"/>
        <v>1</v>
      </c>
      <c r="L568" s="25">
        <v>473.49190099999998</v>
      </c>
      <c r="M568" s="25">
        <v>476.53837075972274</v>
      </c>
      <c r="N568" s="38">
        <v>0.49799135433059583</v>
      </c>
      <c r="O568" s="38">
        <v>-11.923765094625892</v>
      </c>
      <c r="P568" s="71">
        <v>-13.915730511948276</v>
      </c>
      <c r="Q568" s="53">
        <v>42585</v>
      </c>
      <c r="R568" s="23">
        <v>11</v>
      </c>
      <c r="S568" s="24">
        <v>473.49190099999998</v>
      </c>
      <c r="T568" s="24">
        <v>476.53837075972274</v>
      </c>
      <c r="U568" s="1">
        <v>0.49799135433059583</v>
      </c>
      <c r="V568" s="2">
        <v>-11.923765094625892</v>
      </c>
      <c r="W568" s="2">
        <v>-13.915730511948276</v>
      </c>
      <c r="X568" s="22" t="s">
        <v>17</v>
      </c>
      <c r="Y568" s="23"/>
      <c r="Z568" s="24" t="s">
        <v>17</v>
      </c>
      <c r="AA568" s="24" t="s">
        <v>17</v>
      </c>
      <c r="AB568" s="1" t="s">
        <v>17</v>
      </c>
      <c r="AC568" s="2" t="s">
        <v>17</v>
      </c>
      <c r="AD568" s="2" t="s">
        <v>17</v>
      </c>
      <c r="AE568" s="22" t="s">
        <v>17</v>
      </c>
      <c r="AF568" s="23"/>
      <c r="AG568" s="24" t="s">
        <v>17</v>
      </c>
      <c r="AH568" s="24" t="s">
        <v>17</v>
      </c>
      <c r="AI568" s="1" t="s">
        <v>17</v>
      </c>
      <c r="AJ568" s="2" t="s">
        <v>17</v>
      </c>
      <c r="AK568" s="2" t="s">
        <v>17</v>
      </c>
      <c r="AL568" s="3"/>
      <c r="AM568" s="2"/>
      <c r="AN568" s="24" t="s">
        <v>17</v>
      </c>
      <c r="AO568" s="24" t="s">
        <v>17</v>
      </c>
      <c r="AP568" s="1" t="s">
        <v>17</v>
      </c>
      <c r="AQ568" s="2" t="s">
        <v>17</v>
      </c>
      <c r="AR568" s="2" t="s">
        <v>17</v>
      </c>
      <c r="AS568" s="3"/>
      <c r="AT568" s="2"/>
      <c r="AU568" s="4"/>
      <c r="AV568" s="2"/>
      <c r="AW568" s="1" t="s">
        <v>17</v>
      </c>
      <c r="AX568" s="2" t="s">
        <v>17</v>
      </c>
      <c r="AY568" s="2" t="s">
        <v>17</v>
      </c>
      <c r="AZ568" s="5"/>
      <c r="BA568" s="6"/>
      <c r="BB568" s="4"/>
      <c r="BC568" s="6"/>
      <c r="BD568" s="6"/>
      <c r="BE568" s="6"/>
      <c r="BF568" s="7"/>
    </row>
    <row r="569" spans="1:58" ht="18" customHeight="1">
      <c r="A569" s="107" t="s">
        <v>15</v>
      </c>
      <c r="B569" s="93" t="s">
        <v>547</v>
      </c>
      <c r="C569" s="42">
        <v>1228.5</v>
      </c>
      <c r="D569" s="42">
        <v>1228.6199999999999</v>
      </c>
      <c r="E569" s="42">
        <v>1228.56</v>
      </c>
      <c r="F569" s="42">
        <v>1228.56</v>
      </c>
      <c r="G569" s="43">
        <v>79364.395857001306</v>
      </c>
      <c r="H569" s="43">
        <v>75876.918163684895</v>
      </c>
      <c r="I569" s="27">
        <f t="shared" si="24"/>
        <v>2</v>
      </c>
      <c r="J569" s="27">
        <f t="shared" si="26"/>
        <v>2</v>
      </c>
      <c r="K569" s="27">
        <f t="shared" si="25"/>
        <v>1</v>
      </c>
      <c r="L569" s="25">
        <v>493.97589075000002</v>
      </c>
      <c r="M569" s="25">
        <v>497.21878843081458</v>
      </c>
      <c r="N569" s="38">
        <v>0.50811666177874582</v>
      </c>
      <c r="O569" s="38">
        <v>-5.4103172763215746</v>
      </c>
      <c r="P569" s="71">
        <v>-7.4443262721408665</v>
      </c>
      <c r="Q569" s="53">
        <v>42584</v>
      </c>
      <c r="R569" s="23">
        <v>11</v>
      </c>
      <c r="S569" s="24">
        <v>496.28899100000001</v>
      </c>
      <c r="T569" s="24">
        <v>499.54953475927084</v>
      </c>
      <c r="U569" s="1">
        <v>0.50850224895482299</v>
      </c>
      <c r="V569" s="2">
        <v>-5.4103172763215746</v>
      </c>
      <c r="W569" s="2">
        <v>-7.4443262721408665</v>
      </c>
      <c r="X569" s="22">
        <v>44102</v>
      </c>
      <c r="Y569" s="23" t="s">
        <v>88</v>
      </c>
      <c r="Z569" s="24">
        <v>491.66279050000003</v>
      </c>
      <c r="AA569" s="24">
        <v>494.88804210235827</v>
      </c>
      <c r="AB569" s="1">
        <v>0.50773107460266864</v>
      </c>
      <c r="AC569" s="2"/>
      <c r="AD569" s="2"/>
      <c r="AE569" s="22" t="s">
        <v>17</v>
      </c>
      <c r="AF569" s="23"/>
      <c r="AG569" s="24" t="s">
        <v>17</v>
      </c>
      <c r="AH569" s="24" t="s">
        <v>17</v>
      </c>
      <c r="AI569" s="1" t="s">
        <v>17</v>
      </c>
      <c r="AJ569" s="2" t="s">
        <v>17</v>
      </c>
      <c r="AK569" s="2" t="s">
        <v>17</v>
      </c>
      <c r="AL569" s="3"/>
      <c r="AM569" s="2"/>
      <c r="AN569" s="24" t="s">
        <v>17</v>
      </c>
      <c r="AO569" s="24" t="s">
        <v>17</v>
      </c>
      <c r="AP569" s="1" t="s">
        <v>17</v>
      </c>
      <c r="AQ569" s="2" t="s">
        <v>17</v>
      </c>
      <c r="AR569" s="2" t="s">
        <v>17</v>
      </c>
      <c r="AS569" s="3"/>
      <c r="AT569" s="2"/>
      <c r="AU569" s="4"/>
      <c r="AV569" s="2"/>
      <c r="AW569" s="1" t="s">
        <v>17</v>
      </c>
      <c r="AX569" s="2" t="s">
        <v>17</v>
      </c>
      <c r="AY569" s="2" t="s">
        <v>17</v>
      </c>
      <c r="AZ569" s="5"/>
      <c r="BA569" s="6"/>
      <c r="BB569" s="4"/>
      <c r="BC569" s="6"/>
      <c r="BD569" s="6"/>
      <c r="BE569" s="6"/>
      <c r="BF569" s="7"/>
    </row>
    <row r="570" spans="1:58" ht="18" customHeight="1">
      <c r="A570" s="107" t="s">
        <v>15</v>
      </c>
      <c r="B570" s="93" t="s">
        <v>548</v>
      </c>
      <c r="C570" s="42">
        <v>1233.5</v>
      </c>
      <c r="D570" s="42">
        <v>1233.6199999999999</v>
      </c>
      <c r="E570" s="42">
        <v>1233.56</v>
      </c>
      <c r="F570" s="42">
        <v>1233.56</v>
      </c>
      <c r="G570" s="43">
        <v>79791.242611428504</v>
      </c>
      <c r="H570" s="43">
        <v>76303.301472233303</v>
      </c>
      <c r="I570" s="27">
        <f t="shared" si="24"/>
        <v>2</v>
      </c>
      <c r="J570" s="27">
        <f t="shared" si="26"/>
        <v>2</v>
      </c>
      <c r="K570" s="27">
        <f t="shared" si="25"/>
        <v>2</v>
      </c>
      <c r="L570" s="25">
        <v>422.38195350000001</v>
      </c>
      <c r="M570" s="25">
        <v>417.67159698738885</v>
      </c>
      <c r="N570" s="38">
        <v>0.49601984535652122</v>
      </c>
      <c r="O570" s="38">
        <v>-5.8249798878974861</v>
      </c>
      <c r="P570" s="71">
        <v>-7.809059269323571</v>
      </c>
      <c r="Q570" s="53">
        <v>42431</v>
      </c>
      <c r="R570" s="23">
        <v>9</v>
      </c>
      <c r="S570" s="24">
        <v>422.5690065</v>
      </c>
      <c r="T570" s="24">
        <v>417.8768785652718</v>
      </c>
      <c r="U570" s="1">
        <v>0.49919589517832819</v>
      </c>
      <c r="V570" s="2">
        <v>-6.3861074131532636</v>
      </c>
      <c r="W570" s="2">
        <v>-8.3828909938665763</v>
      </c>
      <c r="X570" s="22">
        <v>42431</v>
      </c>
      <c r="Y570" s="23">
        <v>11</v>
      </c>
      <c r="Z570" s="24">
        <v>422.19490050000002</v>
      </c>
      <c r="AA570" s="24">
        <v>417.46631540950591</v>
      </c>
      <c r="AB570" s="1">
        <v>0.49284379553471425</v>
      </c>
      <c r="AC570" s="2">
        <v>-5.2638523626417077</v>
      </c>
      <c r="AD570" s="2">
        <v>-7.2352275447805647</v>
      </c>
      <c r="AE570" s="22" t="s">
        <v>17</v>
      </c>
      <c r="AF570" s="23"/>
      <c r="AG570" s="24" t="s">
        <v>17</v>
      </c>
      <c r="AH570" s="24" t="s">
        <v>17</v>
      </c>
      <c r="AI570" s="1" t="s">
        <v>17</v>
      </c>
      <c r="AJ570" s="2" t="s">
        <v>17</v>
      </c>
      <c r="AK570" s="2" t="s">
        <v>17</v>
      </c>
      <c r="AL570" s="3"/>
      <c r="AM570" s="2"/>
      <c r="AN570" s="24" t="s">
        <v>17</v>
      </c>
      <c r="AO570" s="24" t="s">
        <v>17</v>
      </c>
      <c r="AP570" s="1" t="s">
        <v>17</v>
      </c>
      <c r="AQ570" s="2" t="s">
        <v>17</v>
      </c>
      <c r="AR570" s="2" t="s">
        <v>17</v>
      </c>
      <c r="AS570" s="3"/>
      <c r="AT570" s="2"/>
      <c r="AU570" s="4"/>
      <c r="AV570" s="2"/>
      <c r="AW570" s="1" t="s">
        <v>17</v>
      </c>
      <c r="AX570" s="2" t="s">
        <v>17</v>
      </c>
      <c r="AY570" s="2" t="s">
        <v>17</v>
      </c>
      <c r="AZ570" s="5"/>
      <c r="BA570" s="6"/>
      <c r="BB570" s="4"/>
      <c r="BC570" s="6"/>
      <c r="BD570" s="6"/>
      <c r="BE570" s="6"/>
      <c r="BF570" s="7"/>
    </row>
    <row r="571" spans="1:58" ht="18" customHeight="1">
      <c r="A571" s="107" t="s">
        <v>15</v>
      </c>
      <c r="B571" s="93" t="s">
        <v>549</v>
      </c>
      <c r="C571" s="42">
        <v>1239.5</v>
      </c>
      <c r="D571" s="42">
        <v>1239.6199999999999</v>
      </c>
      <c r="E571" s="42">
        <v>1239.56</v>
      </c>
      <c r="F571" s="42">
        <v>1239.56</v>
      </c>
      <c r="G571" s="43">
        <v>80305.709693375306</v>
      </c>
      <c r="H571" s="43">
        <v>76808.566263782501</v>
      </c>
      <c r="I571" s="27">
        <f t="shared" si="24"/>
        <v>1</v>
      </c>
      <c r="J571" s="27">
        <f t="shared" si="26"/>
        <v>1</v>
      </c>
      <c r="K571" s="27">
        <f t="shared" si="25"/>
        <v>1</v>
      </c>
      <c r="L571" s="25">
        <v>437.74095650000004</v>
      </c>
      <c r="M571" s="25">
        <v>440.55508864763931</v>
      </c>
      <c r="N571" s="38">
        <v>0.49758214874873197</v>
      </c>
      <c r="O571" s="38">
        <v>-5.9852589835523995</v>
      </c>
      <c r="P571" s="71">
        <v>-7.9755875785473274</v>
      </c>
      <c r="Q571" s="53">
        <v>42524</v>
      </c>
      <c r="R571" s="23">
        <v>11</v>
      </c>
      <c r="S571" s="24">
        <v>437.74095650000004</v>
      </c>
      <c r="T571" s="24">
        <v>440.55508864763931</v>
      </c>
      <c r="U571" s="1">
        <v>0.49758214874873197</v>
      </c>
      <c r="V571" s="2">
        <v>-5.9852589835523995</v>
      </c>
      <c r="W571" s="2">
        <v>-7.9755875785473274</v>
      </c>
      <c r="X571" s="22" t="s">
        <v>17</v>
      </c>
      <c r="Y571" s="23"/>
      <c r="Z571" s="24" t="s">
        <v>17</v>
      </c>
      <c r="AA571" s="24" t="s">
        <v>17</v>
      </c>
      <c r="AB571" s="1" t="s">
        <v>17</v>
      </c>
      <c r="AC571" s="2" t="s">
        <v>17</v>
      </c>
      <c r="AD571" s="2" t="s">
        <v>17</v>
      </c>
      <c r="AE571" s="22" t="s">
        <v>17</v>
      </c>
      <c r="AF571" s="23"/>
      <c r="AG571" s="24" t="s">
        <v>17</v>
      </c>
      <c r="AH571" s="24" t="s">
        <v>17</v>
      </c>
      <c r="AI571" s="1" t="s">
        <v>17</v>
      </c>
      <c r="AJ571" s="2" t="s">
        <v>17</v>
      </c>
      <c r="AK571" s="2" t="s">
        <v>17</v>
      </c>
      <c r="AL571" s="3"/>
      <c r="AM571" s="2"/>
      <c r="AN571" s="24" t="s">
        <v>17</v>
      </c>
      <c r="AO571" s="24" t="s">
        <v>17</v>
      </c>
      <c r="AP571" s="1" t="s">
        <v>17</v>
      </c>
      <c r="AQ571" s="2" t="s">
        <v>17</v>
      </c>
      <c r="AR571" s="2" t="s">
        <v>17</v>
      </c>
      <c r="AS571" s="3"/>
      <c r="AT571" s="2"/>
      <c r="AU571" s="4"/>
      <c r="AV571" s="2"/>
      <c r="AW571" s="1" t="s">
        <v>17</v>
      </c>
      <c r="AX571" s="2" t="s">
        <v>17</v>
      </c>
      <c r="AY571" s="2" t="s">
        <v>17</v>
      </c>
      <c r="AZ571" s="5"/>
      <c r="BA571" s="6"/>
      <c r="BB571" s="4"/>
      <c r="BC571" s="6"/>
      <c r="BD571" s="6"/>
      <c r="BE571" s="6"/>
      <c r="BF571" s="7"/>
    </row>
    <row r="572" spans="1:58" ht="18" customHeight="1">
      <c r="A572" s="107" t="s">
        <v>15</v>
      </c>
      <c r="B572" s="93" t="s">
        <v>550</v>
      </c>
      <c r="C572" s="42">
        <v>1245</v>
      </c>
      <c r="D572" s="42">
        <v>1245.1199999999999</v>
      </c>
      <c r="E572" s="42">
        <v>1245.06</v>
      </c>
      <c r="F572" s="42">
        <v>1245.06</v>
      </c>
      <c r="G572" s="43">
        <v>80760.107175024299</v>
      </c>
      <c r="H572" s="43">
        <v>77335.389705838897</v>
      </c>
      <c r="I572" s="27">
        <f t="shared" si="24"/>
        <v>3</v>
      </c>
      <c r="J572" s="27">
        <f t="shared" si="26"/>
        <v>3</v>
      </c>
      <c r="K572" s="27">
        <f t="shared" si="25"/>
        <v>2</v>
      </c>
      <c r="L572" s="25">
        <v>460.34239700000006</v>
      </c>
      <c r="M572" s="25">
        <v>458.29788786423791</v>
      </c>
      <c r="N572" s="38">
        <v>0.48753894619157911</v>
      </c>
      <c r="O572" s="38">
        <v>2.1865351994665438</v>
      </c>
      <c r="P572" s="71">
        <v>0.24132786176744858</v>
      </c>
      <c r="Q572" s="53">
        <v>42433</v>
      </c>
      <c r="R572" s="23">
        <v>9</v>
      </c>
      <c r="S572" s="24">
        <v>460.36301049999997</v>
      </c>
      <c r="T572" s="24">
        <v>455.81574886616448</v>
      </c>
      <c r="U572" s="1">
        <v>0.48229927758569602</v>
      </c>
      <c r="V572" s="2">
        <v>1.9440029212249854</v>
      </c>
      <c r="W572" s="2">
        <v>1.4805810882201342E-2</v>
      </c>
      <c r="X572" s="22">
        <v>42433</v>
      </c>
      <c r="Y572" s="23">
        <v>11</v>
      </c>
      <c r="Z572" s="24">
        <v>458.1319785</v>
      </c>
      <c r="AA572" s="24">
        <v>453.61743516095544</v>
      </c>
      <c r="AB572" s="1">
        <v>0.49030439126385161</v>
      </c>
      <c r="AC572" s="2">
        <v>2.4290674777081023</v>
      </c>
      <c r="AD572" s="2">
        <v>0.46784991265269582</v>
      </c>
      <c r="AE572" s="22">
        <v>42502</v>
      </c>
      <c r="AF572" s="23" t="s">
        <v>88</v>
      </c>
      <c r="AG572" s="24">
        <v>462.53220199999998</v>
      </c>
      <c r="AH572" s="24">
        <v>465.46047956559374</v>
      </c>
      <c r="AI572" s="1">
        <v>0.49001316972518971</v>
      </c>
      <c r="AJ572" s="2"/>
      <c r="AK572" s="2"/>
      <c r="AL572" s="3"/>
      <c r="AM572" s="2"/>
      <c r="AN572" s="24" t="s">
        <v>17</v>
      </c>
      <c r="AO572" s="24" t="s">
        <v>17</v>
      </c>
      <c r="AP572" s="1" t="s">
        <v>17</v>
      </c>
      <c r="AQ572" s="2" t="s">
        <v>17</v>
      </c>
      <c r="AR572" s="2" t="s">
        <v>17</v>
      </c>
      <c r="AS572" s="3"/>
      <c r="AT572" s="2"/>
      <c r="AU572" s="4"/>
      <c r="AV572" s="2"/>
      <c r="AW572" s="1" t="s">
        <v>17</v>
      </c>
      <c r="AX572" s="2" t="s">
        <v>17</v>
      </c>
      <c r="AY572" s="2" t="s">
        <v>17</v>
      </c>
      <c r="AZ572" s="5"/>
      <c r="BA572" s="6"/>
      <c r="BB572" s="4"/>
      <c r="BC572" s="6"/>
      <c r="BD572" s="6"/>
      <c r="BE572" s="6"/>
      <c r="BF572" s="7"/>
    </row>
    <row r="573" spans="1:58" ht="18" customHeight="1">
      <c r="A573" s="107" t="s">
        <v>15</v>
      </c>
      <c r="B573" s="93" t="s">
        <v>551</v>
      </c>
      <c r="C573" s="42">
        <v>1249.5</v>
      </c>
      <c r="D573" s="42">
        <v>1249.5999999999999</v>
      </c>
      <c r="E573" s="42">
        <v>1249.55</v>
      </c>
      <c r="F573" s="42">
        <v>1249.55</v>
      </c>
      <c r="G573" s="43">
        <v>81112.839668144705</v>
      </c>
      <c r="H573" s="43">
        <v>77703.402576618304</v>
      </c>
      <c r="I573" s="27">
        <f t="shared" si="24"/>
        <v>1</v>
      </c>
      <c r="J573" s="27">
        <f t="shared" si="26"/>
        <v>1</v>
      </c>
      <c r="K573" s="27">
        <f t="shared" si="25"/>
        <v>1</v>
      </c>
      <c r="L573" s="25">
        <v>449.19319899999999</v>
      </c>
      <c r="M573" s="25">
        <v>452.0180565403362</v>
      </c>
      <c r="N573" s="38">
        <v>0.48674428947492743</v>
      </c>
      <c r="O573" s="38">
        <v>-8.4113503907927711</v>
      </c>
      <c r="P573" s="71">
        <v>-10.358327548692481</v>
      </c>
      <c r="Q573" s="53">
        <v>42509</v>
      </c>
      <c r="R573" s="23">
        <v>11</v>
      </c>
      <c r="S573" s="24">
        <v>449.19319899999999</v>
      </c>
      <c r="T573" s="24">
        <v>452.0180565403362</v>
      </c>
      <c r="U573" s="1">
        <v>0.48674428947492743</v>
      </c>
      <c r="V573" s="2">
        <v>-8.4113503907927711</v>
      </c>
      <c r="W573" s="2">
        <v>-10.358327548692481</v>
      </c>
      <c r="X573" s="22" t="s">
        <v>17</v>
      </c>
      <c r="Y573" s="23"/>
      <c r="Z573" s="24" t="s">
        <v>17</v>
      </c>
      <c r="AA573" s="24" t="s">
        <v>17</v>
      </c>
      <c r="AB573" s="1" t="s">
        <v>17</v>
      </c>
      <c r="AC573" s="2" t="s">
        <v>17</v>
      </c>
      <c r="AD573" s="2" t="s">
        <v>17</v>
      </c>
      <c r="AE573" s="22" t="s">
        <v>17</v>
      </c>
      <c r="AF573" s="23"/>
      <c r="AG573" s="24" t="s">
        <v>17</v>
      </c>
      <c r="AH573" s="24" t="s">
        <v>17</v>
      </c>
      <c r="AI573" s="1" t="s">
        <v>17</v>
      </c>
      <c r="AJ573" s="2" t="s">
        <v>17</v>
      </c>
      <c r="AK573" s="2" t="s">
        <v>17</v>
      </c>
      <c r="AL573" s="3"/>
      <c r="AM573" s="2"/>
      <c r="AN573" s="24" t="s">
        <v>17</v>
      </c>
      <c r="AO573" s="24" t="s">
        <v>17</v>
      </c>
      <c r="AP573" s="1" t="s">
        <v>17</v>
      </c>
      <c r="AQ573" s="2" t="s">
        <v>17</v>
      </c>
      <c r="AR573" s="2" t="s">
        <v>17</v>
      </c>
      <c r="AS573" s="3"/>
      <c r="AT573" s="2"/>
      <c r="AU573" s="4"/>
      <c r="AV573" s="2"/>
      <c r="AW573" s="1" t="s">
        <v>17</v>
      </c>
      <c r="AX573" s="2" t="s">
        <v>17</v>
      </c>
      <c r="AY573" s="2" t="s">
        <v>17</v>
      </c>
      <c r="AZ573" s="5"/>
      <c r="BA573" s="6"/>
      <c r="BB573" s="4"/>
      <c r="BC573" s="6"/>
      <c r="BD573" s="6"/>
      <c r="BE573" s="6"/>
      <c r="BF573" s="7"/>
    </row>
    <row r="574" spans="1:58" ht="18" customHeight="1">
      <c r="A574" s="107" t="s">
        <v>15</v>
      </c>
      <c r="B574" s="93" t="s">
        <v>552</v>
      </c>
      <c r="C574" s="42">
        <v>1256</v>
      </c>
      <c r="D574" s="42">
        <v>1256.1199999999999</v>
      </c>
      <c r="E574" s="42">
        <v>1256.06</v>
      </c>
      <c r="F574" s="42">
        <v>1256.06</v>
      </c>
      <c r="G574" s="43">
        <v>81605.147359060895</v>
      </c>
      <c r="H574" s="43">
        <v>78259.911333086202</v>
      </c>
      <c r="I574" s="27">
        <f t="shared" si="24"/>
        <v>3</v>
      </c>
      <c r="J574" s="27">
        <f t="shared" si="26"/>
        <v>3</v>
      </c>
      <c r="K574" s="27">
        <f t="shared" si="25"/>
        <v>2</v>
      </c>
      <c r="L574" s="25">
        <v>485.166943</v>
      </c>
      <c r="M574" s="25">
        <v>483.29229493544091</v>
      </c>
      <c r="N574" s="38">
        <v>0.48968837842200408</v>
      </c>
      <c r="O574" s="38">
        <v>-10.0343763015604</v>
      </c>
      <c r="P574" s="71">
        <v>-11.978932535043619</v>
      </c>
      <c r="Q574" s="53">
        <v>42438</v>
      </c>
      <c r="R574" s="23">
        <v>11</v>
      </c>
      <c r="S574" s="24">
        <v>486.12193000000002</v>
      </c>
      <c r="T574" s="24">
        <v>481.76393537914862</v>
      </c>
      <c r="U574" s="1">
        <v>0.48694811805205518</v>
      </c>
      <c r="V574" s="2">
        <v>-9.9662896805068346</v>
      </c>
      <c r="W574" s="2">
        <v>-11.914082152715055</v>
      </c>
      <c r="X574" s="22">
        <v>42438</v>
      </c>
      <c r="Y574" s="23">
        <v>13</v>
      </c>
      <c r="Z574" s="24">
        <v>484.26620350000002</v>
      </c>
      <c r="AA574" s="24">
        <v>479.88656377695065</v>
      </c>
      <c r="AB574" s="1">
        <v>0.48532999868955429</v>
      </c>
      <c r="AC574" s="2">
        <v>-10.102462922613963</v>
      </c>
      <c r="AD574" s="2">
        <v>-12.04378291737218</v>
      </c>
      <c r="AE574" s="22">
        <v>42507</v>
      </c>
      <c r="AF574" s="23" t="s">
        <v>88</v>
      </c>
      <c r="AG574" s="24">
        <v>485.11269549999997</v>
      </c>
      <c r="AH574" s="24">
        <v>488.22638565022345</v>
      </c>
      <c r="AI574" s="1">
        <v>0.49678701852440277</v>
      </c>
      <c r="AJ574" s="2"/>
      <c r="AK574" s="2"/>
      <c r="AL574" s="3"/>
      <c r="AM574" s="2"/>
      <c r="AN574" s="24" t="s">
        <v>17</v>
      </c>
      <c r="AO574" s="24" t="s">
        <v>17</v>
      </c>
      <c r="AP574" s="1" t="s">
        <v>17</v>
      </c>
      <c r="AQ574" s="2" t="s">
        <v>17</v>
      </c>
      <c r="AR574" s="2" t="s">
        <v>17</v>
      </c>
      <c r="AS574" s="3"/>
      <c r="AT574" s="2"/>
      <c r="AU574" s="4"/>
      <c r="AV574" s="2"/>
      <c r="AW574" s="1" t="s">
        <v>17</v>
      </c>
      <c r="AX574" s="2" t="s">
        <v>17</v>
      </c>
      <c r="AY574" s="2" t="s">
        <v>17</v>
      </c>
      <c r="AZ574" s="5"/>
      <c r="BA574" s="6"/>
      <c r="BB574" s="4"/>
      <c r="BC574" s="6"/>
      <c r="BD574" s="6"/>
      <c r="BE574" s="6"/>
      <c r="BF574" s="7"/>
    </row>
    <row r="575" spans="1:58" ht="18" customHeight="1">
      <c r="A575" s="106" t="s">
        <v>15</v>
      </c>
      <c r="B575" s="93" t="s">
        <v>553</v>
      </c>
      <c r="C575" s="46">
        <v>1258.7370000000008</v>
      </c>
      <c r="D575" s="46">
        <v>1258.7620000000009</v>
      </c>
      <c r="E575" s="46">
        <v>1258.7495000000006</v>
      </c>
      <c r="F575" s="46">
        <v>1258.7495000000006</v>
      </c>
      <c r="G575" s="43">
        <v>81820.327420546499</v>
      </c>
      <c r="H575" s="43">
        <v>78499.754337080507</v>
      </c>
      <c r="I575" s="27">
        <f t="shared" si="24"/>
        <v>0</v>
      </c>
      <c r="J575" s="27">
        <f t="shared" si="26"/>
        <v>1</v>
      </c>
      <c r="K575" s="27">
        <f t="shared" si="25"/>
        <v>1</v>
      </c>
      <c r="L575" s="25"/>
      <c r="M575" s="25"/>
      <c r="N575" s="38">
        <v>0.48683995865834484</v>
      </c>
      <c r="O575" s="38">
        <v>-4.3106353665711277</v>
      </c>
      <c r="P575" s="71">
        <v>-6.2579952012045066</v>
      </c>
      <c r="Q575" s="53">
        <v>42787</v>
      </c>
      <c r="R575" s="23">
        <v>11</v>
      </c>
      <c r="S575" s="24"/>
      <c r="T575" s="24"/>
      <c r="U575" s="1">
        <v>0.48683995865834484</v>
      </c>
      <c r="V575" s="2">
        <v>-4.3106353665711277</v>
      </c>
      <c r="W575" s="2">
        <v>-6.2579952012045066</v>
      </c>
      <c r="X575" s="22"/>
      <c r="Y575" s="23"/>
      <c r="Z575" s="24"/>
      <c r="AA575" s="24"/>
      <c r="AB575" s="1"/>
      <c r="AC575" s="2"/>
      <c r="AD575" s="2"/>
      <c r="AE575" s="22"/>
      <c r="AF575" s="23"/>
      <c r="AG575" s="24"/>
      <c r="AH575" s="24"/>
      <c r="AI575" s="1"/>
      <c r="AJ575" s="2"/>
      <c r="AK575" s="2"/>
      <c r="AL575" s="3"/>
      <c r="AM575" s="2"/>
      <c r="AN575" s="24"/>
      <c r="AO575" s="24"/>
      <c r="AP575" s="1"/>
      <c r="AQ575" s="2"/>
      <c r="AR575" s="2"/>
      <c r="AS575" s="3"/>
      <c r="AT575" s="2"/>
      <c r="AU575" s="4"/>
      <c r="AV575" s="2"/>
      <c r="AW575" s="1"/>
      <c r="AX575" s="2"/>
      <c r="AY575" s="2"/>
      <c r="AZ575" s="5"/>
      <c r="BA575" s="6"/>
      <c r="BB575" s="4"/>
      <c r="BC575" s="6"/>
      <c r="BD575" s="6"/>
      <c r="BE575" s="6"/>
      <c r="BF575" s="7"/>
    </row>
    <row r="576" spans="1:58" ht="18" customHeight="1">
      <c r="A576" s="107" t="s">
        <v>15</v>
      </c>
      <c r="B576" s="93" t="s">
        <v>554</v>
      </c>
      <c r="C576" s="42">
        <v>1267</v>
      </c>
      <c r="D576" s="42">
        <v>1267.1199999999999</v>
      </c>
      <c r="E576" s="42">
        <v>1267.06</v>
      </c>
      <c r="F576" s="42">
        <v>1267.06</v>
      </c>
      <c r="G576" s="43">
        <v>82477.429502106301</v>
      </c>
      <c r="H576" s="43">
        <v>79285.318592369906</v>
      </c>
      <c r="I576" s="27">
        <f t="shared" si="24"/>
        <v>2</v>
      </c>
      <c r="J576" s="27">
        <f t="shared" si="26"/>
        <v>1</v>
      </c>
      <c r="K576" s="27">
        <f t="shared" si="25"/>
        <v>1</v>
      </c>
      <c r="L576" s="25">
        <v>496.02538525</v>
      </c>
      <c r="M576" s="25">
        <v>499.25159032417457</v>
      </c>
      <c r="N576" s="38">
        <v>0.50341430603406678</v>
      </c>
      <c r="O576" s="38">
        <v>-5.050792066187082</v>
      </c>
      <c r="P576" s="71">
        <v>-7.0644492903233491</v>
      </c>
      <c r="Q576" s="53">
        <v>42409</v>
      </c>
      <c r="R576" s="23">
        <v>8</v>
      </c>
      <c r="S576" s="24">
        <v>498.09420599999999</v>
      </c>
      <c r="T576" s="24">
        <v>501.33386691776576</v>
      </c>
      <c r="U576" s="1"/>
      <c r="V576" s="2"/>
      <c r="W576" s="2"/>
      <c r="X576" s="22">
        <v>42409</v>
      </c>
      <c r="Y576" s="23">
        <v>11</v>
      </c>
      <c r="Z576" s="24">
        <v>493.95656450000001</v>
      </c>
      <c r="AA576" s="24">
        <v>497.16931373058333</v>
      </c>
      <c r="AB576" s="1">
        <v>0.50341430603406678</v>
      </c>
      <c r="AC576" s="2">
        <v>-5.050792066187082</v>
      </c>
      <c r="AD576" s="2">
        <v>-7.0644492903233491</v>
      </c>
      <c r="AE576" s="22" t="s">
        <v>17</v>
      </c>
      <c r="AF576" s="23"/>
      <c r="AG576" s="24" t="s">
        <v>17</v>
      </c>
      <c r="AH576" s="24" t="s">
        <v>17</v>
      </c>
      <c r="AI576" s="1" t="s">
        <v>17</v>
      </c>
      <c r="AJ576" s="2" t="s">
        <v>17</v>
      </c>
      <c r="AK576" s="2" t="s">
        <v>17</v>
      </c>
      <c r="AL576" s="3"/>
      <c r="AM576" s="2"/>
      <c r="AN576" s="24" t="s">
        <v>17</v>
      </c>
      <c r="AO576" s="24" t="s">
        <v>17</v>
      </c>
      <c r="AP576" s="1" t="s">
        <v>17</v>
      </c>
      <c r="AQ576" s="2" t="s">
        <v>17</v>
      </c>
      <c r="AR576" s="2" t="s">
        <v>17</v>
      </c>
      <c r="AS576" s="3"/>
      <c r="AT576" s="2"/>
      <c r="AU576" s="4"/>
      <c r="AV576" s="2"/>
      <c r="AW576" s="1" t="s">
        <v>17</v>
      </c>
      <c r="AX576" s="2" t="s">
        <v>17</v>
      </c>
      <c r="AY576" s="2" t="s">
        <v>17</v>
      </c>
      <c r="AZ576" s="5"/>
      <c r="BA576" s="6"/>
      <c r="BB576" s="4"/>
      <c r="BC576" s="6"/>
      <c r="BD576" s="6"/>
      <c r="BE576" s="6"/>
      <c r="BF576" s="7"/>
    </row>
    <row r="577" spans="1:58" ht="18" customHeight="1">
      <c r="A577" s="107" t="s">
        <v>15</v>
      </c>
      <c r="B577" s="93" t="s">
        <v>555</v>
      </c>
      <c r="C577" s="42">
        <v>1272</v>
      </c>
      <c r="D577" s="42">
        <v>1272.075</v>
      </c>
      <c r="E577" s="42">
        <v>1272.0374999999999</v>
      </c>
      <c r="F577" s="42">
        <v>1272.0374999999999</v>
      </c>
      <c r="G577" s="43">
        <v>82880.635001913193</v>
      </c>
      <c r="H577" s="43">
        <v>79745.047214402395</v>
      </c>
      <c r="I577" s="27">
        <f t="shared" si="24"/>
        <v>1</v>
      </c>
      <c r="J577" s="27">
        <f t="shared" si="26"/>
        <v>1</v>
      </c>
      <c r="K577" s="27">
        <f t="shared" si="25"/>
        <v>1</v>
      </c>
      <c r="L577" s="25">
        <v>501.16698100000002</v>
      </c>
      <c r="M577" s="25">
        <v>504.37849620409224</v>
      </c>
      <c r="N577" s="38">
        <v>0.49598097573477773</v>
      </c>
      <c r="O577" s="38">
        <v>-0.87092494812568422</v>
      </c>
      <c r="P577" s="71">
        <v>-2.8548488510647951</v>
      </c>
      <c r="Q577" s="53">
        <v>42509</v>
      </c>
      <c r="R577" s="23">
        <v>11</v>
      </c>
      <c r="S577" s="24">
        <v>501.16698100000002</v>
      </c>
      <c r="T577" s="24">
        <v>504.37849620409224</v>
      </c>
      <c r="U577" s="1">
        <v>0.49598097573477773</v>
      </c>
      <c r="V577" s="2">
        <v>-0.87092494812568422</v>
      </c>
      <c r="W577" s="2">
        <v>-2.8548488510647951</v>
      </c>
      <c r="X577" s="22" t="s">
        <v>17</v>
      </c>
      <c r="Y577" s="23"/>
      <c r="Z577" s="24" t="s">
        <v>17</v>
      </c>
      <c r="AA577" s="24" t="s">
        <v>17</v>
      </c>
      <c r="AB577" s="1" t="s">
        <v>17</v>
      </c>
      <c r="AC577" s="2" t="s">
        <v>17</v>
      </c>
      <c r="AD577" s="2" t="s">
        <v>17</v>
      </c>
      <c r="AE577" s="22" t="s">
        <v>17</v>
      </c>
      <c r="AF577" s="23"/>
      <c r="AG577" s="24" t="s">
        <v>17</v>
      </c>
      <c r="AH577" s="24" t="s">
        <v>17</v>
      </c>
      <c r="AI577" s="1" t="s">
        <v>17</v>
      </c>
      <c r="AJ577" s="2" t="s">
        <v>17</v>
      </c>
      <c r="AK577" s="2" t="s">
        <v>17</v>
      </c>
      <c r="AL577" s="3"/>
      <c r="AM577" s="2"/>
      <c r="AN577" s="24" t="s">
        <v>17</v>
      </c>
      <c r="AO577" s="24" t="s">
        <v>17</v>
      </c>
      <c r="AP577" s="1" t="s">
        <v>17</v>
      </c>
      <c r="AQ577" s="2" t="s">
        <v>17</v>
      </c>
      <c r="AR577" s="2" t="s">
        <v>17</v>
      </c>
      <c r="AS577" s="3"/>
      <c r="AT577" s="2"/>
      <c r="AU577" s="4"/>
      <c r="AV577" s="2"/>
      <c r="AW577" s="1" t="s">
        <v>17</v>
      </c>
      <c r="AX577" s="2" t="s">
        <v>17</v>
      </c>
      <c r="AY577" s="2" t="s">
        <v>17</v>
      </c>
      <c r="AZ577" s="5"/>
      <c r="BA577" s="6"/>
      <c r="BB577" s="4"/>
      <c r="BC577" s="6"/>
      <c r="BD577" s="6"/>
      <c r="BE577" s="6"/>
      <c r="BF577" s="7"/>
    </row>
    <row r="578" spans="1:58" ht="18" customHeight="1">
      <c r="A578" s="107" t="s">
        <v>15</v>
      </c>
      <c r="B578" s="93" t="s">
        <v>556</v>
      </c>
      <c r="C578" s="42">
        <v>1277</v>
      </c>
      <c r="D578" s="42">
        <v>1277.1199999999999</v>
      </c>
      <c r="E578" s="42">
        <v>1277.06</v>
      </c>
      <c r="F578" s="42">
        <v>1277.06</v>
      </c>
      <c r="G578" s="43">
        <v>83289.065507598105</v>
      </c>
      <c r="H578" s="43">
        <v>80179.332655546095</v>
      </c>
      <c r="I578" s="27">
        <f t="shared" si="24"/>
        <v>2</v>
      </c>
      <c r="J578" s="27">
        <f t="shared" si="26"/>
        <v>2</v>
      </c>
      <c r="K578" s="27">
        <f t="shared" si="25"/>
        <v>1</v>
      </c>
      <c r="L578" s="25">
        <v>528.50049724999997</v>
      </c>
      <c r="M578" s="25">
        <v>528.16828297625807</v>
      </c>
      <c r="N578" s="38">
        <v>0.49444844682322575</v>
      </c>
      <c r="O578" s="38">
        <v>-10.038898922602346</v>
      </c>
      <c r="P578" s="71">
        <v>-12.005070320432853</v>
      </c>
      <c r="Q578" s="53">
        <v>42460</v>
      </c>
      <c r="R578" s="23">
        <v>11</v>
      </c>
      <c r="S578" s="24">
        <v>528.97386849999998</v>
      </c>
      <c r="T578" s="24">
        <v>524.9164357213931</v>
      </c>
      <c r="U578" s="1">
        <v>0.49154284945762683</v>
      </c>
      <c r="V578" s="2">
        <v>-10.038898922602346</v>
      </c>
      <c r="W578" s="2">
        <v>-12.005070320432853</v>
      </c>
      <c r="X578" s="22">
        <v>42507</v>
      </c>
      <c r="Y578" s="23" t="s">
        <v>88</v>
      </c>
      <c r="Z578" s="24">
        <v>528.02712599999995</v>
      </c>
      <c r="AA578" s="24">
        <v>531.42013023112293</v>
      </c>
      <c r="AB578" s="1">
        <v>0.49735404418882467</v>
      </c>
      <c r="AC578" s="2"/>
      <c r="AD578" s="2"/>
      <c r="AE578" s="22" t="s">
        <v>17</v>
      </c>
      <c r="AF578" s="23"/>
      <c r="AG578" s="24" t="s">
        <v>17</v>
      </c>
      <c r="AH578" s="24" t="s">
        <v>17</v>
      </c>
      <c r="AI578" s="1" t="s">
        <v>17</v>
      </c>
      <c r="AJ578" s="2" t="s">
        <v>17</v>
      </c>
      <c r="AK578" s="2" t="s">
        <v>17</v>
      </c>
      <c r="AL578" s="3"/>
      <c r="AM578" s="2"/>
      <c r="AN578" s="24" t="s">
        <v>17</v>
      </c>
      <c r="AO578" s="24" t="s">
        <v>17</v>
      </c>
      <c r="AP578" s="1" t="s">
        <v>17</v>
      </c>
      <c r="AQ578" s="2" t="s">
        <v>17</v>
      </c>
      <c r="AR578" s="2" t="s">
        <v>17</v>
      </c>
      <c r="AS578" s="3"/>
      <c r="AT578" s="2"/>
      <c r="AU578" s="4"/>
      <c r="AV578" s="2"/>
      <c r="AW578" s="1" t="s">
        <v>17</v>
      </c>
      <c r="AX578" s="2" t="s">
        <v>17</v>
      </c>
      <c r="AY578" s="2" t="s">
        <v>17</v>
      </c>
      <c r="AZ578" s="5"/>
      <c r="BA578" s="6"/>
      <c r="BB578" s="4"/>
      <c r="BC578" s="6"/>
      <c r="BD578" s="6"/>
      <c r="BE578" s="6"/>
      <c r="BF578" s="7"/>
    </row>
    <row r="579" spans="1:58" ht="18" customHeight="1">
      <c r="A579" s="107" t="s">
        <v>15</v>
      </c>
      <c r="B579" s="93" t="s">
        <v>557</v>
      </c>
      <c r="C579" s="42">
        <v>1283</v>
      </c>
      <c r="D579" s="42">
        <v>1283.1199999999999</v>
      </c>
      <c r="E579" s="42">
        <v>1283.06</v>
      </c>
      <c r="F579" s="42">
        <v>1283.06</v>
      </c>
      <c r="G579" s="43">
        <v>83722.997087909403</v>
      </c>
      <c r="H579" s="43">
        <v>80713.772559438294</v>
      </c>
      <c r="I579" s="27">
        <f t="shared" si="24"/>
        <v>2</v>
      </c>
      <c r="J579" s="27">
        <f t="shared" si="26"/>
        <v>2</v>
      </c>
      <c r="K579" s="27">
        <f t="shared" si="25"/>
        <v>2</v>
      </c>
      <c r="L579" s="25">
        <v>547.16155475000005</v>
      </c>
      <c r="M579" s="25">
        <v>550.48133773730251</v>
      </c>
      <c r="N579" s="38">
        <v>0.46961466735950808</v>
      </c>
      <c r="O579" s="38">
        <v>-3.5767221314556563</v>
      </c>
      <c r="P579" s="71">
        <v>-5.4551808008936886</v>
      </c>
      <c r="Q579" s="53">
        <v>42524</v>
      </c>
      <c r="R579" s="23">
        <v>12</v>
      </c>
      <c r="S579" s="24">
        <v>548.59253100000001</v>
      </c>
      <c r="T579" s="24">
        <v>551.89163218318299</v>
      </c>
      <c r="U579" s="1">
        <v>0.46546092839760966</v>
      </c>
      <c r="V579" s="2">
        <v>-3.2528631125156027</v>
      </c>
      <c r="W579" s="2">
        <v>-5.1147068261060413</v>
      </c>
      <c r="X579" s="22">
        <v>42524</v>
      </c>
      <c r="Y579" s="23">
        <v>12</v>
      </c>
      <c r="Z579" s="24">
        <v>545.73057849999998</v>
      </c>
      <c r="AA579" s="24">
        <v>549.07104329142192</v>
      </c>
      <c r="AB579" s="1">
        <v>0.47376840632140649</v>
      </c>
      <c r="AC579" s="2">
        <v>-3.90058115039571</v>
      </c>
      <c r="AD579" s="2">
        <v>-5.7956547756813359</v>
      </c>
      <c r="AE579" s="22" t="s">
        <v>17</v>
      </c>
      <c r="AF579" s="23"/>
      <c r="AG579" s="24" t="s">
        <v>17</v>
      </c>
      <c r="AH579" s="24" t="s">
        <v>17</v>
      </c>
      <c r="AI579" s="1" t="s">
        <v>17</v>
      </c>
      <c r="AJ579" s="2" t="s">
        <v>17</v>
      </c>
      <c r="AK579" s="2" t="s">
        <v>17</v>
      </c>
      <c r="AL579" s="3"/>
      <c r="AM579" s="2"/>
      <c r="AN579" s="24" t="s">
        <v>17</v>
      </c>
      <c r="AO579" s="24" t="s">
        <v>17</v>
      </c>
      <c r="AP579" s="1" t="s">
        <v>17</v>
      </c>
      <c r="AQ579" s="2" t="s">
        <v>17</v>
      </c>
      <c r="AR579" s="2" t="s">
        <v>17</v>
      </c>
      <c r="AS579" s="3"/>
      <c r="AT579" s="2"/>
      <c r="AU579" s="4"/>
      <c r="AV579" s="2"/>
      <c r="AW579" s="1" t="s">
        <v>17</v>
      </c>
      <c r="AX579" s="2" t="s">
        <v>17</v>
      </c>
      <c r="AY579" s="2" t="s">
        <v>17</v>
      </c>
      <c r="AZ579" s="5"/>
      <c r="BA579" s="6"/>
      <c r="BB579" s="4"/>
      <c r="BC579" s="6"/>
      <c r="BD579" s="6"/>
      <c r="BE579" s="6"/>
      <c r="BF579" s="7"/>
    </row>
    <row r="580" spans="1:58" ht="18" customHeight="1">
      <c r="A580" s="107" t="s">
        <v>15</v>
      </c>
      <c r="B580" s="93" t="s">
        <v>558</v>
      </c>
      <c r="C580" s="42">
        <v>1288</v>
      </c>
      <c r="D580" s="42">
        <v>1288.1199999999999</v>
      </c>
      <c r="E580" s="42">
        <v>1288.06</v>
      </c>
      <c r="F580" s="42">
        <v>1288.06</v>
      </c>
      <c r="G580" s="43">
        <v>84106.136184380899</v>
      </c>
      <c r="H580" s="43">
        <v>81111.309684148</v>
      </c>
      <c r="I580" s="27">
        <f t="shared" si="24"/>
        <v>2</v>
      </c>
      <c r="J580" s="27">
        <f t="shared" si="26"/>
        <v>1</v>
      </c>
      <c r="K580" s="27">
        <f t="shared" si="25"/>
        <v>1</v>
      </c>
      <c r="L580" s="25">
        <v>548.16073899999992</v>
      </c>
      <c r="M580" s="25">
        <v>544.19790621642119</v>
      </c>
      <c r="N580" s="38">
        <v>0.4876426570055159</v>
      </c>
      <c r="O580" s="38">
        <v>-4.0185156393047761</v>
      </c>
      <c r="P580" s="71">
        <v>-5.9690862673268397</v>
      </c>
      <c r="Q580" s="53">
        <v>42433</v>
      </c>
      <c r="R580" s="23">
        <v>9</v>
      </c>
      <c r="S580" s="24">
        <v>550.70221600000002</v>
      </c>
      <c r="T580" s="24">
        <v>546.75539539357442</v>
      </c>
      <c r="U580" s="1"/>
      <c r="V580" s="2"/>
      <c r="W580" s="2"/>
      <c r="X580" s="22">
        <v>42433</v>
      </c>
      <c r="Y580" s="23">
        <v>11</v>
      </c>
      <c r="Z580" s="24">
        <v>545.61926199999994</v>
      </c>
      <c r="AA580" s="24">
        <v>541.64041703926785</v>
      </c>
      <c r="AB580" s="1">
        <v>0.4876426570055159</v>
      </c>
      <c r="AC580" s="2">
        <v>-4.0185156393047761</v>
      </c>
      <c r="AD580" s="2">
        <v>-5.9690862673268397</v>
      </c>
      <c r="AE580" s="22" t="s">
        <v>17</v>
      </c>
      <c r="AF580" s="23"/>
      <c r="AG580" s="24" t="s">
        <v>17</v>
      </c>
      <c r="AH580" s="24" t="s">
        <v>17</v>
      </c>
      <c r="AI580" s="1" t="s">
        <v>17</v>
      </c>
      <c r="AJ580" s="2" t="s">
        <v>17</v>
      </c>
      <c r="AK580" s="2" t="s">
        <v>17</v>
      </c>
      <c r="AL580" s="3"/>
      <c r="AM580" s="2"/>
      <c r="AN580" s="24" t="s">
        <v>17</v>
      </c>
      <c r="AO580" s="24" t="s">
        <v>17</v>
      </c>
      <c r="AP580" s="1" t="s">
        <v>17</v>
      </c>
      <c r="AQ580" s="2" t="s">
        <v>17</v>
      </c>
      <c r="AR580" s="2" t="s">
        <v>17</v>
      </c>
      <c r="AS580" s="3"/>
      <c r="AT580" s="2"/>
      <c r="AU580" s="4"/>
      <c r="AV580" s="2"/>
      <c r="AW580" s="1" t="s">
        <v>17</v>
      </c>
      <c r="AX580" s="2" t="s">
        <v>17</v>
      </c>
      <c r="AY580" s="2" t="s">
        <v>17</v>
      </c>
      <c r="AZ580" s="11"/>
      <c r="BA580" s="12"/>
      <c r="BB580" s="4"/>
      <c r="BC580" s="12"/>
      <c r="BD580" s="12"/>
      <c r="BE580" s="12"/>
      <c r="BF580" s="13"/>
    </row>
    <row r="581" spans="1:58" ht="18" customHeight="1">
      <c r="A581" s="107" t="s">
        <v>15</v>
      </c>
      <c r="B581" s="93" t="s">
        <v>559</v>
      </c>
      <c r="C581" s="42">
        <v>1292.5</v>
      </c>
      <c r="D581" s="42">
        <v>1292.6199999999999</v>
      </c>
      <c r="E581" s="42">
        <v>1292.56</v>
      </c>
      <c r="F581" s="42">
        <v>1292.56</v>
      </c>
      <c r="G581" s="43">
        <v>84437.5358886256</v>
      </c>
      <c r="H581" s="43">
        <v>81449.983244824398</v>
      </c>
      <c r="I581" s="27">
        <f t="shared" si="24"/>
        <v>1</v>
      </c>
      <c r="J581" s="27">
        <f t="shared" si="26"/>
        <v>1</v>
      </c>
      <c r="K581" s="27">
        <f t="shared" si="25"/>
        <v>1</v>
      </c>
      <c r="L581" s="25">
        <v>561.35526349999998</v>
      </c>
      <c r="M581" s="25">
        <v>564.97950372065236</v>
      </c>
      <c r="N581" s="38">
        <v>0.49970841498470087</v>
      </c>
      <c r="O581" s="38">
        <v>-3.2478447961862278</v>
      </c>
      <c r="P581" s="71">
        <v>-5.2466784561250313</v>
      </c>
      <c r="Q581" s="53">
        <v>42524</v>
      </c>
      <c r="R581" s="23">
        <v>11</v>
      </c>
      <c r="S581" s="24">
        <v>561.35526349999998</v>
      </c>
      <c r="T581" s="24">
        <v>564.97950372065236</v>
      </c>
      <c r="U581" s="1">
        <v>0.49970841498470087</v>
      </c>
      <c r="V581" s="2">
        <v>-3.2478447961862278</v>
      </c>
      <c r="W581" s="2">
        <v>-5.2466784561250313</v>
      </c>
      <c r="X581" s="22" t="s">
        <v>17</v>
      </c>
      <c r="Y581" s="23"/>
      <c r="Z581" s="24" t="s">
        <v>17</v>
      </c>
      <c r="AA581" s="24" t="s">
        <v>17</v>
      </c>
      <c r="AB581" s="1" t="s">
        <v>17</v>
      </c>
      <c r="AC581" s="2" t="s">
        <v>17</v>
      </c>
      <c r="AD581" s="2" t="s">
        <v>17</v>
      </c>
      <c r="AE581" s="22" t="s">
        <v>17</v>
      </c>
      <c r="AF581" s="23"/>
      <c r="AG581" s="24" t="s">
        <v>17</v>
      </c>
      <c r="AH581" s="24" t="s">
        <v>17</v>
      </c>
      <c r="AI581" s="1" t="s">
        <v>17</v>
      </c>
      <c r="AJ581" s="2" t="s">
        <v>17</v>
      </c>
      <c r="AK581" s="2" t="s">
        <v>17</v>
      </c>
      <c r="AL581" s="3"/>
      <c r="AM581" s="2"/>
      <c r="AN581" s="24" t="s">
        <v>17</v>
      </c>
      <c r="AO581" s="24" t="s">
        <v>17</v>
      </c>
      <c r="AP581" s="1" t="s">
        <v>17</v>
      </c>
      <c r="AQ581" s="2" t="s">
        <v>17</v>
      </c>
      <c r="AR581" s="2" t="s">
        <v>17</v>
      </c>
      <c r="AS581" s="3"/>
      <c r="AT581" s="2"/>
      <c r="AU581" s="4"/>
      <c r="AV581" s="2"/>
      <c r="AW581" s="1" t="s">
        <v>17</v>
      </c>
      <c r="AX581" s="2" t="s">
        <v>17</v>
      </c>
      <c r="AY581" s="2" t="s">
        <v>17</v>
      </c>
      <c r="AZ581" s="5"/>
      <c r="BA581" s="6"/>
      <c r="BB581" s="4"/>
      <c r="BC581" s="6"/>
      <c r="BD581" s="6"/>
      <c r="BE581" s="6"/>
      <c r="BF581" s="7"/>
    </row>
    <row r="582" spans="1:58" ht="18" customHeight="1">
      <c r="A582" s="107" t="s">
        <v>15</v>
      </c>
      <c r="B582" s="93" t="s">
        <v>560</v>
      </c>
      <c r="C582" s="42">
        <v>1297.51</v>
      </c>
      <c r="D582" s="42">
        <v>1297.6299999999999</v>
      </c>
      <c r="E582" s="42">
        <v>1297.57</v>
      </c>
      <c r="F582" s="42">
        <v>1297.57</v>
      </c>
      <c r="G582" s="43">
        <v>84826.941407200007</v>
      </c>
      <c r="H582" s="43">
        <v>81833.747468701098</v>
      </c>
      <c r="I582" s="27">
        <f t="shared" si="24"/>
        <v>2</v>
      </c>
      <c r="J582" s="27">
        <f t="shared" si="26"/>
        <v>2</v>
      </c>
      <c r="K582" s="27">
        <f t="shared" si="25"/>
        <v>1</v>
      </c>
      <c r="L582" s="25">
        <v>575.57119550000004</v>
      </c>
      <c r="M582" s="25">
        <v>579.36183140570961</v>
      </c>
      <c r="N582" s="38">
        <v>0.5097522913647401</v>
      </c>
      <c r="O582" s="38">
        <v>-9.216795323615079</v>
      </c>
      <c r="P582" s="71">
        <v>-11.262580183199367</v>
      </c>
      <c r="Q582" s="53">
        <v>42398</v>
      </c>
      <c r="R582" s="23">
        <v>8</v>
      </c>
      <c r="S582" s="24">
        <v>572.1095335</v>
      </c>
      <c r="T582" s="24">
        <v>575.88996755995572</v>
      </c>
      <c r="U582" s="1">
        <v>0.51144621489607189</v>
      </c>
      <c r="V582" s="2">
        <v>-9.216795323615079</v>
      </c>
      <c r="W582" s="2">
        <v>-11.262580183199367</v>
      </c>
      <c r="X582" s="22">
        <v>42398</v>
      </c>
      <c r="Y582" s="23">
        <v>5</v>
      </c>
      <c r="Z582" s="24">
        <v>579.03285750000009</v>
      </c>
      <c r="AA582" s="24">
        <v>582.83369525146361</v>
      </c>
      <c r="AB582" s="1">
        <v>0.5080583678334083</v>
      </c>
      <c r="AC582" s="2"/>
      <c r="AD582" s="2"/>
      <c r="AE582" s="22" t="s">
        <v>17</v>
      </c>
      <c r="AF582" s="23"/>
      <c r="AG582" s="24" t="s">
        <v>17</v>
      </c>
      <c r="AH582" s="24" t="s">
        <v>17</v>
      </c>
      <c r="AI582" s="1" t="s">
        <v>17</v>
      </c>
      <c r="AJ582" s="2" t="s">
        <v>17</v>
      </c>
      <c r="AK582" s="2" t="s">
        <v>17</v>
      </c>
      <c r="AL582" s="3"/>
      <c r="AM582" s="2"/>
      <c r="AN582" s="24" t="s">
        <v>17</v>
      </c>
      <c r="AO582" s="24" t="s">
        <v>17</v>
      </c>
      <c r="AP582" s="1" t="s">
        <v>17</v>
      </c>
      <c r="AQ582" s="2" t="s">
        <v>17</v>
      </c>
      <c r="AR582" s="2" t="s">
        <v>17</v>
      </c>
      <c r="AS582" s="3"/>
      <c r="AT582" s="2"/>
      <c r="AU582" s="4"/>
      <c r="AV582" s="2"/>
      <c r="AW582" s="1" t="s">
        <v>17</v>
      </c>
      <c r="AX582" s="2" t="s">
        <v>17</v>
      </c>
      <c r="AY582" s="2" t="s">
        <v>17</v>
      </c>
      <c r="AZ582" s="5"/>
      <c r="BA582" s="6"/>
      <c r="BB582" s="4"/>
      <c r="BC582" s="6"/>
      <c r="BD582" s="6"/>
      <c r="BE582" s="6"/>
      <c r="BF582" s="7"/>
    </row>
    <row r="583" spans="1:58" ht="18" customHeight="1">
      <c r="A583" s="107" t="s">
        <v>15</v>
      </c>
      <c r="B583" s="93" t="s">
        <v>561</v>
      </c>
      <c r="C583" s="42">
        <v>1303.5</v>
      </c>
      <c r="D583" s="42">
        <v>1303.58</v>
      </c>
      <c r="E583" s="42">
        <v>1303.54</v>
      </c>
      <c r="F583" s="42">
        <v>1303.54</v>
      </c>
      <c r="G583" s="43">
        <v>85290.268200072504</v>
      </c>
      <c r="H583" s="43">
        <v>82290.458699417999</v>
      </c>
      <c r="I583" s="27">
        <f t="shared" si="24"/>
        <v>1</v>
      </c>
      <c r="J583" s="27">
        <f t="shared" si="26"/>
        <v>1</v>
      </c>
      <c r="K583" s="27">
        <f t="shared" si="25"/>
        <v>1</v>
      </c>
      <c r="L583" s="25">
        <v>577.98514299999999</v>
      </c>
      <c r="M583" s="25">
        <v>581.63522392229549</v>
      </c>
      <c r="N583" s="38">
        <v>0.48879111633781669</v>
      </c>
      <c r="O583" s="38">
        <v>-0.63643547219194296</v>
      </c>
      <c r="P583" s="71">
        <v>-2.5915999375432097</v>
      </c>
      <c r="Q583" s="53">
        <v>42508</v>
      </c>
      <c r="R583" s="23">
        <v>11</v>
      </c>
      <c r="S583" s="24">
        <v>577.98514299999999</v>
      </c>
      <c r="T583" s="24">
        <v>581.63522392229549</v>
      </c>
      <c r="U583" s="1">
        <v>0.48879111633781669</v>
      </c>
      <c r="V583" s="2">
        <v>-0.63643547219194296</v>
      </c>
      <c r="W583" s="2">
        <v>-2.5915999375432097</v>
      </c>
      <c r="X583" s="22" t="s">
        <v>17</v>
      </c>
      <c r="Y583" s="23"/>
      <c r="Z583" s="24" t="s">
        <v>17</v>
      </c>
      <c r="AA583" s="24" t="s">
        <v>17</v>
      </c>
      <c r="AB583" s="1" t="s">
        <v>17</v>
      </c>
      <c r="AC583" s="2" t="s">
        <v>17</v>
      </c>
      <c r="AD583" s="2" t="s">
        <v>17</v>
      </c>
      <c r="AE583" s="22" t="s">
        <v>17</v>
      </c>
      <c r="AF583" s="23"/>
      <c r="AG583" s="24" t="s">
        <v>17</v>
      </c>
      <c r="AH583" s="24" t="s">
        <v>17</v>
      </c>
      <c r="AI583" s="1" t="s">
        <v>17</v>
      </c>
      <c r="AJ583" s="2" t="s">
        <v>17</v>
      </c>
      <c r="AK583" s="2" t="s">
        <v>17</v>
      </c>
      <c r="AL583" s="3"/>
      <c r="AM583" s="2"/>
      <c r="AN583" s="24" t="s">
        <v>17</v>
      </c>
      <c r="AO583" s="24" t="s">
        <v>17</v>
      </c>
      <c r="AP583" s="1" t="s">
        <v>17</v>
      </c>
      <c r="AQ583" s="2" t="s">
        <v>17</v>
      </c>
      <c r="AR583" s="2" t="s">
        <v>17</v>
      </c>
      <c r="AS583" s="3"/>
      <c r="AT583" s="2"/>
      <c r="AU583" s="4"/>
      <c r="AV583" s="2"/>
      <c r="AW583" s="1" t="s">
        <v>17</v>
      </c>
      <c r="AX583" s="2" t="s">
        <v>17</v>
      </c>
      <c r="AY583" s="2" t="s">
        <v>17</v>
      </c>
      <c r="AZ583" s="5"/>
      <c r="BA583" s="6"/>
      <c r="BB583" s="4"/>
      <c r="BC583" s="6"/>
      <c r="BD583" s="6"/>
      <c r="BE583" s="6"/>
      <c r="BF583" s="7"/>
    </row>
    <row r="584" spans="1:58" ht="18" customHeight="1">
      <c r="A584" s="107" t="s">
        <v>15</v>
      </c>
      <c r="B584" s="93" t="s">
        <v>562</v>
      </c>
      <c r="C584" s="42">
        <v>1308</v>
      </c>
      <c r="D584" s="42">
        <v>1308.1199999999999</v>
      </c>
      <c r="E584" s="42">
        <v>1308.06</v>
      </c>
      <c r="F584" s="42">
        <v>1308.06</v>
      </c>
      <c r="G584" s="43">
        <v>85661.936913909696</v>
      </c>
      <c r="H584" s="43">
        <v>82664.273284654497</v>
      </c>
      <c r="I584" s="27">
        <f t="shared" si="24"/>
        <v>2</v>
      </c>
      <c r="J584" s="27">
        <f t="shared" si="26"/>
        <v>2</v>
      </c>
      <c r="K584" s="27">
        <f t="shared" si="25"/>
        <v>1</v>
      </c>
      <c r="L584" s="25">
        <v>597.10358399999996</v>
      </c>
      <c r="M584" s="25">
        <v>601.03387333233263</v>
      </c>
      <c r="N584" s="38">
        <v>0.50944450590717505</v>
      </c>
      <c r="O584" s="38">
        <v>-6.2447907956159066</v>
      </c>
      <c r="P584" s="71">
        <v>-8.2731549741904544</v>
      </c>
      <c r="Q584" s="53">
        <v>42398</v>
      </c>
      <c r="R584" s="23">
        <v>5</v>
      </c>
      <c r="S584" s="24">
        <v>601.70122949999995</v>
      </c>
      <c r="T584" s="24">
        <v>605.67993660204058</v>
      </c>
      <c r="U584" s="1">
        <v>0.51179796717071291</v>
      </c>
      <c r="V584" s="2"/>
      <c r="W584" s="2"/>
      <c r="X584" s="22">
        <v>42398</v>
      </c>
      <c r="Y584" s="23">
        <v>8</v>
      </c>
      <c r="Z584" s="24">
        <v>592.50593849999996</v>
      </c>
      <c r="AA584" s="24">
        <v>596.38781006262479</v>
      </c>
      <c r="AB584" s="1">
        <v>0.50709104464363719</v>
      </c>
      <c r="AC584" s="2">
        <v>-6.2447907956159066</v>
      </c>
      <c r="AD584" s="2">
        <v>-8.2731549741904544</v>
      </c>
      <c r="AE584" s="22" t="s">
        <v>17</v>
      </c>
      <c r="AF584" s="23"/>
      <c r="AG584" s="24" t="s">
        <v>17</v>
      </c>
      <c r="AH584" s="24" t="s">
        <v>17</v>
      </c>
      <c r="AI584" s="1" t="s">
        <v>17</v>
      </c>
      <c r="AJ584" s="2" t="s">
        <v>17</v>
      </c>
      <c r="AK584" s="2" t="s">
        <v>17</v>
      </c>
      <c r="AL584" s="3"/>
      <c r="AM584" s="2"/>
      <c r="AN584" s="24" t="s">
        <v>17</v>
      </c>
      <c r="AO584" s="24" t="s">
        <v>17</v>
      </c>
      <c r="AP584" s="1" t="s">
        <v>17</v>
      </c>
      <c r="AQ584" s="2" t="s">
        <v>17</v>
      </c>
      <c r="AR584" s="2" t="s">
        <v>17</v>
      </c>
      <c r="AS584" s="3"/>
      <c r="AT584" s="2"/>
      <c r="AU584" s="4"/>
      <c r="AV584" s="2"/>
      <c r="AW584" s="1" t="s">
        <v>17</v>
      </c>
      <c r="AX584" s="2" t="s">
        <v>17</v>
      </c>
      <c r="AY584" s="2" t="s">
        <v>17</v>
      </c>
      <c r="AZ584" s="5"/>
      <c r="BA584" s="6"/>
      <c r="BB584" s="4"/>
      <c r="BC584" s="6"/>
      <c r="BD584" s="6"/>
      <c r="BE584" s="6"/>
      <c r="BF584" s="7"/>
    </row>
    <row r="585" spans="1:58" ht="18" customHeight="1">
      <c r="A585" s="107" t="s">
        <v>15</v>
      </c>
      <c r="B585" s="93" t="s">
        <v>563</v>
      </c>
      <c r="C585" s="42">
        <v>1313.5</v>
      </c>
      <c r="D585" s="42">
        <v>1313.62</v>
      </c>
      <c r="E585" s="42">
        <v>1313.56</v>
      </c>
      <c r="F585" s="42">
        <v>1313.56</v>
      </c>
      <c r="G585" s="43">
        <v>86128.570122134202</v>
      </c>
      <c r="H585" s="43">
        <v>83148.715932684601</v>
      </c>
      <c r="I585" s="27">
        <f t="shared" si="24"/>
        <v>2</v>
      </c>
      <c r="J585" s="27">
        <f t="shared" si="26"/>
        <v>2</v>
      </c>
      <c r="K585" s="27">
        <f t="shared" si="25"/>
        <v>2</v>
      </c>
      <c r="L585" s="25">
        <v>621.70267074999992</v>
      </c>
      <c r="M585" s="25">
        <v>625.69090361660358</v>
      </c>
      <c r="N585" s="38">
        <v>0.49653030955243427</v>
      </c>
      <c r="O585" s="38">
        <v>-6.1873707595843097</v>
      </c>
      <c r="P585" s="71">
        <v>-8.1734919977940468</v>
      </c>
      <c r="Q585" s="53">
        <v>42514</v>
      </c>
      <c r="R585" s="23">
        <v>11</v>
      </c>
      <c r="S585" s="24">
        <v>623.06400299999996</v>
      </c>
      <c r="T585" s="24">
        <v>627.01692155674743</v>
      </c>
      <c r="U585" s="1">
        <v>0.4910465813969811</v>
      </c>
      <c r="V585" s="2">
        <v>-6.4990735311308834</v>
      </c>
      <c r="W585" s="2">
        <v>-8.4632598567188069</v>
      </c>
      <c r="X585" s="22">
        <v>42514</v>
      </c>
      <c r="Y585" s="23">
        <v>11</v>
      </c>
      <c r="Z585" s="24">
        <v>620.34133850000001</v>
      </c>
      <c r="AA585" s="24">
        <v>624.36488567645972</v>
      </c>
      <c r="AB585" s="1">
        <v>0.50201403770788744</v>
      </c>
      <c r="AC585" s="2">
        <v>-5.875667988037736</v>
      </c>
      <c r="AD585" s="2">
        <v>-7.8837241388692858</v>
      </c>
      <c r="AE585" s="22" t="s">
        <v>17</v>
      </c>
      <c r="AF585" s="23"/>
      <c r="AG585" s="24" t="s">
        <v>17</v>
      </c>
      <c r="AH585" s="24" t="s">
        <v>17</v>
      </c>
      <c r="AI585" s="1" t="s">
        <v>17</v>
      </c>
      <c r="AJ585" s="2" t="s">
        <v>17</v>
      </c>
      <c r="AK585" s="2" t="s">
        <v>17</v>
      </c>
      <c r="AL585" s="3"/>
      <c r="AM585" s="2"/>
      <c r="AN585" s="24" t="s">
        <v>17</v>
      </c>
      <c r="AO585" s="24" t="s">
        <v>17</v>
      </c>
      <c r="AP585" s="1" t="s">
        <v>17</v>
      </c>
      <c r="AQ585" s="2" t="s">
        <v>17</v>
      </c>
      <c r="AR585" s="2" t="s">
        <v>17</v>
      </c>
      <c r="AS585" s="3"/>
      <c r="AT585" s="2"/>
      <c r="AU585" s="4"/>
      <c r="AV585" s="2"/>
      <c r="AW585" s="1" t="s">
        <v>17</v>
      </c>
      <c r="AX585" s="2" t="s">
        <v>17</v>
      </c>
      <c r="AY585" s="2" t="s">
        <v>17</v>
      </c>
      <c r="AZ585" s="5"/>
      <c r="BA585" s="6"/>
      <c r="BB585" s="4"/>
      <c r="BC585" s="6"/>
      <c r="BD585" s="6"/>
      <c r="BE585" s="6"/>
      <c r="BF585" s="7"/>
    </row>
    <row r="586" spans="1:58" ht="18" customHeight="1">
      <c r="A586" s="107" t="s">
        <v>15</v>
      </c>
      <c r="B586" s="93" t="s">
        <v>564</v>
      </c>
      <c r="C586" s="42">
        <v>1318</v>
      </c>
      <c r="D586" s="42">
        <v>1318.1</v>
      </c>
      <c r="E586" s="42">
        <v>1318.05</v>
      </c>
      <c r="F586" s="42">
        <v>1318.05</v>
      </c>
      <c r="G586" s="43">
        <v>86534.771895238504</v>
      </c>
      <c r="H586" s="43">
        <v>83488.244551241398</v>
      </c>
      <c r="I586" s="27">
        <f t="shared" si="24"/>
        <v>1</v>
      </c>
      <c r="J586" s="27">
        <f t="shared" si="26"/>
        <v>1</v>
      </c>
      <c r="K586" s="27">
        <f t="shared" si="25"/>
        <v>1</v>
      </c>
      <c r="L586" s="25">
        <v>631.64284850000001</v>
      </c>
      <c r="M586" s="25">
        <v>628.3429296375823</v>
      </c>
      <c r="N586" s="38">
        <v>0.50462191433076065</v>
      </c>
      <c r="O586" s="38">
        <v>-7.5033116395450961</v>
      </c>
      <c r="P586" s="71">
        <v>-9.5217992968681386</v>
      </c>
      <c r="Q586" s="53">
        <v>42459</v>
      </c>
      <c r="R586" s="23">
        <v>11</v>
      </c>
      <c r="S586" s="24">
        <v>631.64284850000001</v>
      </c>
      <c r="T586" s="24">
        <v>628.3429296375823</v>
      </c>
      <c r="U586" s="1">
        <v>0.50462191433076065</v>
      </c>
      <c r="V586" s="2">
        <v>-7.5033116395450961</v>
      </c>
      <c r="W586" s="2">
        <v>-9.5217992968681386</v>
      </c>
      <c r="X586" s="22" t="s">
        <v>17</v>
      </c>
      <c r="Y586" s="23"/>
      <c r="Z586" s="24" t="s">
        <v>17</v>
      </c>
      <c r="AA586" s="24" t="s">
        <v>17</v>
      </c>
      <c r="AB586" s="1" t="s">
        <v>17</v>
      </c>
      <c r="AC586" s="2" t="s">
        <v>17</v>
      </c>
      <c r="AD586" s="2" t="s">
        <v>17</v>
      </c>
      <c r="AE586" s="22" t="s">
        <v>17</v>
      </c>
      <c r="AF586" s="23"/>
      <c r="AG586" s="24" t="s">
        <v>17</v>
      </c>
      <c r="AH586" s="24" t="s">
        <v>17</v>
      </c>
      <c r="AI586" s="1" t="s">
        <v>17</v>
      </c>
      <c r="AJ586" s="2" t="s">
        <v>17</v>
      </c>
      <c r="AK586" s="2" t="s">
        <v>17</v>
      </c>
      <c r="AL586" s="3"/>
      <c r="AM586" s="2"/>
      <c r="AN586" s="24" t="s">
        <v>17</v>
      </c>
      <c r="AO586" s="24" t="s">
        <v>17</v>
      </c>
      <c r="AP586" s="1" t="s">
        <v>17</v>
      </c>
      <c r="AQ586" s="2" t="s">
        <v>17</v>
      </c>
      <c r="AR586" s="2" t="s">
        <v>17</v>
      </c>
      <c r="AS586" s="3"/>
      <c r="AT586" s="2"/>
      <c r="AU586" s="4"/>
      <c r="AV586" s="2"/>
      <c r="AW586" s="1" t="s">
        <v>17</v>
      </c>
      <c r="AX586" s="2" t="s">
        <v>17</v>
      </c>
      <c r="AY586" s="2" t="s">
        <v>17</v>
      </c>
      <c r="AZ586" s="5"/>
      <c r="BA586" s="6"/>
      <c r="BB586" s="4"/>
      <c r="BC586" s="6"/>
      <c r="BD586" s="6"/>
      <c r="BE586" s="6"/>
      <c r="BF586" s="7"/>
    </row>
    <row r="587" spans="1:58" ht="18" customHeight="1">
      <c r="A587" s="107" t="s">
        <v>15</v>
      </c>
      <c r="B587" s="93" t="s">
        <v>565</v>
      </c>
      <c r="C587" s="42">
        <v>1322.02</v>
      </c>
      <c r="D587" s="42">
        <v>1322.14</v>
      </c>
      <c r="E587" s="42">
        <v>1322.08</v>
      </c>
      <c r="F587" s="42">
        <v>1322.08</v>
      </c>
      <c r="G587" s="43">
        <v>86908.182377041303</v>
      </c>
      <c r="H587" s="43">
        <v>83807.906581618794</v>
      </c>
      <c r="I587" s="27">
        <f t="shared" si="24"/>
        <v>3</v>
      </c>
      <c r="J587" s="27">
        <f t="shared" si="26"/>
        <v>2</v>
      </c>
      <c r="K587" s="27">
        <f t="shared" si="25"/>
        <v>2</v>
      </c>
      <c r="L587" s="25">
        <v>625.50436783333328</v>
      </c>
      <c r="M587" s="25">
        <v>629.59217946713386</v>
      </c>
      <c r="N587" s="38">
        <v>0.50511698921440473</v>
      </c>
      <c r="O587" s="38">
        <v>-6.3947138008640936</v>
      </c>
      <c r="P587" s="71">
        <v>-8.4151817577217116</v>
      </c>
      <c r="Q587" s="53">
        <v>42515</v>
      </c>
      <c r="R587" s="23">
        <v>11</v>
      </c>
      <c r="S587" s="24">
        <v>628.83666300000004</v>
      </c>
      <c r="T587" s="24">
        <v>632.92314376675597</v>
      </c>
      <c r="U587" s="1">
        <v>0.50297811757560318</v>
      </c>
      <c r="V587" s="2">
        <v>-6.3232231344001466</v>
      </c>
      <c r="W587" s="2">
        <v>-8.3351356047025593</v>
      </c>
      <c r="X587" s="22">
        <v>42515</v>
      </c>
      <c r="Y587" s="23">
        <v>11</v>
      </c>
      <c r="Z587" s="24">
        <v>623.62793149999993</v>
      </c>
      <c r="AA587" s="24">
        <v>627.71503038832714</v>
      </c>
      <c r="AB587" s="1">
        <v>0.50725586085320629</v>
      </c>
      <c r="AC587" s="2">
        <v>-6.4662044673280406</v>
      </c>
      <c r="AD587" s="2">
        <v>-8.4952279107408657</v>
      </c>
      <c r="AE587" s="22">
        <v>43172</v>
      </c>
      <c r="AF587" s="23">
        <v>3</v>
      </c>
      <c r="AG587" s="24">
        <v>624.04850899999997</v>
      </c>
      <c r="AH587" s="24">
        <v>628.13836424631859</v>
      </c>
      <c r="AI587" s="1"/>
      <c r="AJ587" s="2"/>
      <c r="AK587" s="2"/>
      <c r="AL587" s="3"/>
      <c r="AM587" s="2"/>
      <c r="AN587" s="24" t="s">
        <v>17</v>
      </c>
      <c r="AO587" s="24" t="s">
        <v>17</v>
      </c>
      <c r="AP587" s="1" t="s">
        <v>17</v>
      </c>
      <c r="AQ587" s="2" t="s">
        <v>17</v>
      </c>
      <c r="AR587" s="2" t="s">
        <v>17</v>
      </c>
      <c r="AS587" s="3"/>
      <c r="AT587" s="2"/>
      <c r="AU587" s="4"/>
      <c r="AV587" s="2"/>
      <c r="AW587" s="1" t="s">
        <v>17</v>
      </c>
      <c r="AX587" s="2" t="s">
        <v>17</v>
      </c>
      <c r="AY587" s="2" t="s">
        <v>17</v>
      </c>
      <c r="AZ587" s="5"/>
      <c r="BA587" s="6"/>
      <c r="BB587" s="4"/>
      <c r="BC587" s="6"/>
      <c r="BD587" s="6"/>
      <c r="BE587" s="6"/>
      <c r="BF587" s="7"/>
    </row>
    <row r="588" spans="1:58" ht="18" customHeight="1">
      <c r="A588" s="107" t="s">
        <v>15</v>
      </c>
      <c r="B588" s="93" t="s">
        <v>566</v>
      </c>
      <c r="C588" s="42">
        <v>1331</v>
      </c>
      <c r="D588" s="42">
        <v>1331.12</v>
      </c>
      <c r="E588" s="42">
        <v>1331.06</v>
      </c>
      <c r="F588" s="42">
        <v>1331.06</v>
      </c>
      <c r="G588" s="43">
        <v>87746.081099439602</v>
      </c>
      <c r="H588" s="43">
        <v>84521.817537514493</v>
      </c>
      <c r="I588" s="27">
        <f t="shared" si="24"/>
        <v>2</v>
      </c>
      <c r="J588" s="27">
        <f t="shared" si="26"/>
        <v>2</v>
      </c>
      <c r="K588" s="27">
        <f t="shared" si="25"/>
        <v>2</v>
      </c>
      <c r="L588" s="25">
        <v>499.14565775</v>
      </c>
      <c r="M588" s="25">
        <v>502.38438314993107</v>
      </c>
      <c r="N588" s="38">
        <v>0.50220229295339092</v>
      </c>
      <c r="O588" s="38">
        <v>-6.1822659340168284</v>
      </c>
      <c r="P588" s="71">
        <v>-8.191075105830393</v>
      </c>
      <c r="Q588" s="53">
        <v>42508</v>
      </c>
      <c r="R588" s="23">
        <v>11</v>
      </c>
      <c r="S588" s="24">
        <v>500.24687600000004</v>
      </c>
      <c r="T588" s="24">
        <v>503.51176002159724</v>
      </c>
      <c r="U588" s="1">
        <v>0.50515058423195036</v>
      </c>
      <c r="V588" s="2">
        <v>-6.3118248971545388</v>
      </c>
      <c r="W588" s="2">
        <v>-8.3324272340823402</v>
      </c>
      <c r="X588" s="22">
        <v>42508</v>
      </c>
      <c r="Y588" s="23">
        <v>11</v>
      </c>
      <c r="Z588" s="24">
        <v>498.04443949999995</v>
      </c>
      <c r="AA588" s="24">
        <v>501.25700627826495</v>
      </c>
      <c r="AB588" s="1">
        <v>0.49925400167483147</v>
      </c>
      <c r="AC588" s="2">
        <v>-6.0527069708791181</v>
      </c>
      <c r="AD588" s="2">
        <v>-8.049722977578444</v>
      </c>
      <c r="AE588" s="22" t="s">
        <v>17</v>
      </c>
      <c r="AF588" s="23"/>
      <c r="AG588" s="24" t="s">
        <v>17</v>
      </c>
      <c r="AH588" s="24" t="s">
        <v>17</v>
      </c>
      <c r="AI588" s="1" t="s">
        <v>17</v>
      </c>
      <c r="AJ588" s="2" t="s">
        <v>17</v>
      </c>
      <c r="AK588" s="2" t="s">
        <v>17</v>
      </c>
      <c r="AL588" s="3"/>
      <c r="AM588" s="2"/>
      <c r="AN588" s="24" t="s">
        <v>17</v>
      </c>
      <c r="AO588" s="24" t="s">
        <v>17</v>
      </c>
      <c r="AP588" s="1" t="s">
        <v>17</v>
      </c>
      <c r="AQ588" s="2" t="s">
        <v>17</v>
      </c>
      <c r="AR588" s="2" t="s">
        <v>17</v>
      </c>
      <c r="AS588" s="3"/>
      <c r="AT588" s="2"/>
      <c r="AU588" s="4"/>
      <c r="AV588" s="2"/>
      <c r="AW588" s="1" t="s">
        <v>17</v>
      </c>
      <c r="AX588" s="2" t="s">
        <v>17</v>
      </c>
      <c r="AY588" s="2" t="s">
        <v>17</v>
      </c>
      <c r="AZ588" s="5"/>
      <c r="BA588" s="6"/>
      <c r="BB588" s="4"/>
      <c r="BC588" s="6"/>
      <c r="BD588" s="6"/>
      <c r="BE588" s="6"/>
      <c r="BF588" s="7"/>
    </row>
    <row r="589" spans="1:58" ht="18" customHeight="1">
      <c r="A589" s="107" t="s">
        <v>15</v>
      </c>
      <c r="B589" s="93" t="s">
        <v>567</v>
      </c>
      <c r="C589" s="42">
        <v>1335.5</v>
      </c>
      <c r="D589" s="42">
        <v>1335.62</v>
      </c>
      <c r="E589" s="42">
        <v>1335.56</v>
      </c>
      <c r="F589" s="42">
        <v>1335.56</v>
      </c>
      <c r="G589" s="43">
        <v>88194.566371761495</v>
      </c>
      <c r="H589" s="43">
        <v>84901.231580284002</v>
      </c>
      <c r="I589" s="27">
        <f t="shared" si="24"/>
        <v>2</v>
      </c>
      <c r="J589" s="27">
        <f t="shared" si="26"/>
        <v>2</v>
      </c>
      <c r="K589" s="27">
        <f t="shared" si="25"/>
        <v>1</v>
      </c>
      <c r="L589" s="25">
        <v>464.05339199999997</v>
      </c>
      <c r="M589" s="25">
        <v>467.07462276991396</v>
      </c>
      <c r="N589" s="38">
        <v>0.50390804035771453</v>
      </c>
      <c r="O589" s="38">
        <v>-5.4135380624921181</v>
      </c>
      <c r="P589" s="71">
        <v>-7.4265375383654186</v>
      </c>
      <c r="Q589" s="53">
        <v>42404</v>
      </c>
      <c r="R589" s="23">
        <v>8</v>
      </c>
      <c r="S589" s="24">
        <v>462.29780649999998</v>
      </c>
      <c r="T589" s="24">
        <v>465.30366143224745</v>
      </c>
      <c r="U589" s="1">
        <v>0.50324986896832513</v>
      </c>
      <c r="V589" s="2">
        <v>-5.4135380624921181</v>
      </c>
      <c r="W589" s="2">
        <v>-7.4265375383654186</v>
      </c>
      <c r="X589" s="22">
        <v>42404</v>
      </c>
      <c r="Y589" s="23">
        <v>5</v>
      </c>
      <c r="Z589" s="24">
        <v>465.80897749999997</v>
      </c>
      <c r="AA589" s="24">
        <v>468.84558410758052</v>
      </c>
      <c r="AB589" s="1">
        <v>0.50456621174710392</v>
      </c>
      <c r="AC589" s="2"/>
      <c r="AD589" s="2"/>
      <c r="AE589" s="22" t="s">
        <v>17</v>
      </c>
      <c r="AF589" s="23"/>
      <c r="AG589" s="24" t="s">
        <v>17</v>
      </c>
      <c r="AH589" s="24" t="s">
        <v>17</v>
      </c>
      <c r="AI589" s="1" t="s">
        <v>17</v>
      </c>
      <c r="AJ589" s="2" t="s">
        <v>17</v>
      </c>
      <c r="AK589" s="2" t="s">
        <v>17</v>
      </c>
      <c r="AL589" s="3"/>
      <c r="AM589" s="2"/>
      <c r="AN589" s="24" t="s">
        <v>17</v>
      </c>
      <c r="AO589" s="24" t="s">
        <v>17</v>
      </c>
      <c r="AP589" s="1" t="s">
        <v>17</v>
      </c>
      <c r="AQ589" s="2" t="s">
        <v>17</v>
      </c>
      <c r="AR589" s="2" t="s">
        <v>17</v>
      </c>
      <c r="AS589" s="3"/>
      <c r="AT589" s="2"/>
      <c r="AU589" s="4"/>
      <c r="AV589" s="2"/>
      <c r="AW589" s="1" t="s">
        <v>17</v>
      </c>
      <c r="AX589" s="2" t="s">
        <v>17</v>
      </c>
      <c r="AY589" s="2" t="s">
        <v>17</v>
      </c>
      <c r="AZ589" s="5"/>
      <c r="BA589" s="6"/>
      <c r="BB589" s="4"/>
      <c r="BC589" s="6"/>
      <c r="BD589" s="6"/>
      <c r="BE589" s="6"/>
      <c r="BF589" s="7"/>
    </row>
    <row r="590" spans="1:58" ht="18" customHeight="1">
      <c r="A590" s="107" t="s">
        <v>15</v>
      </c>
      <c r="B590" s="93" t="s">
        <v>568</v>
      </c>
      <c r="C590" s="42">
        <v>1340.5</v>
      </c>
      <c r="D590" s="42">
        <v>1340.5650000000001</v>
      </c>
      <c r="E590" s="42">
        <v>1340.5325</v>
      </c>
      <c r="F590" s="42">
        <v>1340.5325</v>
      </c>
      <c r="G590" s="43">
        <v>88707.163409809102</v>
      </c>
      <c r="H590" s="43">
        <v>85320.7290728363</v>
      </c>
      <c r="I590" s="27">
        <f t="shared" si="24"/>
        <v>1</v>
      </c>
      <c r="J590" s="27">
        <f t="shared" si="26"/>
        <v>1</v>
      </c>
      <c r="K590" s="27">
        <f t="shared" si="25"/>
        <v>1</v>
      </c>
      <c r="L590" s="25">
        <v>471.55686650000001</v>
      </c>
      <c r="M590" s="25">
        <v>474.55799363439132</v>
      </c>
      <c r="N590" s="38">
        <v>0.49259251305766583</v>
      </c>
      <c r="O590" s="38">
        <v>-3.0605568760907476</v>
      </c>
      <c r="P590" s="71">
        <v>-5.0309269283214109</v>
      </c>
      <c r="Q590" s="53">
        <v>42510</v>
      </c>
      <c r="R590" s="23">
        <v>11</v>
      </c>
      <c r="S590" s="24">
        <v>471.55686650000001</v>
      </c>
      <c r="T590" s="24">
        <v>474.55799363439132</v>
      </c>
      <c r="U590" s="1">
        <v>0.49259251305766583</v>
      </c>
      <c r="V590" s="2">
        <v>-3.0605568760907476</v>
      </c>
      <c r="W590" s="2">
        <v>-5.0309269283214109</v>
      </c>
      <c r="X590" s="22" t="s">
        <v>17</v>
      </c>
      <c r="Y590" s="23"/>
      <c r="Z590" s="24" t="s">
        <v>17</v>
      </c>
      <c r="AA590" s="24" t="s">
        <v>17</v>
      </c>
      <c r="AB590" s="1" t="s">
        <v>17</v>
      </c>
      <c r="AC590" s="2" t="s">
        <v>17</v>
      </c>
      <c r="AD590" s="2" t="s">
        <v>17</v>
      </c>
      <c r="AE590" s="22" t="s">
        <v>17</v>
      </c>
      <c r="AF590" s="23"/>
      <c r="AG590" s="24" t="s">
        <v>17</v>
      </c>
      <c r="AH590" s="24" t="s">
        <v>17</v>
      </c>
      <c r="AI590" s="1" t="s">
        <v>17</v>
      </c>
      <c r="AJ590" s="2" t="s">
        <v>17</v>
      </c>
      <c r="AK590" s="2" t="s">
        <v>17</v>
      </c>
      <c r="AL590" s="3"/>
      <c r="AM590" s="2"/>
      <c r="AN590" s="24" t="s">
        <v>17</v>
      </c>
      <c r="AO590" s="24" t="s">
        <v>17</v>
      </c>
      <c r="AP590" s="1" t="s">
        <v>17</v>
      </c>
      <c r="AQ590" s="2" t="s">
        <v>17</v>
      </c>
      <c r="AR590" s="2" t="s">
        <v>17</v>
      </c>
      <c r="AS590" s="3"/>
      <c r="AT590" s="2"/>
      <c r="AU590" s="4"/>
      <c r="AV590" s="2"/>
      <c r="AW590" s="1" t="s">
        <v>17</v>
      </c>
      <c r="AX590" s="2" t="s">
        <v>17</v>
      </c>
      <c r="AY590" s="2" t="s">
        <v>17</v>
      </c>
      <c r="AZ590" s="5"/>
      <c r="BA590" s="6"/>
      <c r="BB590" s="4"/>
      <c r="BC590" s="6"/>
      <c r="BD590" s="6"/>
      <c r="BE590" s="6"/>
      <c r="BF590" s="7"/>
    </row>
    <row r="591" spans="1:58" ht="18" customHeight="1">
      <c r="A591" s="107" t="s">
        <v>15</v>
      </c>
      <c r="B591" s="93" t="s">
        <v>568</v>
      </c>
      <c r="C591" s="42">
        <v>1340.5650000000001</v>
      </c>
      <c r="D591" s="42">
        <v>1340.62</v>
      </c>
      <c r="E591" s="42">
        <v>1340.5925</v>
      </c>
      <c r="F591" s="42">
        <v>1340.5925</v>
      </c>
      <c r="G591" s="43">
        <v>88714.324559830406</v>
      </c>
      <c r="H591" s="43">
        <v>85325.295473432998</v>
      </c>
      <c r="I591" s="27">
        <f t="shared" si="24"/>
        <v>1</v>
      </c>
      <c r="J591" s="27">
        <f t="shared" si="26"/>
        <v>1</v>
      </c>
      <c r="K591" s="27">
        <f t="shared" si="25"/>
        <v>1</v>
      </c>
      <c r="L591" s="25">
        <v>472.23956699999997</v>
      </c>
      <c r="M591" s="25">
        <v>475.24536419770783</v>
      </c>
      <c r="N591" s="38">
        <v>0.49264580561469984</v>
      </c>
      <c r="O591" s="38">
        <v>-9.6629956563144539</v>
      </c>
      <c r="P591" s="71">
        <v>-11.633578878773253</v>
      </c>
      <c r="Q591" s="53">
        <v>42510</v>
      </c>
      <c r="R591" s="23">
        <v>11</v>
      </c>
      <c r="S591" s="24">
        <v>472.23956699999997</v>
      </c>
      <c r="T591" s="24">
        <v>475.24536419770783</v>
      </c>
      <c r="U591" s="1">
        <v>0.49264580561469984</v>
      </c>
      <c r="V591" s="2">
        <v>-9.6629956563144539</v>
      </c>
      <c r="W591" s="2">
        <v>-11.633578878773253</v>
      </c>
      <c r="X591" s="22" t="s">
        <v>17</v>
      </c>
      <c r="Y591" s="23"/>
      <c r="Z591" s="24" t="s">
        <v>17</v>
      </c>
      <c r="AA591" s="24" t="s">
        <v>17</v>
      </c>
      <c r="AB591" s="1" t="s">
        <v>17</v>
      </c>
      <c r="AC591" s="2" t="s">
        <v>17</v>
      </c>
      <c r="AD591" s="2" t="s">
        <v>17</v>
      </c>
      <c r="AE591" s="22" t="s">
        <v>17</v>
      </c>
      <c r="AF591" s="23"/>
      <c r="AG591" s="24" t="s">
        <v>17</v>
      </c>
      <c r="AH591" s="24" t="s">
        <v>17</v>
      </c>
      <c r="AI591" s="1" t="s">
        <v>17</v>
      </c>
      <c r="AJ591" s="2" t="s">
        <v>17</v>
      </c>
      <c r="AK591" s="2" t="s">
        <v>17</v>
      </c>
      <c r="AL591" s="3"/>
      <c r="AM591" s="2"/>
      <c r="AN591" s="24" t="s">
        <v>17</v>
      </c>
      <c r="AO591" s="24" t="s">
        <v>17</v>
      </c>
      <c r="AP591" s="1" t="s">
        <v>17</v>
      </c>
      <c r="AQ591" s="2" t="s">
        <v>17</v>
      </c>
      <c r="AR591" s="2" t="s">
        <v>17</v>
      </c>
      <c r="AS591" s="3"/>
      <c r="AT591" s="2"/>
      <c r="AU591" s="4"/>
      <c r="AV591" s="2"/>
      <c r="AW591" s="1" t="s">
        <v>17</v>
      </c>
      <c r="AX591" s="2" t="s">
        <v>17</v>
      </c>
      <c r="AY591" s="2" t="s">
        <v>17</v>
      </c>
      <c r="AZ591" s="5"/>
      <c r="BA591" s="6"/>
      <c r="BB591" s="4"/>
      <c r="BC591" s="6"/>
      <c r="BD591" s="6"/>
      <c r="BE591" s="6"/>
      <c r="BF591" s="7"/>
    </row>
    <row r="592" spans="1:58" ht="18" customHeight="1">
      <c r="A592" s="107" t="s">
        <v>15</v>
      </c>
      <c r="B592" s="93" t="s">
        <v>569</v>
      </c>
      <c r="C592" s="42">
        <v>1344.5</v>
      </c>
      <c r="D592" s="42">
        <v>1344.62</v>
      </c>
      <c r="E592" s="42">
        <v>1344.56</v>
      </c>
      <c r="F592" s="42">
        <v>1344.56</v>
      </c>
      <c r="G592" s="43">
        <v>89138.907939123397</v>
      </c>
      <c r="H592" s="43">
        <v>85669.883402095395</v>
      </c>
      <c r="I592" s="27">
        <f t="shared" si="24"/>
        <v>3</v>
      </c>
      <c r="J592" s="27">
        <f t="shared" si="26"/>
        <v>2</v>
      </c>
      <c r="K592" s="27">
        <f t="shared" si="25"/>
        <v>2</v>
      </c>
      <c r="L592" s="25">
        <v>463.40105283333332</v>
      </c>
      <c r="M592" s="25">
        <v>461.44862657056223</v>
      </c>
      <c r="N592" s="38">
        <v>0.49945298359999057</v>
      </c>
      <c r="O592" s="38">
        <v>-9.7114809294517315</v>
      </c>
      <c r="P592" s="71">
        <v>-11.709292863851694</v>
      </c>
      <c r="Q592" s="53">
        <v>42454</v>
      </c>
      <c r="R592" s="23">
        <v>11</v>
      </c>
      <c r="S592" s="24">
        <v>466.38338399999998</v>
      </c>
      <c r="T592" s="24">
        <v>461.96839221753061</v>
      </c>
      <c r="U592" s="1">
        <v>0.49827698773685647</v>
      </c>
      <c r="V592" s="2">
        <v>-9.7208628102186658</v>
      </c>
      <c r="W592" s="2">
        <v>-11.713970761166092</v>
      </c>
      <c r="X592" s="22">
        <v>42454</v>
      </c>
      <c r="Y592" s="23">
        <v>13</v>
      </c>
      <c r="Z592" s="24">
        <v>465.539694</v>
      </c>
      <c r="AA592" s="24">
        <v>461.13319350015973</v>
      </c>
      <c r="AB592" s="1">
        <v>0.50062897946312468</v>
      </c>
      <c r="AC592" s="2">
        <v>-9.7020990486847971</v>
      </c>
      <c r="AD592" s="2">
        <v>-11.704614966537296</v>
      </c>
      <c r="AE592" s="22">
        <v>43172</v>
      </c>
      <c r="AF592" s="23">
        <v>3</v>
      </c>
      <c r="AG592" s="24">
        <v>458.28008050000005</v>
      </c>
      <c r="AH592" s="24">
        <v>461.24429399399628</v>
      </c>
      <c r="AI592" s="1"/>
      <c r="AJ592" s="2"/>
      <c r="AK592" s="2"/>
      <c r="AL592" s="3"/>
      <c r="AM592" s="2"/>
      <c r="AN592" s="24" t="s">
        <v>17</v>
      </c>
      <c r="AO592" s="24" t="s">
        <v>17</v>
      </c>
      <c r="AP592" s="1" t="s">
        <v>17</v>
      </c>
      <c r="AQ592" s="2" t="s">
        <v>17</v>
      </c>
      <c r="AR592" s="2" t="s">
        <v>17</v>
      </c>
      <c r="AS592" s="3"/>
      <c r="AT592" s="2"/>
      <c r="AU592" s="4"/>
      <c r="AV592" s="2"/>
      <c r="AW592" s="1" t="s">
        <v>17</v>
      </c>
      <c r="AX592" s="2" t="s">
        <v>17</v>
      </c>
      <c r="AY592" s="2" t="s">
        <v>17</v>
      </c>
      <c r="AZ592" s="5"/>
      <c r="BA592" s="6"/>
      <c r="BB592" s="4"/>
      <c r="BC592" s="6"/>
      <c r="BD592" s="6"/>
      <c r="BE592" s="6"/>
      <c r="BF592" s="7"/>
    </row>
    <row r="593" spans="1:58" ht="18" customHeight="1">
      <c r="A593" s="107" t="s">
        <v>15</v>
      </c>
      <c r="B593" s="93" t="s">
        <v>570</v>
      </c>
      <c r="C593" s="42">
        <v>1349.5</v>
      </c>
      <c r="D593" s="42">
        <v>1349.575</v>
      </c>
      <c r="E593" s="42">
        <v>1349.5374999999999</v>
      </c>
      <c r="F593" s="42">
        <v>1349.5374999999999</v>
      </c>
      <c r="G593" s="43">
        <v>89678.282000257095</v>
      </c>
      <c r="H593" s="43">
        <v>86097.121199583693</v>
      </c>
      <c r="I593" s="27">
        <f t="shared" si="24"/>
        <v>1</v>
      </c>
      <c r="J593" s="27">
        <f t="shared" si="26"/>
        <v>1</v>
      </c>
      <c r="K593" s="27">
        <f t="shared" si="25"/>
        <v>1</v>
      </c>
      <c r="L593" s="25">
        <v>440.88045750000003</v>
      </c>
      <c r="M593" s="25">
        <v>443.72051245355135</v>
      </c>
      <c r="N593" s="38">
        <v>0.49858979031047745</v>
      </c>
      <c r="O593" s="38">
        <v>-12.137070889055689</v>
      </c>
      <c r="P593" s="71">
        <v>-14.131430050297599</v>
      </c>
      <c r="Q593" s="53">
        <v>42509</v>
      </c>
      <c r="R593" s="23">
        <v>11</v>
      </c>
      <c r="S593" s="24">
        <v>440.88045750000003</v>
      </c>
      <c r="T593" s="24">
        <v>443.72051245355135</v>
      </c>
      <c r="U593" s="1">
        <v>0.49858979031047745</v>
      </c>
      <c r="V593" s="2">
        <v>-12.137070889055689</v>
      </c>
      <c r="W593" s="2">
        <v>-14.131430050297599</v>
      </c>
      <c r="X593" s="22" t="s">
        <v>17</v>
      </c>
      <c r="Y593" s="23"/>
      <c r="Z593" s="24" t="s">
        <v>17</v>
      </c>
      <c r="AA593" s="24" t="s">
        <v>17</v>
      </c>
      <c r="AB593" s="1" t="s">
        <v>17</v>
      </c>
      <c r="AC593" s="2" t="s">
        <v>17</v>
      </c>
      <c r="AD593" s="2" t="s">
        <v>17</v>
      </c>
      <c r="AE593" s="22" t="s">
        <v>17</v>
      </c>
      <c r="AF593" s="23"/>
      <c r="AG593" s="24" t="s">
        <v>17</v>
      </c>
      <c r="AH593" s="24" t="s">
        <v>17</v>
      </c>
      <c r="AI593" s="1" t="s">
        <v>17</v>
      </c>
      <c r="AJ593" s="2" t="s">
        <v>17</v>
      </c>
      <c r="AK593" s="2" t="s">
        <v>17</v>
      </c>
      <c r="AL593" s="3"/>
      <c r="AM593" s="2"/>
      <c r="AN593" s="24" t="s">
        <v>17</v>
      </c>
      <c r="AO593" s="24" t="s">
        <v>17</v>
      </c>
      <c r="AP593" s="1" t="s">
        <v>17</v>
      </c>
      <c r="AQ593" s="2" t="s">
        <v>17</v>
      </c>
      <c r="AR593" s="2" t="s">
        <v>17</v>
      </c>
      <c r="AS593" s="3"/>
      <c r="AT593" s="2"/>
      <c r="AU593" s="4"/>
      <c r="AV593" s="2"/>
      <c r="AW593" s="1" t="s">
        <v>17</v>
      </c>
      <c r="AX593" s="2" t="s">
        <v>17</v>
      </c>
      <c r="AY593" s="2" t="s">
        <v>17</v>
      </c>
      <c r="AZ593" s="5"/>
      <c r="BA593" s="6"/>
      <c r="BB593" s="4"/>
      <c r="BC593" s="6"/>
      <c r="BD593" s="6"/>
      <c r="BE593" s="6"/>
      <c r="BF593" s="7"/>
    </row>
    <row r="594" spans="1:58" ht="18" customHeight="1">
      <c r="A594" s="107" t="s">
        <v>15</v>
      </c>
      <c r="B594" s="93" t="s">
        <v>571</v>
      </c>
      <c r="C594" s="42">
        <v>1353.5</v>
      </c>
      <c r="D594" s="42">
        <v>1353.62</v>
      </c>
      <c r="E594" s="42">
        <v>1353.56</v>
      </c>
      <c r="F594" s="42">
        <v>1353.56</v>
      </c>
      <c r="G594" s="43">
        <v>90113.296894856598</v>
      </c>
      <c r="H594" s="43">
        <v>86476.856788285499</v>
      </c>
      <c r="I594" s="27">
        <f t="shared" si="24"/>
        <v>2</v>
      </c>
      <c r="J594" s="27">
        <f t="shared" si="26"/>
        <v>2</v>
      </c>
      <c r="K594" s="27">
        <f t="shared" si="25"/>
        <v>2</v>
      </c>
      <c r="L594" s="25">
        <v>452.97580825</v>
      </c>
      <c r="M594" s="25">
        <v>455.91448694498973</v>
      </c>
      <c r="N594" s="38">
        <v>0.5021266798765911</v>
      </c>
      <c r="O594" s="38">
        <v>-10.524358771050901</v>
      </c>
      <c r="P594" s="71">
        <v>-12.532865490557265</v>
      </c>
      <c r="Q594" s="53">
        <v>42405</v>
      </c>
      <c r="R594" s="23">
        <v>8</v>
      </c>
      <c r="S594" s="24">
        <v>452.63456199999996</v>
      </c>
      <c r="T594" s="24">
        <v>455.55948964337244</v>
      </c>
      <c r="U594" s="1">
        <v>0.50015532949143626</v>
      </c>
      <c r="V594" s="2">
        <v>-10.396507117968689</v>
      </c>
      <c r="W594" s="2">
        <v>-12.397128435934434</v>
      </c>
      <c r="X594" s="22">
        <v>42405</v>
      </c>
      <c r="Y594" s="23">
        <v>8</v>
      </c>
      <c r="Z594" s="24">
        <v>453.31705450000004</v>
      </c>
      <c r="AA594" s="24">
        <v>456.26948424660702</v>
      </c>
      <c r="AB594" s="1">
        <v>0.50409803026174593</v>
      </c>
      <c r="AC594" s="2">
        <v>-10.652210424133113</v>
      </c>
      <c r="AD594" s="2">
        <v>-12.668602545180097</v>
      </c>
      <c r="AE594" s="22" t="s">
        <v>17</v>
      </c>
      <c r="AF594" s="23"/>
      <c r="AG594" s="24" t="s">
        <v>17</v>
      </c>
      <c r="AH594" s="24" t="s">
        <v>17</v>
      </c>
      <c r="AI594" s="1" t="s">
        <v>17</v>
      </c>
      <c r="AJ594" s="2" t="s">
        <v>17</v>
      </c>
      <c r="AK594" s="2" t="s">
        <v>17</v>
      </c>
      <c r="AL594" s="3"/>
      <c r="AM594" s="2"/>
      <c r="AN594" s="24" t="s">
        <v>17</v>
      </c>
      <c r="AO594" s="24" t="s">
        <v>17</v>
      </c>
      <c r="AP594" s="1" t="s">
        <v>17</v>
      </c>
      <c r="AQ594" s="2" t="s">
        <v>17</v>
      </c>
      <c r="AR594" s="2" t="s">
        <v>17</v>
      </c>
      <c r="AS594" s="3"/>
      <c r="AT594" s="2"/>
      <c r="AU594" s="4"/>
      <c r="AV594" s="2"/>
      <c r="AW594" s="1" t="s">
        <v>17</v>
      </c>
      <c r="AX594" s="2" t="s">
        <v>17</v>
      </c>
      <c r="AY594" s="2" t="s">
        <v>17</v>
      </c>
      <c r="AZ594" s="5"/>
      <c r="BA594" s="6"/>
      <c r="BB594" s="4"/>
      <c r="BC594" s="6"/>
      <c r="BD594" s="6"/>
      <c r="BE594" s="6"/>
      <c r="BF594" s="7"/>
    </row>
    <row r="595" spans="1:58" ht="18" customHeight="1">
      <c r="A595" s="107" t="s">
        <v>15</v>
      </c>
      <c r="B595" s="93" t="s">
        <v>572</v>
      </c>
      <c r="C595" s="42">
        <v>1357</v>
      </c>
      <c r="D595" s="42">
        <v>1357.0650000000001</v>
      </c>
      <c r="E595" s="42">
        <v>1357.0325</v>
      </c>
      <c r="F595" s="42">
        <v>1357.0325</v>
      </c>
      <c r="G595" s="43">
        <v>90487.340192855307</v>
      </c>
      <c r="H595" s="43">
        <v>86827.149961743999</v>
      </c>
      <c r="I595" s="27">
        <f t="shared" si="24"/>
        <v>1</v>
      </c>
      <c r="J595" s="27">
        <f t="shared" si="26"/>
        <v>1</v>
      </c>
      <c r="K595" s="27">
        <f t="shared" si="25"/>
        <v>1</v>
      </c>
      <c r="L595" s="25">
        <v>448.34511299999997</v>
      </c>
      <c r="M595" s="25">
        <v>451.22354013961223</v>
      </c>
      <c r="N595" s="38">
        <v>0.49691291783560132</v>
      </c>
      <c r="O595" s="38">
        <v>-6.6617715956016621</v>
      </c>
      <c r="P595" s="71">
        <v>-8.6494232669440674</v>
      </c>
      <c r="Q595" s="53">
        <v>42510</v>
      </c>
      <c r="R595" s="23">
        <v>11</v>
      </c>
      <c r="S595" s="24">
        <v>448.34511299999997</v>
      </c>
      <c r="T595" s="24">
        <v>451.22354013961223</v>
      </c>
      <c r="U595" s="1">
        <v>0.49691291783560132</v>
      </c>
      <c r="V595" s="2">
        <v>-6.6617715956016621</v>
      </c>
      <c r="W595" s="2">
        <v>-8.6494232669440674</v>
      </c>
      <c r="X595" s="22" t="s">
        <v>17</v>
      </c>
      <c r="Y595" s="23"/>
      <c r="Z595" s="24" t="s">
        <v>17</v>
      </c>
      <c r="AA595" s="24" t="s">
        <v>17</v>
      </c>
      <c r="AB595" s="1" t="s">
        <v>17</v>
      </c>
      <c r="AC595" s="2" t="s">
        <v>17</v>
      </c>
      <c r="AD595" s="2" t="s">
        <v>17</v>
      </c>
      <c r="AE595" s="22" t="s">
        <v>17</v>
      </c>
      <c r="AF595" s="23"/>
      <c r="AG595" s="24" t="s">
        <v>17</v>
      </c>
      <c r="AH595" s="24" t="s">
        <v>17</v>
      </c>
      <c r="AI595" s="1" t="s">
        <v>17</v>
      </c>
      <c r="AJ595" s="2" t="s">
        <v>17</v>
      </c>
      <c r="AK595" s="2" t="s">
        <v>17</v>
      </c>
      <c r="AL595" s="3"/>
      <c r="AM595" s="2"/>
      <c r="AN595" s="24" t="s">
        <v>17</v>
      </c>
      <c r="AO595" s="24" t="s">
        <v>17</v>
      </c>
      <c r="AP595" s="1" t="s">
        <v>17</v>
      </c>
      <c r="AQ595" s="2" t="s">
        <v>17</v>
      </c>
      <c r="AR595" s="2" t="s">
        <v>17</v>
      </c>
      <c r="AS595" s="3"/>
      <c r="AT595" s="2"/>
      <c r="AU595" s="4"/>
      <c r="AV595" s="2"/>
      <c r="AW595" s="1" t="s">
        <v>17</v>
      </c>
      <c r="AX595" s="2" t="s">
        <v>17</v>
      </c>
      <c r="AY595" s="2" t="s">
        <v>17</v>
      </c>
      <c r="AZ595" s="5"/>
      <c r="BA595" s="6"/>
      <c r="BB595" s="4"/>
      <c r="BC595" s="6"/>
      <c r="BD595" s="6"/>
      <c r="BE595" s="6"/>
      <c r="BF595" s="7"/>
    </row>
    <row r="596" spans="1:58" ht="18" customHeight="1">
      <c r="A596" s="107" t="s">
        <v>15</v>
      </c>
      <c r="B596" s="93" t="s">
        <v>572</v>
      </c>
      <c r="C596" s="42">
        <v>1357.0650000000001</v>
      </c>
      <c r="D596" s="42">
        <v>1357.12</v>
      </c>
      <c r="E596" s="42">
        <v>1357.0925</v>
      </c>
      <c r="F596" s="42">
        <v>1357.0925</v>
      </c>
      <c r="G596" s="43">
        <v>90493.904456072196</v>
      </c>
      <c r="H596" s="43">
        <v>86832.987599079905</v>
      </c>
      <c r="I596" s="27">
        <f t="shared" si="24"/>
        <v>1</v>
      </c>
      <c r="J596" s="27">
        <f t="shared" si="26"/>
        <v>1</v>
      </c>
      <c r="K596" s="27">
        <f t="shared" si="25"/>
        <v>1</v>
      </c>
      <c r="L596" s="25">
        <v>446.646298</v>
      </c>
      <c r="M596" s="25">
        <v>449.52099774126975</v>
      </c>
      <c r="N596" s="38">
        <v>0.49815700022759479</v>
      </c>
      <c r="O596" s="38">
        <v>-6.3235871048258341</v>
      </c>
      <c r="P596" s="71">
        <v>-8.3162151057362124</v>
      </c>
      <c r="Q596" s="53">
        <v>42510</v>
      </c>
      <c r="R596" s="23">
        <v>11</v>
      </c>
      <c r="S596" s="24">
        <v>446.646298</v>
      </c>
      <c r="T596" s="24">
        <v>449.52099774126975</v>
      </c>
      <c r="U596" s="1">
        <v>0.49815700022759479</v>
      </c>
      <c r="V596" s="2">
        <v>-6.3235871048258341</v>
      </c>
      <c r="W596" s="2">
        <v>-8.3162151057362124</v>
      </c>
      <c r="X596" s="22" t="s">
        <v>17</v>
      </c>
      <c r="Y596" s="23"/>
      <c r="Z596" s="24" t="s">
        <v>17</v>
      </c>
      <c r="AA596" s="24" t="s">
        <v>17</v>
      </c>
      <c r="AB596" s="1" t="s">
        <v>17</v>
      </c>
      <c r="AC596" s="2" t="s">
        <v>17</v>
      </c>
      <c r="AD596" s="2" t="s">
        <v>17</v>
      </c>
      <c r="AE596" s="22" t="s">
        <v>17</v>
      </c>
      <c r="AF596" s="23"/>
      <c r="AG596" s="24" t="s">
        <v>17</v>
      </c>
      <c r="AH596" s="24" t="s">
        <v>17</v>
      </c>
      <c r="AI596" s="1" t="s">
        <v>17</v>
      </c>
      <c r="AJ596" s="2" t="s">
        <v>17</v>
      </c>
      <c r="AK596" s="2" t="s">
        <v>17</v>
      </c>
      <c r="AL596" s="3"/>
      <c r="AM596" s="2"/>
      <c r="AN596" s="24" t="s">
        <v>17</v>
      </c>
      <c r="AO596" s="24" t="s">
        <v>17</v>
      </c>
      <c r="AP596" s="1" t="s">
        <v>17</v>
      </c>
      <c r="AQ596" s="2" t="s">
        <v>17</v>
      </c>
      <c r="AR596" s="2" t="s">
        <v>17</v>
      </c>
      <c r="AS596" s="3"/>
      <c r="AT596" s="2"/>
      <c r="AU596" s="4"/>
      <c r="AV596" s="2"/>
      <c r="AW596" s="1" t="s">
        <v>17</v>
      </c>
      <c r="AX596" s="2" t="s">
        <v>17</v>
      </c>
      <c r="AY596" s="2" t="s">
        <v>17</v>
      </c>
      <c r="AZ596" s="5"/>
      <c r="BA596" s="6"/>
      <c r="BB596" s="4"/>
      <c r="BC596" s="6"/>
      <c r="BD596" s="6"/>
      <c r="BE596" s="6"/>
      <c r="BF596" s="7"/>
    </row>
    <row r="597" spans="1:58" ht="18" customHeight="1">
      <c r="A597" s="107" t="s">
        <v>15</v>
      </c>
      <c r="B597" s="93" t="s">
        <v>573</v>
      </c>
      <c r="C597" s="42">
        <v>1361</v>
      </c>
      <c r="D597" s="42">
        <v>1361.12</v>
      </c>
      <c r="E597" s="42">
        <v>1361.06</v>
      </c>
      <c r="F597" s="42">
        <v>1361.06</v>
      </c>
      <c r="G597" s="43">
        <v>90894.288657202298</v>
      </c>
      <c r="H597" s="43">
        <v>87222.420070259104</v>
      </c>
      <c r="I597" s="27">
        <f t="shared" si="24"/>
        <v>2</v>
      </c>
      <c r="J597" s="27">
        <f t="shared" si="26"/>
        <v>3</v>
      </c>
      <c r="K597" s="27">
        <f t="shared" si="25"/>
        <v>2</v>
      </c>
      <c r="L597" s="25">
        <v>444.1446995</v>
      </c>
      <c r="M597" s="25">
        <v>439.55239837051516</v>
      </c>
      <c r="N597" s="38">
        <v>0.49499143942766111</v>
      </c>
      <c r="O597" s="38">
        <v>-14.143465457016447</v>
      </c>
      <c r="P597" s="71">
        <v>-16.112371646283375</v>
      </c>
      <c r="Q597" s="53">
        <v>42431</v>
      </c>
      <c r="R597" s="23">
        <v>9</v>
      </c>
      <c r="S597" s="24">
        <v>442.98294399999997</v>
      </c>
      <c r="T597" s="24">
        <v>438.38291288792919</v>
      </c>
      <c r="U597" s="1">
        <v>0.49216599214441104</v>
      </c>
      <c r="V597" s="2">
        <v>-14.041794755886073</v>
      </c>
      <c r="W597" s="2">
        <v>-16.010458724463717</v>
      </c>
      <c r="X597" s="22">
        <v>42431</v>
      </c>
      <c r="Y597" s="23">
        <v>11</v>
      </c>
      <c r="Z597" s="24">
        <v>445.30645500000003</v>
      </c>
      <c r="AA597" s="24">
        <v>440.72188385310113</v>
      </c>
      <c r="AB597" s="1">
        <v>0.49228710248905294</v>
      </c>
      <c r="AC597" s="2">
        <v>-14.245136158146821</v>
      </c>
      <c r="AD597" s="2">
        <v>-16.214284568103032</v>
      </c>
      <c r="AE597" s="22">
        <v>42503</v>
      </c>
      <c r="AF597" s="23" t="s">
        <v>88</v>
      </c>
      <c r="AG597" s="24"/>
      <c r="AH597" s="24"/>
      <c r="AI597" s="1">
        <v>0.50052122364951934</v>
      </c>
      <c r="AJ597" s="2"/>
      <c r="AK597" s="2"/>
      <c r="AL597" s="3"/>
      <c r="AM597" s="2"/>
      <c r="AN597" s="24" t="s">
        <v>17</v>
      </c>
      <c r="AO597" s="24" t="s">
        <v>17</v>
      </c>
      <c r="AP597" s="1" t="s">
        <v>17</v>
      </c>
      <c r="AQ597" s="2" t="s">
        <v>17</v>
      </c>
      <c r="AR597" s="2" t="s">
        <v>17</v>
      </c>
      <c r="AS597" s="3"/>
      <c r="AT597" s="2"/>
      <c r="AU597" s="4"/>
      <c r="AV597" s="2"/>
      <c r="AW597" s="1" t="s">
        <v>17</v>
      </c>
      <c r="AX597" s="2" t="s">
        <v>17</v>
      </c>
      <c r="AY597" s="2" t="s">
        <v>17</v>
      </c>
      <c r="AZ597" s="5"/>
      <c r="BA597" s="6"/>
      <c r="BB597" s="4"/>
      <c r="BC597" s="6"/>
      <c r="BD597" s="6"/>
      <c r="BE597" s="6"/>
      <c r="BF597" s="7"/>
    </row>
    <row r="598" spans="1:58" ht="18" customHeight="1">
      <c r="A598" s="107" t="s">
        <v>15</v>
      </c>
      <c r="B598" s="93" t="s">
        <v>574</v>
      </c>
      <c r="C598" s="42">
        <v>1365</v>
      </c>
      <c r="D598" s="42">
        <v>1365.12</v>
      </c>
      <c r="E598" s="42">
        <v>1365.06</v>
      </c>
      <c r="F598" s="42">
        <v>1365.06</v>
      </c>
      <c r="G598" s="43">
        <v>91296.712477002598</v>
      </c>
      <c r="H598" s="43">
        <v>87630.441877002202</v>
      </c>
      <c r="I598" s="27">
        <f t="shared" si="24"/>
        <v>1</v>
      </c>
      <c r="J598" s="27">
        <f t="shared" si="26"/>
        <v>1</v>
      </c>
      <c r="K598" s="27">
        <f t="shared" si="25"/>
        <v>1</v>
      </c>
      <c r="L598" s="25">
        <v>441.3057475</v>
      </c>
      <c r="M598" s="25">
        <v>444.04151595534501</v>
      </c>
      <c r="N598" s="38">
        <v>0.4798187779537777</v>
      </c>
      <c r="O598" s="38">
        <v>-15.611336559063549</v>
      </c>
      <c r="P598" s="71">
        <v>-17.53061167087866</v>
      </c>
      <c r="Q598" s="53">
        <v>42524</v>
      </c>
      <c r="R598" s="23">
        <v>11</v>
      </c>
      <c r="S598" s="24">
        <v>441.3057475</v>
      </c>
      <c r="T598" s="24">
        <v>444.04151595534501</v>
      </c>
      <c r="U598" s="1">
        <v>0.4798187779537777</v>
      </c>
      <c r="V598" s="2">
        <v>-15.611336559063549</v>
      </c>
      <c r="W598" s="2">
        <v>-17.53061167087866</v>
      </c>
      <c r="X598" s="22" t="s">
        <v>17</v>
      </c>
      <c r="Y598" s="23"/>
      <c r="Z598" s="24" t="s">
        <v>17</v>
      </c>
      <c r="AA598" s="24" t="s">
        <v>17</v>
      </c>
      <c r="AB598" s="1" t="s">
        <v>17</v>
      </c>
      <c r="AC598" s="2" t="s">
        <v>17</v>
      </c>
      <c r="AD598" s="2" t="s">
        <v>17</v>
      </c>
      <c r="AE598" s="22" t="s">
        <v>17</v>
      </c>
      <c r="AF598" s="23"/>
      <c r="AG598" s="24" t="s">
        <v>17</v>
      </c>
      <c r="AH598" s="24" t="s">
        <v>17</v>
      </c>
      <c r="AI598" s="1" t="s">
        <v>17</v>
      </c>
      <c r="AJ598" s="2" t="s">
        <v>17</v>
      </c>
      <c r="AK598" s="2" t="s">
        <v>17</v>
      </c>
      <c r="AL598" s="3"/>
      <c r="AM598" s="2"/>
      <c r="AN598" s="24" t="s">
        <v>17</v>
      </c>
      <c r="AO598" s="24" t="s">
        <v>17</v>
      </c>
      <c r="AP598" s="1" t="s">
        <v>17</v>
      </c>
      <c r="AQ598" s="2" t="s">
        <v>17</v>
      </c>
      <c r="AR598" s="2" t="s">
        <v>17</v>
      </c>
      <c r="AS598" s="3"/>
      <c r="AT598" s="2"/>
      <c r="AU598" s="4"/>
      <c r="AV598" s="2"/>
      <c r="AW598" s="1" t="s">
        <v>17</v>
      </c>
      <c r="AX598" s="2" t="s">
        <v>17</v>
      </c>
      <c r="AY598" s="2" t="s">
        <v>17</v>
      </c>
      <c r="AZ598" s="5"/>
      <c r="BA598" s="6"/>
      <c r="BB598" s="4"/>
      <c r="BC598" s="6"/>
      <c r="BD598" s="6"/>
      <c r="BE598" s="6"/>
      <c r="BF598" s="7"/>
    </row>
    <row r="599" spans="1:58" ht="18" customHeight="1">
      <c r="A599" s="107" t="s">
        <v>15</v>
      </c>
      <c r="B599" s="93" t="s">
        <v>575</v>
      </c>
      <c r="C599" s="42">
        <v>1368.5</v>
      </c>
      <c r="D599" s="42">
        <v>1368.62</v>
      </c>
      <c r="E599" s="42">
        <v>1368.56</v>
      </c>
      <c r="F599" s="42">
        <v>1368.56</v>
      </c>
      <c r="G599" s="43">
        <v>91664.041292206297</v>
      </c>
      <c r="H599" s="43">
        <v>87981.298246313905</v>
      </c>
      <c r="I599" s="27">
        <f t="shared" si="24"/>
        <v>1</v>
      </c>
      <c r="J599" s="27">
        <f t="shared" si="26"/>
        <v>1</v>
      </c>
      <c r="K599" s="27">
        <f t="shared" si="25"/>
        <v>1</v>
      </c>
      <c r="L599" s="25">
        <v>450.9688165</v>
      </c>
      <c r="M599" s="25">
        <v>446.39483509444676</v>
      </c>
      <c r="N599" s="38">
        <v>0.48785095874870343</v>
      </c>
      <c r="O599" s="38">
        <v>-10.077676787934585</v>
      </c>
      <c r="P599" s="71">
        <v>-12.029080622929399</v>
      </c>
      <c r="Q599" s="53">
        <v>42458</v>
      </c>
      <c r="R599" s="23">
        <v>11</v>
      </c>
      <c r="S599" s="24">
        <v>450.9688165</v>
      </c>
      <c r="T599" s="24">
        <v>446.39483509444676</v>
      </c>
      <c r="U599" s="1">
        <v>0.48785095874870343</v>
      </c>
      <c r="V599" s="2">
        <v>-10.077676787934585</v>
      </c>
      <c r="W599" s="2">
        <v>-12.029080622929399</v>
      </c>
      <c r="X599" s="22" t="s">
        <v>17</v>
      </c>
      <c r="Y599" s="23"/>
      <c r="Z599" s="24" t="s">
        <v>17</v>
      </c>
      <c r="AA599" s="24" t="s">
        <v>17</v>
      </c>
      <c r="AB599" s="1" t="s">
        <v>17</v>
      </c>
      <c r="AC599" s="2" t="s">
        <v>17</v>
      </c>
      <c r="AD599" s="2" t="s">
        <v>17</v>
      </c>
      <c r="AE599" s="22" t="s">
        <v>17</v>
      </c>
      <c r="AF599" s="23"/>
      <c r="AG599" s="24" t="s">
        <v>17</v>
      </c>
      <c r="AH599" s="24" t="s">
        <v>17</v>
      </c>
      <c r="AI599" s="1" t="s">
        <v>17</v>
      </c>
      <c r="AJ599" s="2" t="s">
        <v>17</v>
      </c>
      <c r="AK599" s="2" t="s">
        <v>17</v>
      </c>
      <c r="AL599" s="3"/>
      <c r="AM599" s="2"/>
      <c r="AN599" s="24" t="s">
        <v>17</v>
      </c>
      <c r="AO599" s="24" t="s">
        <v>17</v>
      </c>
      <c r="AP599" s="1" t="s">
        <v>17</v>
      </c>
      <c r="AQ599" s="2" t="s">
        <v>17</v>
      </c>
      <c r="AR599" s="2" t="s">
        <v>17</v>
      </c>
      <c r="AS599" s="3"/>
      <c r="AT599" s="2"/>
      <c r="AU599" s="4"/>
      <c r="AV599" s="2"/>
      <c r="AW599" s="1" t="s">
        <v>17</v>
      </c>
      <c r="AX599" s="2" t="s">
        <v>17</v>
      </c>
      <c r="AY599" s="2" t="s">
        <v>17</v>
      </c>
      <c r="AZ599" s="5"/>
      <c r="BA599" s="6"/>
      <c r="BB599" s="4"/>
      <c r="BC599" s="6"/>
      <c r="BD599" s="6"/>
      <c r="BE599" s="6"/>
      <c r="BF599" s="7"/>
    </row>
    <row r="600" spans="1:58" ht="18" customHeight="1">
      <c r="A600" s="107" t="s">
        <v>15</v>
      </c>
      <c r="B600" s="93" t="s">
        <v>576</v>
      </c>
      <c r="C600" s="42">
        <v>1373.5</v>
      </c>
      <c r="D600" s="42">
        <v>1373.62</v>
      </c>
      <c r="E600" s="42">
        <v>1373.56</v>
      </c>
      <c r="F600" s="42">
        <v>1373.56</v>
      </c>
      <c r="G600" s="43">
        <v>92143.265663854996</v>
      </c>
      <c r="H600" s="43">
        <v>88489.334443004496</v>
      </c>
      <c r="I600" s="27">
        <f t="shared" si="24"/>
        <v>3</v>
      </c>
      <c r="J600" s="27">
        <f t="shared" si="26"/>
        <v>2</v>
      </c>
      <c r="K600" s="27">
        <f t="shared" si="25"/>
        <v>2</v>
      </c>
      <c r="L600" s="25">
        <v>460.68120666666664</v>
      </c>
      <c r="M600" s="25">
        <v>463.6049444273595</v>
      </c>
      <c r="N600" s="38">
        <v>0.49237180096950439</v>
      </c>
      <c r="O600" s="38">
        <v>-9.6755255686091779</v>
      </c>
      <c r="P600" s="71">
        <v>-11.645012772487195</v>
      </c>
      <c r="Q600" s="53">
        <v>42481</v>
      </c>
      <c r="R600" s="23">
        <v>11</v>
      </c>
      <c r="S600" s="24">
        <v>457.82521850000001</v>
      </c>
      <c r="T600" s="24">
        <v>460.75784913458654</v>
      </c>
      <c r="U600" s="1">
        <v>0.49578700795538388</v>
      </c>
      <c r="V600" s="2">
        <v>-9.9409002645736155</v>
      </c>
      <c r="W600" s="2">
        <v>-11.924048296395151</v>
      </c>
      <c r="X600" s="22">
        <v>42481</v>
      </c>
      <c r="Y600" s="23">
        <v>11</v>
      </c>
      <c r="Z600" s="24">
        <v>468.08595500000001</v>
      </c>
      <c r="AA600" s="24">
        <v>471.04300338808901</v>
      </c>
      <c r="AB600" s="1">
        <v>0.4889565939836249</v>
      </c>
      <c r="AC600" s="2">
        <v>-9.4101508726447403</v>
      </c>
      <c r="AD600" s="2">
        <v>-11.36597724857924</v>
      </c>
      <c r="AE600" s="22">
        <v>43172</v>
      </c>
      <c r="AF600" s="23">
        <v>3</v>
      </c>
      <c r="AG600" s="24">
        <v>456.13244650000001</v>
      </c>
      <c r="AH600" s="24">
        <v>459.01398075940307</v>
      </c>
      <c r="AI600" s="1"/>
      <c r="AJ600" s="2"/>
      <c r="AK600" s="2"/>
      <c r="AL600" s="3"/>
      <c r="AM600" s="2"/>
      <c r="AN600" s="24" t="s">
        <v>17</v>
      </c>
      <c r="AO600" s="24" t="s">
        <v>17</v>
      </c>
      <c r="AP600" s="1" t="s">
        <v>17</v>
      </c>
      <c r="AQ600" s="2" t="s">
        <v>17</v>
      </c>
      <c r="AR600" s="2" t="s">
        <v>17</v>
      </c>
      <c r="AS600" s="3"/>
      <c r="AT600" s="2"/>
      <c r="AU600" s="4"/>
      <c r="AV600" s="2"/>
      <c r="AW600" s="1" t="s">
        <v>17</v>
      </c>
      <c r="AX600" s="2" t="s">
        <v>17</v>
      </c>
      <c r="AY600" s="2" t="s">
        <v>17</v>
      </c>
      <c r="AZ600" s="5"/>
      <c r="BA600" s="6"/>
      <c r="BB600" s="4"/>
      <c r="BC600" s="6"/>
      <c r="BD600" s="6"/>
      <c r="BE600" s="6"/>
      <c r="BF600" s="7"/>
    </row>
    <row r="601" spans="1:58" ht="18" customHeight="1">
      <c r="A601" s="107" t="s">
        <v>15</v>
      </c>
      <c r="B601" s="93" t="s">
        <v>577</v>
      </c>
      <c r="C601" s="42">
        <v>1378.5</v>
      </c>
      <c r="D601" s="42">
        <v>1378.62</v>
      </c>
      <c r="E601" s="42">
        <v>1378.56</v>
      </c>
      <c r="F601" s="42">
        <v>1378.56</v>
      </c>
      <c r="G601" s="43">
        <v>92599.804177859798</v>
      </c>
      <c r="H601" s="43">
        <v>89027.047989212704</v>
      </c>
      <c r="I601" s="27">
        <f t="shared" si="24"/>
        <v>3</v>
      </c>
      <c r="J601" s="27">
        <f t="shared" si="26"/>
        <v>2</v>
      </c>
      <c r="K601" s="27">
        <f t="shared" si="25"/>
        <v>2</v>
      </c>
      <c r="L601" s="25">
        <v>511.49073933333329</v>
      </c>
      <c r="M601" s="25">
        <v>509.78825017256713</v>
      </c>
      <c r="N601" s="38">
        <v>0.49172633282601463</v>
      </c>
      <c r="O601" s="38">
        <v>-11.020328566000547</v>
      </c>
      <c r="P601" s="71">
        <v>-12.987233897304606</v>
      </c>
      <c r="Q601" s="53">
        <v>42461</v>
      </c>
      <c r="R601" s="23">
        <v>11</v>
      </c>
      <c r="S601" s="24">
        <v>517.55397449999998</v>
      </c>
      <c r="T601" s="24">
        <v>513.44819828534833</v>
      </c>
      <c r="U601" s="1">
        <v>0.49521135986752007</v>
      </c>
      <c r="V601" s="2">
        <v>-11.38631907001708</v>
      </c>
      <c r="W601" s="2">
        <v>-13.367164509487161</v>
      </c>
      <c r="X601" s="22">
        <v>42461</v>
      </c>
      <c r="Y601" s="23">
        <v>11</v>
      </c>
      <c r="Z601" s="24">
        <v>511.55210199999999</v>
      </c>
      <c r="AA601" s="24">
        <v>507.36252185961087</v>
      </c>
      <c r="AB601" s="1">
        <v>0.48824130578450919</v>
      </c>
      <c r="AC601" s="2">
        <v>-10.654338061984014</v>
      </c>
      <c r="AD601" s="2">
        <v>-12.60730328512205</v>
      </c>
      <c r="AE601" s="22">
        <v>43172</v>
      </c>
      <c r="AF601" s="23">
        <v>3</v>
      </c>
      <c r="AG601" s="24">
        <v>505.36614150000003</v>
      </c>
      <c r="AH601" s="24">
        <v>508.55403037274209</v>
      </c>
      <c r="AI601" s="1"/>
      <c r="AJ601" s="2"/>
      <c r="AK601" s="2"/>
      <c r="AL601" s="3"/>
      <c r="AM601" s="2"/>
      <c r="AN601" s="24" t="s">
        <v>17</v>
      </c>
      <c r="AO601" s="24" t="s">
        <v>17</v>
      </c>
      <c r="AP601" s="1" t="s">
        <v>17</v>
      </c>
      <c r="AQ601" s="2" t="s">
        <v>17</v>
      </c>
      <c r="AR601" s="2" t="s">
        <v>17</v>
      </c>
      <c r="AS601" s="3"/>
      <c r="AT601" s="2"/>
      <c r="AU601" s="4"/>
      <c r="AV601" s="2"/>
      <c r="AW601" s="1" t="s">
        <v>17</v>
      </c>
      <c r="AX601" s="2" t="s">
        <v>17</v>
      </c>
      <c r="AY601" s="2" t="s">
        <v>17</v>
      </c>
      <c r="AZ601" s="5"/>
      <c r="BA601" s="6"/>
      <c r="BB601" s="4"/>
      <c r="BC601" s="6"/>
      <c r="BD601" s="6"/>
      <c r="BE601" s="6"/>
      <c r="BF601" s="7"/>
    </row>
    <row r="602" spans="1:58" ht="18" customHeight="1">
      <c r="A602" s="107" t="s">
        <v>15</v>
      </c>
      <c r="B602" s="93" t="s">
        <v>578</v>
      </c>
      <c r="C602" s="42">
        <v>1384</v>
      </c>
      <c r="D602" s="42">
        <v>1384.075</v>
      </c>
      <c r="E602" s="42">
        <v>1384.0374999999999</v>
      </c>
      <c r="F602" s="42">
        <v>1384.0374999999999</v>
      </c>
      <c r="G602" s="43">
        <v>93154.042528363803</v>
      </c>
      <c r="H602" s="43">
        <v>89642.056904774901</v>
      </c>
      <c r="I602" s="27">
        <f t="shared" si="24"/>
        <v>1</v>
      </c>
      <c r="J602" s="27">
        <f t="shared" si="26"/>
        <v>1</v>
      </c>
      <c r="K602" s="27">
        <f t="shared" si="25"/>
        <v>1</v>
      </c>
      <c r="L602" s="25">
        <v>517.17008099999998</v>
      </c>
      <c r="M602" s="25">
        <v>520.47453077000921</v>
      </c>
      <c r="N602" s="38">
        <v>0.49454207715426968</v>
      </c>
      <c r="O602" s="38">
        <v>-4.9751753975477708</v>
      </c>
      <c r="P602" s="71">
        <v>-6.9533437061648495</v>
      </c>
      <c r="Q602" s="53">
        <v>42510</v>
      </c>
      <c r="R602" s="23">
        <v>11</v>
      </c>
      <c r="S602" s="24">
        <v>517.17008099999998</v>
      </c>
      <c r="T602" s="24">
        <v>520.47453077000921</v>
      </c>
      <c r="U602" s="1">
        <v>0.49454207715426968</v>
      </c>
      <c r="V602" s="2">
        <v>-4.9751753975477708</v>
      </c>
      <c r="W602" s="2">
        <v>-6.9533437061648495</v>
      </c>
      <c r="X602" s="22" t="s">
        <v>17</v>
      </c>
      <c r="Y602" s="23"/>
      <c r="Z602" s="24" t="s">
        <v>17</v>
      </c>
      <c r="AA602" s="24" t="s">
        <v>17</v>
      </c>
      <c r="AB602" s="1" t="s">
        <v>17</v>
      </c>
      <c r="AC602" s="2" t="s">
        <v>17</v>
      </c>
      <c r="AD602" s="2" t="s">
        <v>17</v>
      </c>
      <c r="AE602" s="22" t="s">
        <v>17</v>
      </c>
      <c r="AF602" s="23"/>
      <c r="AG602" s="24" t="s">
        <v>17</v>
      </c>
      <c r="AH602" s="24" t="s">
        <v>17</v>
      </c>
      <c r="AI602" s="1" t="s">
        <v>17</v>
      </c>
      <c r="AJ602" s="2" t="s">
        <v>17</v>
      </c>
      <c r="AK602" s="2" t="s">
        <v>17</v>
      </c>
      <c r="AL602" s="3"/>
      <c r="AM602" s="2"/>
      <c r="AN602" s="24" t="s">
        <v>17</v>
      </c>
      <c r="AO602" s="24" t="s">
        <v>17</v>
      </c>
      <c r="AP602" s="1" t="s">
        <v>17</v>
      </c>
      <c r="AQ602" s="2" t="s">
        <v>17</v>
      </c>
      <c r="AR602" s="2" t="s">
        <v>17</v>
      </c>
      <c r="AS602" s="3"/>
      <c r="AT602" s="2"/>
      <c r="AU602" s="4"/>
      <c r="AV602" s="2"/>
      <c r="AW602" s="1" t="s">
        <v>17</v>
      </c>
      <c r="AX602" s="2" t="s">
        <v>17</v>
      </c>
      <c r="AY602" s="2" t="s">
        <v>17</v>
      </c>
      <c r="AZ602" s="5"/>
      <c r="BA602" s="6"/>
      <c r="BB602" s="4"/>
      <c r="BC602" s="6"/>
      <c r="BD602" s="6"/>
      <c r="BE602" s="6"/>
      <c r="BF602" s="7"/>
    </row>
    <row r="603" spans="1:58" ht="18" customHeight="1">
      <c r="A603" s="107" t="s">
        <v>15</v>
      </c>
      <c r="B603" s="93" t="s">
        <v>579</v>
      </c>
      <c r="C603" s="42">
        <v>1390</v>
      </c>
      <c r="D603" s="42">
        <v>1390.12</v>
      </c>
      <c r="E603" s="42">
        <v>1390.06</v>
      </c>
      <c r="F603" s="42">
        <v>1390.06</v>
      </c>
      <c r="G603" s="43">
        <v>93783.701166258295</v>
      </c>
      <c r="H603" s="43">
        <v>90316.409809908902</v>
      </c>
      <c r="I603" s="27">
        <f t="shared" si="24"/>
        <v>2</v>
      </c>
      <c r="J603" s="27">
        <f t="shared" si="26"/>
        <v>2</v>
      </c>
      <c r="K603" s="27">
        <f t="shared" si="25"/>
        <v>2</v>
      </c>
      <c r="L603" s="25">
        <v>495.26085275000003</v>
      </c>
      <c r="M603" s="25">
        <v>498.39300765274186</v>
      </c>
      <c r="N603" s="38">
        <v>0.48949551303079097</v>
      </c>
      <c r="O603" s="38">
        <v>-8.2496648727193858</v>
      </c>
      <c r="P603" s="71">
        <v>-10.20764692484255</v>
      </c>
      <c r="Q603" s="53">
        <v>42481</v>
      </c>
      <c r="R603" s="23">
        <v>11</v>
      </c>
      <c r="S603" s="24">
        <v>494.81176599999998</v>
      </c>
      <c r="T603" s="24">
        <v>497.95696976864656</v>
      </c>
      <c r="U603" s="1">
        <v>0.49197864910643929</v>
      </c>
      <c r="V603" s="2">
        <v>-8.0909724349448311</v>
      </c>
      <c r="W603" s="2">
        <v>-10.058887031370588</v>
      </c>
      <c r="X603" s="22">
        <v>42481</v>
      </c>
      <c r="Y603" s="23">
        <v>11</v>
      </c>
      <c r="Z603" s="24">
        <v>495.70993950000002</v>
      </c>
      <c r="AA603" s="24">
        <v>498.8290455368371</v>
      </c>
      <c r="AB603" s="1">
        <v>0.48701237695514266</v>
      </c>
      <c r="AC603" s="2">
        <v>-8.4083573104939404</v>
      </c>
      <c r="AD603" s="2">
        <v>-10.356406818314511</v>
      </c>
      <c r="AE603" s="22" t="s">
        <v>17</v>
      </c>
      <c r="AF603" s="23"/>
      <c r="AG603" s="24" t="s">
        <v>17</v>
      </c>
      <c r="AH603" s="24" t="s">
        <v>17</v>
      </c>
      <c r="AI603" s="1" t="s">
        <v>17</v>
      </c>
      <c r="AJ603" s="2" t="s">
        <v>17</v>
      </c>
      <c r="AK603" s="2" t="s">
        <v>17</v>
      </c>
      <c r="AL603" s="3"/>
      <c r="AM603" s="2"/>
      <c r="AN603" s="24" t="s">
        <v>17</v>
      </c>
      <c r="AO603" s="24" t="s">
        <v>17</v>
      </c>
      <c r="AP603" s="1" t="s">
        <v>17</v>
      </c>
      <c r="AQ603" s="2" t="s">
        <v>17</v>
      </c>
      <c r="AR603" s="2" t="s">
        <v>17</v>
      </c>
      <c r="AS603" s="3"/>
      <c r="AT603" s="2"/>
      <c r="AU603" s="4"/>
      <c r="AV603" s="2"/>
      <c r="AW603" s="1" t="s">
        <v>17</v>
      </c>
      <c r="AX603" s="2" t="s">
        <v>17</v>
      </c>
      <c r="AY603" s="2" t="s">
        <v>17</v>
      </c>
      <c r="AZ603" s="5"/>
      <c r="BA603" s="6"/>
      <c r="BB603" s="4"/>
      <c r="BC603" s="6"/>
      <c r="BD603" s="6"/>
      <c r="BE603" s="6"/>
      <c r="BF603" s="7"/>
    </row>
    <row r="604" spans="1:58" ht="18" customHeight="1">
      <c r="A604" s="107" t="s">
        <v>15</v>
      </c>
      <c r="B604" s="93" t="s">
        <v>580</v>
      </c>
      <c r="C604" s="42">
        <v>1396.5</v>
      </c>
      <c r="D604" s="42">
        <v>1396.5650000000001</v>
      </c>
      <c r="E604" s="42">
        <v>1396.5325</v>
      </c>
      <c r="F604" s="42">
        <v>1396.5325</v>
      </c>
      <c r="G604" s="43">
        <v>94483.052960361805</v>
      </c>
      <c r="H604" s="43">
        <v>90972.441119069801</v>
      </c>
      <c r="I604" s="27">
        <f t="shared" si="24"/>
        <v>1</v>
      </c>
      <c r="J604" s="27">
        <f t="shared" si="26"/>
        <v>1</v>
      </c>
      <c r="K604" s="27">
        <f t="shared" si="25"/>
        <v>1</v>
      </c>
      <c r="L604" s="25">
        <v>479.832988</v>
      </c>
      <c r="M604" s="25">
        <v>482.90558803689333</v>
      </c>
      <c r="N604" s="38">
        <v>0.4956252409991091</v>
      </c>
      <c r="O604" s="38">
        <v>-5.2853710170056578</v>
      </c>
      <c r="P604" s="71">
        <v>-7.2678719810020942</v>
      </c>
      <c r="Q604" s="53">
        <v>42515</v>
      </c>
      <c r="R604" s="23">
        <v>11</v>
      </c>
      <c r="S604" s="24">
        <v>479.832988</v>
      </c>
      <c r="T604" s="24">
        <v>482.90558803689333</v>
      </c>
      <c r="U604" s="1">
        <v>0.4956252409991091</v>
      </c>
      <c r="V604" s="2">
        <v>-5.2853710170056578</v>
      </c>
      <c r="W604" s="2">
        <v>-7.2678719810020942</v>
      </c>
      <c r="X604" s="22" t="s">
        <v>17</v>
      </c>
      <c r="Y604" s="23"/>
      <c r="Z604" s="24" t="s">
        <v>17</v>
      </c>
      <c r="AA604" s="24" t="s">
        <v>17</v>
      </c>
      <c r="AB604" s="1" t="s">
        <v>17</v>
      </c>
      <c r="AC604" s="2" t="s">
        <v>17</v>
      </c>
      <c r="AD604" s="2" t="s">
        <v>17</v>
      </c>
      <c r="AE604" s="22" t="s">
        <v>17</v>
      </c>
      <c r="AF604" s="23"/>
      <c r="AG604" s="24" t="s">
        <v>17</v>
      </c>
      <c r="AH604" s="24" t="s">
        <v>17</v>
      </c>
      <c r="AI604" s="1" t="s">
        <v>17</v>
      </c>
      <c r="AJ604" s="2" t="s">
        <v>17</v>
      </c>
      <c r="AK604" s="2" t="s">
        <v>17</v>
      </c>
      <c r="AL604" s="3"/>
      <c r="AM604" s="2"/>
      <c r="AN604" s="24" t="s">
        <v>17</v>
      </c>
      <c r="AO604" s="24" t="s">
        <v>17</v>
      </c>
      <c r="AP604" s="1" t="s">
        <v>17</v>
      </c>
      <c r="AQ604" s="2" t="s">
        <v>17</v>
      </c>
      <c r="AR604" s="2" t="s">
        <v>17</v>
      </c>
      <c r="AS604" s="3"/>
      <c r="AT604" s="2"/>
      <c r="AU604" s="4"/>
      <c r="AV604" s="2"/>
      <c r="AW604" s="1" t="s">
        <v>17</v>
      </c>
      <c r="AX604" s="2" t="s">
        <v>17</v>
      </c>
      <c r="AY604" s="2" t="s">
        <v>17</v>
      </c>
      <c r="AZ604" s="5"/>
      <c r="BA604" s="6"/>
      <c r="BB604" s="4"/>
      <c r="BC604" s="6"/>
      <c r="BD604" s="6"/>
      <c r="BE604" s="6"/>
      <c r="BF604" s="7"/>
    </row>
    <row r="605" spans="1:58" ht="18" customHeight="1">
      <c r="A605" s="107" t="s">
        <v>15</v>
      </c>
      <c r="B605" s="93" t="s">
        <v>580</v>
      </c>
      <c r="C605" s="42">
        <v>1396.5650000000001</v>
      </c>
      <c r="D605" s="42">
        <v>1396.62</v>
      </c>
      <c r="E605" s="42">
        <v>1396.5925</v>
      </c>
      <c r="F605" s="42">
        <v>1396.5925</v>
      </c>
      <c r="G605" s="43">
        <v>94489.082166631502</v>
      </c>
      <c r="H605" s="43">
        <v>90978.124974013495</v>
      </c>
      <c r="I605" s="27">
        <f t="shared" si="24"/>
        <v>1</v>
      </c>
      <c r="J605" s="27">
        <f t="shared" si="26"/>
        <v>1</v>
      </c>
      <c r="K605" s="27">
        <f t="shared" si="25"/>
        <v>1</v>
      </c>
      <c r="L605" s="25">
        <v>489.44259199999999</v>
      </c>
      <c r="M605" s="25">
        <v>492.5968975970361</v>
      </c>
      <c r="N605" s="38">
        <v>0.49881498682524672</v>
      </c>
      <c r="O605" s="38">
        <v>-9.9015305687528699</v>
      </c>
      <c r="P605" s="71">
        <v>-11.896790516053857</v>
      </c>
      <c r="Q605" s="53">
        <v>42515</v>
      </c>
      <c r="R605" s="23">
        <v>11</v>
      </c>
      <c r="S605" s="24">
        <v>489.44259199999999</v>
      </c>
      <c r="T605" s="24">
        <v>492.5968975970361</v>
      </c>
      <c r="U605" s="1">
        <v>0.49881498682524672</v>
      </c>
      <c r="V605" s="2">
        <v>-9.9015305687528699</v>
      </c>
      <c r="W605" s="2">
        <v>-11.896790516053857</v>
      </c>
      <c r="X605" s="22" t="s">
        <v>17</v>
      </c>
      <c r="Y605" s="23"/>
      <c r="Z605" s="24" t="s">
        <v>17</v>
      </c>
      <c r="AA605" s="24" t="s">
        <v>17</v>
      </c>
      <c r="AB605" s="1" t="s">
        <v>17</v>
      </c>
      <c r="AC605" s="2" t="s">
        <v>17</v>
      </c>
      <c r="AD605" s="2" t="s">
        <v>17</v>
      </c>
      <c r="AE605" s="22" t="s">
        <v>17</v>
      </c>
      <c r="AF605" s="23"/>
      <c r="AG605" s="24" t="s">
        <v>17</v>
      </c>
      <c r="AH605" s="24" t="s">
        <v>17</v>
      </c>
      <c r="AI605" s="1" t="s">
        <v>17</v>
      </c>
      <c r="AJ605" s="2" t="s">
        <v>17</v>
      </c>
      <c r="AK605" s="2" t="s">
        <v>17</v>
      </c>
      <c r="AL605" s="3"/>
      <c r="AM605" s="2"/>
      <c r="AN605" s="24" t="s">
        <v>17</v>
      </c>
      <c r="AO605" s="24" t="s">
        <v>17</v>
      </c>
      <c r="AP605" s="1" t="s">
        <v>17</v>
      </c>
      <c r="AQ605" s="2" t="s">
        <v>17</v>
      </c>
      <c r="AR605" s="2" t="s">
        <v>17</v>
      </c>
      <c r="AS605" s="3"/>
      <c r="AT605" s="2"/>
      <c r="AU605" s="4"/>
      <c r="AV605" s="2"/>
      <c r="AW605" s="1" t="s">
        <v>17</v>
      </c>
      <c r="AX605" s="2" t="s">
        <v>17</v>
      </c>
      <c r="AY605" s="2" t="s">
        <v>17</v>
      </c>
      <c r="AZ605" s="5"/>
      <c r="BA605" s="6"/>
      <c r="BB605" s="4"/>
      <c r="BC605" s="6"/>
      <c r="BD605" s="6"/>
      <c r="BE605" s="6"/>
      <c r="BF605" s="7"/>
    </row>
    <row r="606" spans="1:58" ht="18" customHeight="1">
      <c r="A606" s="107" t="s">
        <v>15</v>
      </c>
      <c r="B606" s="93" t="s">
        <v>581</v>
      </c>
      <c r="C606" s="42">
        <v>1399.2428333333341</v>
      </c>
      <c r="D606" s="42">
        <v>1399.2680000000007</v>
      </c>
      <c r="E606" s="42">
        <v>1399.2554166666675</v>
      </c>
      <c r="F606" s="42">
        <v>1399.2554166666675</v>
      </c>
      <c r="G606" s="43">
        <v>94752.609476409794</v>
      </c>
      <c r="H606" s="43">
        <v>91235.196730321593</v>
      </c>
      <c r="I606" s="27">
        <f t="shared" si="24"/>
        <v>0</v>
      </c>
      <c r="J606" s="27">
        <f t="shared" si="26"/>
        <v>1</v>
      </c>
      <c r="K606" s="27">
        <f t="shared" si="25"/>
        <v>1</v>
      </c>
      <c r="L606" s="25"/>
      <c r="M606" s="25"/>
      <c r="N606" s="38">
        <v>0.4884889835314753</v>
      </c>
      <c r="O606" s="38">
        <v>-10.530791357295065</v>
      </c>
      <c r="P606" s="71">
        <v>-12.484747291420968</v>
      </c>
      <c r="Q606" s="53">
        <v>43335</v>
      </c>
      <c r="R606" s="23">
        <v>11</v>
      </c>
      <c r="S606" s="24"/>
      <c r="T606" s="24"/>
      <c r="U606" s="38">
        <v>0.4884889835314753</v>
      </c>
      <c r="V606" s="38">
        <v>-10.530791357295065</v>
      </c>
      <c r="W606" s="38">
        <v>-12.484747291420968</v>
      </c>
      <c r="X606" s="22"/>
      <c r="Y606" s="23"/>
      <c r="Z606" s="24"/>
      <c r="AA606" s="24"/>
      <c r="AB606" s="1"/>
      <c r="AC606" s="2"/>
      <c r="AD606" s="2"/>
      <c r="AE606" s="22"/>
      <c r="AF606" s="23"/>
      <c r="AG606" s="24"/>
      <c r="AH606" s="24"/>
      <c r="AI606" s="1"/>
      <c r="AJ606" s="2"/>
      <c r="AK606" s="2"/>
      <c r="AL606" s="3"/>
      <c r="AM606" s="2"/>
      <c r="AN606" s="24"/>
      <c r="AO606" s="24"/>
      <c r="AP606" s="1"/>
      <c r="AQ606" s="2"/>
      <c r="AR606" s="2"/>
      <c r="AS606" s="3"/>
      <c r="AT606" s="2"/>
      <c r="AU606" s="4"/>
      <c r="AV606" s="2"/>
      <c r="AW606" s="1"/>
      <c r="AX606" s="2"/>
      <c r="AY606" s="2"/>
      <c r="AZ606" s="5"/>
      <c r="BA606" s="6"/>
      <c r="BB606" s="4"/>
      <c r="BC606" s="6"/>
      <c r="BD606" s="6"/>
      <c r="BE606" s="6"/>
      <c r="BF606" s="7"/>
    </row>
    <row r="607" spans="1:58" ht="18" customHeight="1">
      <c r="A607" s="107" t="s">
        <v>15</v>
      </c>
      <c r="B607" s="93" t="s">
        <v>582</v>
      </c>
      <c r="C607" s="42">
        <v>1401</v>
      </c>
      <c r="D607" s="42">
        <v>1401.12</v>
      </c>
      <c r="E607" s="42">
        <v>1401.06</v>
      </c>
      <c r="F607" s="42">
        <v>1401.06</v>
      </c>
      <c r="G607" s="43">
        <v>94923.819947737502</v>
      </c>
      <c r="H607" s="43">
        <v>91425.079421256305</v>
      </c>
      <c r="I607" s="27">
        <f t="shared" si="24"/>
        <v>2</v>
      </c>
      <c r="J607" s="27">
        <f t="shared" si="26"/>
        <v>2</v>
      </c>
      <c r="K607" s="27">
        <f t="shared" si="25"/>
        <v>1</v>
      </c>
      <c r="L607" s="25">
        <v>450.63555825000003</v>
      </c>
      <c r="M607" s="25">
        <v>453.58988733858695</v>
      </c>
      <c r="N607" s="38">
        <v>0.50744880220665589</v>
      </c>
      <c r="O607" s="38">
        <v>-13.825983388020436</v>
      </c>
      <c r="P607" s="71">
        <v>-15.838264486994436</v>
      </c>
      <c r="Q607" s="53">
        <v>42404</v>
      </c>
      <c r="R607" s="23">
        <v>8</v>
      </c>
      <c r="S607" s="24">
        <v>453.2008305</v>
      </c>
      <c r="T607" s="24">
        <v>456.14648541277194</v>
      </c>
      <c r="U607" s="1">
        <v>0.50307027474350008</v>
      </c>
      <c r="V607" s="2">
        <v>-13.825983388020436</v>
      </c>
      <c r="W607" s="2">
        <v>-15.838264486994436</v>
      </c>
      <c r="X607" s="22">
        <v>42404</v>
      </c>
      <c r="Y607" s="23">
        <v>5</v>
      </c>
      <c r="Z607" s="24">
        <v>448.07028600000001</v>
      </c>
      <c r="AA607" s="24">
        <v>451.03328926440196</v>
      </c>
      <c r="AB607" s="1">
        <v>0.5118273296698117</v>
      </c>
      <c r="AC607" s="2"/>
      <c r="AD607" s="2"/>
      <c r="AE607" s="22" t="s">
        <v>17</v>
      </c>
      <c r="AF607" s="23"/>
      <c r="AG607" s="24" t="s">
        <v>17</v>
      </c>
      <c r="AH607" s="24" t="s">
        <v>17</v>
      </c>
      <c r="AI607" s="1" t="s">
        <v>17</v>
      </c>
      <c r="AJ607" s="2" t="s">
        <v>17</v>
      </c>
      <c r="AK607" s="2" t="s">
        <v>17</v>
      </c>
      <c r="AL607" s="3"/>
      <c r="AM607" s="2"/>
      <c r="AN607" s="24" t="s">
        <v>17</v>
      </c>
      <c r="AO607" s="24" t="s">
        <v>17</v>
      </c>
      <c r="AP607" s="1" t="s">
        <v>17</v>
      </c>
      <c r="AQ607" s="2" t="s">
        <v>17</v>
      </c>
      <c r="AR607" s="2" t="s">
        <v>17</v>
      </c>
      <c r="AS607" s="3"/>
      <c r="AT607" s="2"/>
      <c r="AU607" s="4"/>
      <c r="AV607" s="2"/>
      <c r="AW607" s="1" t="s">
        <v>17</v>
      </c>
      <c r="AX607" s="2" t="s">
        <v>17</v>
      </c>
      <c r="AY607" s="2" t="s">
        <v>17</v>
      </c>
      <c r="AZ607" s="5"/>
      <c r="BA607" s="6"/>
      <c r="BB607" s="4"/>
      <c r="BC607" s="6"/>
      <c r="BD607" s="6"/>
      <c r="BE607" s="6"/>
      <c r="BF607" s="7"/>
    </row>
    <row r="608" spans="1:58" ht="18" customHeight="1">
      <c r="A608" s="107" t="s">
        <v>15</v>
      </c>
      <c r="B608" s="93" t="s">
        <v>583</v>
      </c>
      <c r="C608" s="42">
        <v>1407.5</v>
      </c>
      <c r="D608" s="42">
        <v>1407.575</v>
      </c>
      <c r="E608" s="42">
        <v>1407.5374999999999</v>
      </c>
      <c r="F608" s="42">
        <v>1407.5374999999999</v>
      </c>
      <c r="G608" s="43">
        <v>95567.694655972999</v>
      </c>
      <c r="H608" s="43">
        <v>92090.539402208102</v>
      </c>
      <c r="I608" s="27">
        <f t="shared" si="24"/>
        <v>1</v>
      </c>
      <c r="J608" s="27">
        <f t="shared" si="26"/>
        <v>1</v>
      </c>
      <c r="K608" s="27">
        <f t="shared" si="25"/>
        <v>1</v>
      </c>
      <c r="L608" s="25">
        <v>443.10484650000001</v>
      </c>
      <c r="M608" s="25">
        <v>445.99495848975533</v>
      </c>
      <c r="N608" s="38">
        <v>0.50483058407269077</v>
      </c>
      <c r="O608" s="38">
        <v>-11.953151973652322</v>
      </c>
      <c r="P608" s="71">
        <v>-13.972474309943085</v>
      </c>
      <c r="Q608" s="53">
        <v>42509</v>
      </c>
      <c r="R608" s="23">
        <v>10</v>
      </c>
      <c r="S608" s="24">
        <v>443.10484650000001</v>
      </c>
      <c r="T608" s="24">
        <v>445.99495848975533</v>
      </c>
      <c r="U608" s="1">
        <v>0.50483058407269077</v>
      </c>
      <c r="V608" s="2">
        <v>-11.953151973652322</v>
      </c>
      <c r="W608" s="2">
        <v>-13.972474309943085</v>
      </c>
      <c r="X608" s="22" t="s">
        <v>17</v>
      </c>
      <c r="Y608" s="23"/>
      <c r="Z608" s="24" t="s">
        <v>17</v>
      </c>
      <c r="AA608" s="24" t="s">
        <v>17</v>
      </c>
      <c r="AB608" s="1" t="s">
        <v>17</v>
      </c>
      <c r="AC608" s="2" t="s">
        <v>17</v>
      </c>
      <c r="AD608" s="2" t="s">
        <v>17</v>
      </c>
      <c r="AE608" s="22" t="s">
        <v>17</v>
      </c>
      <c r="AF608" s="23"/>
      <c r="AG608" s="24" t="s">
        <v>17</v>
      </c>
      <c r="AH608" s="24" t="s">
        <v>17</v>
      </c>
      <c r="AI608" s="1" t="s">
        <v>17</v>
      </c>
      <c r="AJ608" s="2" t="s">
        <v>17</v>
      </c>
      <c r="AK608" s="2" t="s">
        <v>17</v>
      </c>
      <c r="AL608" s="3"/>
      <c r="AM608" s="2"/>
      <c r="AN608" s="24" t="s">
        <v>17</v>
      </c>
      <c r="AO608" s="24" t="s">
        <v>17</v>
      </c>
      <c r="AP608" s="1" t="s">
        <v>17</v>
      </c>
      <c r="AQ608" s="2" t="s">
        <v>17</v>
      </c>
      <c r="AR608" s="2" t="s">
        <v>17</v>
      </c>
      <c r="AS608" s="3"/>
      <c r="AT608" s="2"/>
      <c r="AU608" s="4"/>
      <c r="AV608" s="2"/>
      <c r="AW608" s="1" t="s">
        <v>17</v>
      </c>
      <c r="AX608" s="2" t="s">
        <v>17</v>
      </c>
      <c r="AY608" s="2" t="s">
        <v>17</v>
      </c>
      <c r="AZ608" s="5"/>
      <c r="BA608" s="6"/>
      <c r="BB608" s="4"/>
      <c r="BC608" s="6"/>
      <c r="BD608" s="6"/>
      <c r="BE608" s="6"/>
      <c r="BF608" s="7"/>
    </row>
    <row r="609" spans="1:58" ht="18" customHeight="1">
      <c r="A609" s="107" t="s">
        <v>15</v>
      </c>
      <c r="B609" s="93" t="s">
        <v>584</v>
      </c>
      <c r="C609" s="42">
        <v>1414.5</v>
      </c>
      <c r="D609" s="42">
        <v>1414.575</v>
      </c>
      <c r="E609" s="42">
        <v>1414.5374999999999</v>
      </c>
      <c r="F609" s="42">
        <v>1414.5374999999999</v>
      </c>
      <c r="G609" s="43">
        <v>96228.619202593298</v>
      </c>
      <c r="H609" s="43">
        <v>92746.372724081593</v>
      </c>
      <c r="I609" s="27">
        <f t="shared" si="24"/>
        <v>1</v>
      </c>
      <c r="J609" s="27">
        <f t="shared" si="26"/>
        <v>1</v>
      </c>
      <c r="K609" s="27">
        <f t="shared" si="25"/>
        <v>1</v>
      </c>
      <c r="L609" s="25">
        <v>451.00041799999997</v>
      </c>
      <c r="M609" s="25">
        <v>446.57171173417112</v>
      </c>
      <c r="N609" s="38">
        <v>0.5131620929346159</v>
      </c>
      <c r="O609" s="38">
        <v>-10.034609620935274</v>
      </c>
      <c r="P609" s="71">
        <v>-12.087257992673738</v>
      </c>
      <c r="Q609" s="53">
        <v>42460</v>
      </c>
      <c r="R609" s="23">
        <v>10</v>
      </c>
      <c r="S609" s="24">
        <v>451.00041799999997</v>
      </c>
      <c r="T609" s="24">
        <v>446.57171173417112</v>
      </c>
      <c r="U609" s="1">
        <v>0.5131620929346159</v>
      </c>
      <c r="V609" s="2">
        <v>-10.034609620935274</v>
      </c>
      <c r="W609" s="2">
        <v>-12.087257992673738</v>
      </c>
      <c r="X609" s="22" t="s">
        <v>17</v>
      </c>
      <c r="Y609" s="23"/>
      <c r="Z609" s="24" t="s">
        <v>17</v>
      </c>
      <c r="AA609" s="24" t="s">
        <v>17</v>
      </c>
      <c r="AB609" s="1" t="s">
        <v>17</v>
      </c>
      <c r="AC609" s="2" t="s">
        <v>17</v>
      </c>
      <c r="AD609" s="2" t="s">
        <v>17</v>
      </c>
      <c r="AE609" s="22" t="s">
        <v>17</v>
      </c>
      <c r="AF609" s="23"/>
      <c r="AG609" s="24" t="s">
        <v>17</v>
      </c>
      <c r="AH609" s="24" t="s">
        <v>17</v>
      </c>
      <c r="AI609" s="1" t="s">
        <v>17</v>
      </c>
      <c r="AJ609" s="2" t="s">
        <v>17</v>
      </c>
      <c r="AK609" s="2" t="s">
        <v>17</v>
      </c>
      <c r="AL609" s="3"/>
      <c r="AM609" s="2"/>
      <c r="AN609" s="24" t="s">
        <v>17</v>
      </c>
      <c r="AO609" s="24" t="s">
        <v>17</v>
      </c>
      <c r="AP609" s="1" t="s">
        <v>17</v>
      </c>
      <c r="AQ609" s="2" t="s">
        <v>17</v>
      </c>
      <c r="AR609" s="2" t="s">
        <v>17</v>
      </c>
      <c r="AS609" s="3"/>
      <c r="AT609" s="2"/>
      <c r="AU609" s="4"/>
      <c r="AV609" s="2"/>
      <c r="AW609" s="1" t="s">
        <v>17</v>
      </c>
      <c r="AX609" s="2" t="s">
        <v>17</v>
      </c>
      <c r="AY609" s="2" t="s">
        <v>17</v>
      </c>
      <c r="AZ609" s="5"/>
      <c r="BA609" s="6"/>
      <c r="BB609" s="4"/>
      <c r="BC609" s="6"/>
      <c r="BD609" s="6"/>
      <c r="BE609" s="6"/>
      <c r="BF609" s="7"/>
    </row>
    <row r="610" spans="1:58" ht="18" customHeight="1">
      <c r="A610" s="107" t="s">
        <v>15</v>
      </c>
      <c r="B610" s="93" t="s">
        <v>585</v>
      </c>
      <c r="C610" s="42">
        <v>1419</v>
      </c>
      <c r="D610" s="42">
        <v>1419.0650000000001</v>
      </c>
      <c r="E610" s="42">
        <v>1419.0325</v>
      </c>
      <c r="F610" s="42">
        <v>1419.0325</v>
      </c>
      <c r="G610" s="43">
        <v>96643.016825573301</v>
      </c>
      <c r="H610" s="43">
        <v>93198.890895874007</v>
      </c>
      <c r="I610" s="27">
        <f t="shared" si="24"/>
        <v>1</v>
      </c>
      <c r="J610" s="27">
        <f t="shared" si="26"/>
        <v>1</v>
      </c>
      <c r="K610" s="27">
        <f t="shared" si="25"/>
        <v>1</v>
      </c>
      <c r="L610" s="25">
        <v>456.77033399999999</v>
      </c>
      <c r="M610" s="25">
        <v>459.71295911632444</v>
      </c>
      <c r="N610" s="38">
        <v>0.49862555641499995</v>
      </c>
      <c r="O610" s="38">
        <v>-10.02816954313146</v>
      </c>
      <c r="P610" s="71">
        <v>-12.02267176879146</v>
      </c>
      <c r="Q610" s="53">
        <v>42514</v>
      </c>
      <c r="R610" s="23">
        <v>10</v>
      </c>
      <c r="S610" s="24">
        <v>456.77033399999999</v>
      </c>
      <c r="T610" s="24">
        <v>459.71295911632444</v>
      </c>
      <c r="U610" s="1">
        <v>0.49862555641499995</v>
      </c>
      <c r="V610" s="2">
        <v>-10.02816954313146</v>
      </c>
      <c r="W610" s="2">
        <v>-12.02267176879146</v>
      </c>
      <c r="X610" s="22"/>
      <c r="Y610" s="23"/>
      <c r="Z610" s="24" t="s">
        <v>17</v>
      </c>
      <c r="AA610" s="24"/>
      <c r="AB610" s="1"/>
      <c r="AC610" s="2"/>
      <c r="AD610" s="2"/>
      <c r="AE610" s="22" t="s">
        <v>17</v>
      </c>
      <c r="AF610" s="23"/>
      <c r="AG610" s="24" t="s">
        <v>17</v>
      </c>
      <c r="AH610" s="24"/>
      <c r="AI610" s="1"/>
      <c r="AJ610" s="2"/>
      <c r="AK610" s="2"/>
      <c r="AL610" s="3"/>
      <c r="AM610" s="2"/>
      <c r="AN610" s="24" t="s">
        <v>17</v>
      </c>
      <c r="AO610" s="24" t="s">
        <v>17</v>
      </c>
      <c r="AP610" s="1" t="s">
        <v>17</v>
      </c>
      <c r="AQ610" s="2" t="s">
        <v>17</v>
      </c>
      <c r="AR610" s="2" t="s">
        <v>17</v>
      </c>
      <c r="AS610" s="3"/>
      <c r="AT610" s="2"/>
      <c r="AU610" s="4"/>
      <c r="AV610" s="2"/>
      <c r="AW610" s="1" t="s">
        <v>17</v>
      </c>
      <c r="AX610" s="2" t="s">
        <v>17</v>
      </c>
      <c r="AY610" s="2" t="s">
        <v>17</v>
      </c>
      <c r="AZ610" s="5"/>
      <c r="BA610" s="6"/>
      <c r="BB610" s="4"/>
      <c r="BC610" s="6"/>
      <c r="BD610" s="6"/>
      <c r="BE610" s="6"/>
      <c r="BF610" s="7"/>
    </row>
    <row r="611" spans="1:58" ht="18" customHeight="1">
      <c r="A611" s="107" t="s">
        <v>15</v>
      </c>
      <c r="B611" s="93" t="s">
        <v>585</v>
      </c>
      <c r="C611" s="28">
        <v>1419</v>
      </c>
      <c r="D611" s="28">
        <v>1419.12</v>
      </c>
      <c r="E611" s="28">
        <v>1419.06</v>
      </c>
      <c r="F611" s="28">
        <v>1419.06</v>
      </c>
      <c r="G611" s="29">
        <v>96645.941806912699</v>
      </c>
      <c r="H611" s="29">
        <v>93202.138028431102</v>
      </c>
      <c r="I611" s="27">
        <f t="shared" si="24"/>
        <v>1</v>
      </c>
      <c r="J611" s="27">
        <f t="shared" si="26"/>
        <v>1</v>
      </c>
      <c r="K611" s="27">
        <f t="shared" si="25"/>
        <v>0</v>
      </c>
      <c r="L611" s="25">
        <v>450.70702399999999</v>
      </c>
      <c r="M611" s="25">
        <v>454.22775885685081</v>
      </c>
      <c r="N611" s="38">
        <v>0.50172158341132977</v>
      </c>
      <c r="O611" s="38"/>
      <c r="P611" s="71"/>
      <c r="Q611" s="53">
        <v>44062</v>
      </c>
      <c r="R611" s="23" t="s">
        <v>88</v>
      </c>
      <c r="S611" s="28">
        <v>450.70702399999999</v>
      </c>
      <c r="T611" s="24">
        <v>454.22775885685081</v>
      </c>
      <c r="U611" s="1">
        <v>0.50172158341132977</v>
      </c>
      <c r="V611" s="2"/>
      <c r="W611" s="2"/>
      <c r="X611" s="22" t="s">
        <v>17</v>
      </c>
      <c r="Y611" s="23"/>
      <c r="Z611" s="24"/>
      <c r="AA611" s="24" t="s">
        <v>17</v>
      </c>
      <c r="AB611" s="1"/>
      <c r="AC611" s="2"/>
      <c r="AD611" s="2"/>
      <c r="AE611" s="22" t="s">
        <v>17</v>
      </c>
      <c r="AF611" s="23"/>
      <c r="AG611" s="24"/>
      <c r="AH611" s="24" t="s">
        <v>17</v>
      </c>
      <c r="AI611" s="1" t="s">
        <v>17</v>
      </c>
      <c r="AJ611" s="2" t="s">
        <v>17</v>
      </c>
      <c r="AK611" s="2" t="s">
        <v>17</v>
      </c>
      <c r="AL611" s="3"/>
      <c r="AM611" s="2"/>
      <c r="AN611" s="24"/>
      <c r="AO611" s="24" t="s">
        <v>17</v>
      </c>
      <c r="AP611" s="1" t="s">
        <v>17</v>
      </c>
      <c r="AQ611" s="2" t="s">
        <v>17</v>
      </c>
      <c r="AR611" s="2" t="s">
        <v>17</v>
      </c>
      <c r="AS611" s="3"/>
      <c r="AT611" s="2"/>
      <c r="AU611" s="4"/>
      <c r="AV611" s="2"/>
      <c r="AW611" s="1" t="s">
        <v>17</v>
      </c>
      <c r="AX611" s="2" t="s">
        <v>17</v>
      </c>
      <c r="AY611" s="2" t="s">
        <v>17</v>
      </c>
      <c r="AZ611" s="5"/>
      <c r="BA611" s="6"/>
      <c r="BB611" s="4"/>
      <c r="BC611" s="6"/>
      <c r="BD611" s="6"/>
      <c r="BE611" s="6"/>
      <c r="BF611" s="7"/>
    </row>
    <row r="612" spans="1:58" ht="18" customHeight="1">
      <c r="A612" s="106" t="s">
        <v>15</v>
      </c>
      <c r="B612" s="93" t="s">
        <v>585</v>
      </c>
      <c r="C612" s="42">
        <v>1419.0650000000001</v>
      </c>
      <c r="D612" s="42">
        <v>1419.12</v>
      </c>
      <c r="E612" s="42">
        <v>1419.0925</v>
      </c>
      <c r="F612" s="42">
        <v>1419.0925</v>
      </c>
      <c r="G612" s="29">
        <v>96648.866788252097</v>
      </c>
      <c r="H612" s="29">
        <v>93205.385160988095</v>
      </c>
      <c r="I612" s="27">
        <f t="shared" si="24"/>
        <v>1</v>
      </c>
      <c r="J612" s="27">
        <f t="shared" si="26"/>
        <v>1</v>
      </c>
      <c r="K612" s="27">
        <f t="shared" si="25"/>
        <v>1</v>
      </c>
      <c r="L612" s="25">
        <v>451.31417399999998</v>
      </c>
      <c r="M612" s="25">
        <v>453.62861638722768</v>
      </c>
      <c r="N612" s="38">
        <v>0.49967334693756804</v>
      </c>
      <c r="O612" s="38">
        <v>-9.1888013223039309</v>
      </c>
      <c r="P612" s="71">
        <v>-11.187494710054203</v>
      </c>
      <c r="Q612" s="53">
        <v>42514</v>
      </c>
      <c r="R612" s="23">
        <v>10</v>
      </c>
      <c r="S612" s="24">
        <v>451.31417399999998</v>
      </c>
      <c r="T612" s="24">
        <v>453.62861638722768</v>
      </c>
      <c r="U612" s="1">
        <v>0.49967334693756804</v>
      </c>
      <c r="V612" s="2">
        <v>-9.1888013223039309</v>
      </c>
      <c r="W612" s="2">
        <v>-11.187494710054203</v>
      </c>
      <c r="X612" s="22" t="s">
        <v>17</v>
      </c>
      <c r="Y612" s="23"/>
      <c r="Z612" s="24" t="s">
        <v>17</v>
      </c>
      <c r="AA612" s="24" t="s">
        <v>17</v>
      </c>
      <c r="AB612" s="1"/>
      <c r="AC612" s="2"/>
      <c r="AD612" s="2"/>
      <c r="AE612" s="22" t="s">
        <v>17</v>
      </c>
      <c r="AF612" s="23"/>
      <c r="AG612" s="24" t="s">
        <v>17</v>
      </c>
      <c r="AH612" s="24" t="s">
        <v>17</v>
      </c>
      <c r="AI612" s="1" t="s">
        <v>17</v>
      </c>
      <c r="AJ612" s="2" t="s">
        <v>17</v>
      </c>
      <c r="AK612" s="2" t="s">
        <v>17</v>
      </c>
      <c r="AL612" s="3"/>
      <c r="AM612" s="2"/>
      <c r="AN612" s="24" t="s">
        <v>17</v>
      </c>
      <c r="AO612" s="24" t="s">
        <v>17</v>
      </c>
      <c r="AP612" s="1" t="s">
        <v>17</v>
      </c>
      <c r="AQ612" s="2" t="s">
        <v>17</v>
      </c>
      <c r="AR612" s="2" t="s">
        <v>17</v>
      </c>
      <c r="AS612" s="3"/>
      <c r="AT612" s="2"/>
      <c r="AU612" s="4"/>
      <c r="AV612" s="2"/>
      <c r="AW612" s="1" t="s">
        <v>17</v>
      </c>
      <c r="AX612" s="2" t="s">
        <v>17</v>
      </c>
      <c r="AY612" s="2" t="s">
        <v>17</v>
      </c>
      <c r="AZ612" s="5"/>
      <c r="BA612" s="6"/>
      <c r="BB612" s="4"/>
      <c r="BC612" s="6"/>
      <c r="BD612" s="6"/>
      <c r="BE612" s="6"/>
      <c r="BF612" s="7"/>
    </row>
    <row r="613" spans="1:58" ht="18" customHeight="1">
      <c r="A613" s="107" t="s">
        <v>15</v>
      </c>
      <c r="B613" s="93" t="s">
        <v>586</v>
      </c>
      <c r="C613" s="42">
        <v>1425</v>
      </c>
      <c r="D613" s="42">
        <v>1425.095</v>
      </c>
      <c r="E613" s="42">
        <v>1425.0475000000001</v>
      </c>
      <c r="F613" s="42">
        <v>1425.0475000000001</v>
      </c>
      <c r="G613" s="43">
        <v>97214.333661151293</v>
      </c>
      <c r="H613" s="43">
        <v>93858.379931668998</v>
      </c>
      <c r="I613" s="27">
        <f t="shared" si="24"/>
        <v>1</v>
      </c>
      <c r="J613" s="27">
        <f t="shared" si="26"/>
        <v>1</v>
      </c>
      <c r="K613" s="27">
        <f t="shared" si="25"/>
        <v>1</v>
      </c>
      <c r="L613" s="25">
        <v>446.50931550000001</v>
      </c>
      <c r="M613" s="25">
        <v>442.10301869642024</v>
      </c>
      <c r="N613" s="38">
        <v>0.52235995319938056</v>
      </c>
      <c r="O613" s="38">
        <v>-12.622723512759283</v>
      </c>
      <c r="P613" s="71">
        <v>-14.712163325556805</v>
      </c>
      <c r="Q613" s="53">
        <v>42454</v>
      </c>
      <c r="R613" s="23">
        <v>11</v>
      </c>
      <c r="S613" s="24">
        <v>446.50931550000001</v>
      </c>
      <c r="T613" s="24">
        <v>442.10301869642024</v>
      </c>
      <c r="U613" s="1">
        <v>0.52235995319938056</v>
      </c>
      <c r="V613" s="2">
        <v>-12.622723512759283</v>
      </c>
      <c r="W613" s="2">
        <v>-14.712163325556805</v>
      </c>
      <c r="X613" s="22" t="s">
        <v>17</v>
      </c>
      <c r="Y613" s="23"/>
      <c r="Z613" s="24" t="s">
        <v>17</v>
      </c>
      <c r="AA613" s="24" t="s">
        <v>17</v>
      </c>
      <c r="AB613" s="1" t="s">
        <v>17</v>
      </c>
      <c r="AC613" s="2" t="s">
        <v>17</v>
      </c>
      <c r="AD613" s="2" t="s">
        <v>17</v>
      </c>
      <c r="AE613" s="22" t="s">
        <v>17</v>
      </c>
      <c r="AF613" s="23"/>
      <c r="AG613" s="24" t="s">
        <v>17</v>
      </c>
      <c r="AH613" s="24" t="s">
        <v>17</v>
      </c>
      <c r="AI613" s="1" t="s">
        <v>17</v>
      </c>
      <c r="AJ613" s="2" t="s">
        <v>17</v>
      </c>
      <c r="AK613" s="2" t="s">
        <v>17</v>
      </c>
      <c r="AL613" s="3"/>
      <c r="AM613" s="2"/>
      <c r="AN613" s="24" t="s">
        <v>17</v>
      </c>
      <c r="AO613" s="24" t="s">
        <v>17</v>
      </c>
      <c r="AP613" s="1" t="s">
        <v>17</v>
      </c>
      <c r="AQ613" s="2" t="s">
        <v>17</v>
      </c>
      <c r="AR613" s="2" t="s">
        <v>17</v>
      </c>
      <c r="AS613" s="3"/>
      <c r="AT613" s="2"/>
      <c r="AU613" s="4"/>
      <c r="AV613" s="2"/>
      <c r="AW613" s="1" t="s">
        <v>17</v>
      </c>
      <c r="AX613" s="2" t="s">
        <v>17</v>
      </c>
      <c r="AY613" s="2" t="s">
        <v>17</v>
      </c>
      <c r="AZ613" s="5"/>
      <c r="BA613" s="6"/>
      <c r="BB613" s="4"/>
      <c r="BC613" s="6"/>
      <c r="BD613" s="6"/>
      <c r="BE613" s="6"/>
      <c r="BF613" s="7"/>
    </row>
    <row r="614" spans="1:58" ht="18" customHeight="1">
      <c r="A614" s="107" t="s">
        <v>15</v>
      </c>
      <c r="B614" s="93" t="s">
        <v>587</v>
      </c>
      <c r="C614" s="42">
        <v>1431.5</v>
      </c>
      <c r="D614" s="42">
        <v>1431.575</v>
      </c>
      <c r="E614" s="42">
        <v>1431.5374999999999</v>
      </c>
      <c r="F614" s="42">
        <v>1431.5374999999999</v>
      </c>
      <c r="G614" s="43">
        <v>97832.819300866497</v>
      </c>
      <c r="H614" s="43">
        <v>94569.648146317893</v>
      </c>
      <c r="I614" s="27">
        <f t="shared" si="24"/>
        <v>2</v>
      </c>
      <c r="J614" s="27">
        <f t="shared" si="26"/>
        <v>2</v>
      </c>
      <c r="K614" s="27">
        <f t="shared" si="25"/>
        <v>1</v>
      </c>
      <c r="L614" s="25">
        <v>448.69988024999998</v>
      </c>
      <c r="M614" s="25">
        <v>451.5659915562195</v>
      </c>
      <c r="N614" s="38">
        <v>0.49441801748206782</v>
      </c>
      <c r="O614" s="38">
        <v>-6.9041708578255756</v>
      </c>
      <c r="P614" s="71">
        <v>-8.8661794181076345</v>
      </c>
      <c r="Q614" s="53">
        <v>42509</v>
      </c>
      <c r="R614" s="23">
        <v>10</v>
      </c>
      <c r="S614" s="24">
        <v>451.27013899999997</v>
      </c>
      <c r="T614" s="24">
        <v>454.12996767856805</v>
      </c>
      <c r="U614" s="1">
        <v>0.49050214007051451</v>
      </c>
      <c r="V614" s="2">
        <v>-6.9041708578255756</v>
      </c>
      <c r="W614" s="2">
        <v>-8.8661794181076345</v>
      </c>
      <c r="X614" s="22">
        <v>44074</v>
      </c>
      <c r="Y614" s="23" t="s">
        <v>88</v>
      </c>
      <c r="Z614" s="24">
        <v>446.12962149999998</v>
      </c>
      <c r="AA614" s="24">
        <v>449.00201543387089</v>
      </c>
      <c r="AB614" s="1">
        <v>0.49833389489362112</v>
      </c>
      <c r="AC614" s="2"/>
      <c r="AD614" s="2"/>
      <c r="AE614" s="22" t="s">
        <v>17</v>
      </c>
      <c r="AF614" s="23"/>
      <c r="AG614" s="24" t="s">
        <v>17</v>
      </c>
      <c r="AH614" s="24" t="s">
        <v>17</v>
      </c>
      <c r="AI614" s="1" t="s">
        <v>17</v>
      </c>
      <c r="AJ614" s="2" t="s">
        <v>17</v>
      </c>
      <c r="AK614" s="2" t="s">
        <v>17</v>
      </c>
      <c r="AL614" s="3"/>
      <c r="AM614" s="2"/>
      <c r="AN614" s="24" t="s">
        <v>17</v>
      </c>
      <c r="AO614" s="24" t="s">
        <v>17</v>
      </c>
      <c r="AP614" s="1" t="s">
        <v>17</v>
      </c>
      <c r="AQ614" s="2" t="s">
        <v>17</v>
      </c>
      <c r="AR614" s="2" t="s">
        <v>17</v>
      </c>
      <c r="AS614" s="3"/>
      <c r="AT614" s="2"/>
      <c r="AU614" s="4"/>
      <c r="AV614" s="2"/>
      <c r="AW614" s="20" t="s">
        <v>17</v>
      </c>
      <c r="AX614" s="20" t="s">
        <v>17</v>
      </c>
      <c r="AY614" s="20" t="s">
        <v>17</v>
      </c>
      <c r="AZ614" s="5"/>
      <c r="BA614" s="6"/>
      <c r="BB614" s="4"/>
      <c r="BC614" s="6"/>
      <c r="BD614" s="6"/>
      <c r="BE614" s="6"/>
      <c r="BF614" s="7"/>
    </row>
    <row r="615" spans="1:58" ht="18" customHeight="1">
      <c r="A615" s="107" t="s">
        <v>15</v>
      </c>
      <c r="B615" s="93" t="s">
        <v>588</v>
      </c>
      <c r="C615" s="42">
        <v>1437</v>
      </c>
      <c r="D615" s="42">
        <v>1437.095</v>
      </c>
      <c r="E615" s="42">
        <v>1437.0475000000001</v>
      </c>
      <c r="F615" s="42">
        <v>1437.0475000000001</v>
      </c>
      <c r="G615" s="43">
        <v>98387.609432392695</v>
      </c>
      <c r="H615" s="43">
        <v>95123.759994166307</v>
      </c>
      <c r="I615" s="27">
        <f t="shared" ref="I615:I678" si="27">COUNT(T615,AA615,AH615,AO615,AV615,BC615)</f>
        <v>1</v>
      </c>
      <c r="J615" s="27">
        <f t="shared" si="26"/>
        <v>1</v>
      </c>
      <c r="K615" s="27">
        <f t="shared" ref="K615:K678" si="28">COUNT(V615,AC615,AJ615,AQ615,AX615,BF615)</f>
        <v>1</v>
      </c>
      <c r="L615" s="25">
        <v>440.58311550000002</v>
      </c>
      <c r="M615" s="25">
        <v>436.10203161255572</v>
      </c>
      <c r="N615" s="38">
        <v>0.51614392618559712</v>
      </c>
      <c r="O615" s="38">
        <v>-5.5377295830093543</v>
      </c>
      <c r="P615" s="71">
        <v>-7.6023052877517427</v>
      </c>
      <c r="Q615" s="53">
        <v>42454</v>
      </c>
      <c r="R615" s="23">
        <v>11</v>
      </c>
      <c r="S615" s="24">
        <v>440.58311550000002</v>
      </c>
      <c r="T615" s="24">
        <v>436.10203161255572</v>
      </c>
      <c r="U615" s="1">
        <v>0.51614392618559712</v>
      </c>
      <c r="V615" s="2">
        <v>-5.5377295830093543</v>
      </c>
      <c r="W615" s="2">
        <v>-7.6023052877517427</v>
      </c>
      <c r="X615" s="22" t="s">
        <v>17</v>
      </c>
      <c r="Y615" s="23"/>
      <c r="Z615" s="24" t="s">
        <v>17</v>
      </c>
      <c r="AA615" s="24" t="s">
        <v>17</v>
      </c>
      <c r="AB615" s="1" t="s">
        <v>17</v>
      </c>
      <c r="AC615" s="2" t="s">
        <v>17</v>
      </c>
      <c r="AD615" s="2" t="s">
        <v>17</v>
      </c>
      <c r="AE615" s="22" t="s">
        <v>17</v>
      </c>
      <c r="AF615" s="23"/>
      <c r="AG615" s="24" t="s">
        <v>17</v>
      </c>
      <c r="AH615" s="24" t="s">
        <v>17</v>
      </c>
      <c r="AI615" s="1" t="s">
        <v>17</v>
      </c>
      <c r="AJ615" s="2" t="s">
        <v>17</v>
      </c>
      <c r="AK615" s="2" t="s">
        <v>17</v>
      </c>
      <c r="AL615" s="3"/>
      <c r="AM615" s="2"/>
      <c r="AN615" s="24" t="s">
        <v>17</v>
      </c>
      <c r="AO615" s="24" t="s">
        <v>17</v>
      </c>
      <c r="AP615" s="1" t="s">
        <v>17</v>
      </c>
      <c r="AQ615" s="2" t="s">
        <v>17</v>
      </c>
      <c r="AR615" s="2" t="s">
        <v>17</v>
      </c>
      <c r="AS615" s="3"/>
      <c r="AT615" s="2"/>
      <c r="AU615" s="4"/>
      <c r="AV615" s="2"/>
      <c r="AW615" s="20" t="s">
        <v>17</v>
      </c>
      <c r="AX615" s="20" t="s">
        <v>17</v>
      </c>
      <c r="AY615" s="20" t="s">
        <v>17</v>
      </c>
      <c r="AZ615" s="5"/>
      <c r="BA615" s="6"/>
      <c r="BB615" s="4"/>
      <c r="BC615" s="6"/>
      <c r="BD615" s="6"/>
      <c r="BE615" s="6"/>
      <c r="BF615" s="7"/>
    </row>
    <row r="616" spans="1:58" ht="18" customHeight="1">
      <c r="A616" s="107" t="s">
        <v>15</v>
      </c>
      <c r="B616" s="93" t="s">
        <v>589</v>
      </c>
      <c r="C616" s="42">
        <v>1443</v>
      </c>
      <c r="D616" s="42">
        <v>1443.12</v>
      </c>
      <c r="E616" s="42">
        <v>1443.06</v>
      </c>
      <c r="F616" s="42">
        <v>1443.06</v>
      </c>
      <c r="G616" s="43">
        <v>98951.429942494506</v>
      </c>
      <c r="H616" s="43">
        <v>95762.221827134897</v>
      </c>
      <c r="I616" s="27">
        <f t="shared" si="27"/>
        <v>2</v>
      </c>
      <c r="J616" s="27">
        <f t="shared" ref="J616:J679" si="29">COUNT(U616,AB616,AI616,AP616,AW616,BD616)</f>
        <v>2</v>
      </c>
      <c r="K616" s="27">
        <f t="shared" si="28"/>
        <v>1</v>
      </c>
      <c r="L616" s="25">
        <v>446.82463074999998</v>
      </c>
      <c r="M616" s="25">
        <v>449.73510864810925</v>
      </c>
      <c r="N616" s="38">
        <v>0.50416849476331294</v>
      </c>
      <c r="O616" s="38">
        <v>-13.111767120108198</v>
      </c>
      <c r="P616" s="71">
        <v>-15.143806052859254</v>
      </c>
      <c r="Q616" s="53">
        <v>42528</v>
      </c>
      <c r="R616" s="23">
        <v>11</v>
      </c>
      <c r="S616" s="24">
        <v>445.33699899999999</v>
      </c>
      <c r="T616" s="24">
        <v>448.25996204812492</v>
      </c>
      <c r="U616" s="1">
        <v>0.50800973318776421</v>
      </c>
      <c r="V616" s="2">
        <v>-13.111767120108198</v>
      </c>
      <c r="W616" s="2">
        <v>-15.143806052859254</v>
      </c>
      <c r="X616" s="22">
        <v>44067</v>
      </c>
      <c r="Y616" s="23" t="s">
        <v>88</v>
      </c>
      <c r="Z616" s="24">
        <v>448.31226249999997</v>
      </c>
      <c r="AA616" s="24">
        <v>451.21025524809357</v>
      </c>
      <c r="AB616" s="1">
        <v>0.50032725633886166</v>
      </c>
      <c r="AC616" s="2"/>
      <c r="AD616" s="2"/>
      <c r="AE616" s="22" t="s">
        <v>17</v>
      </c>
      <c r="AF616" s="23"/>
      <c r="AG616" s="24" t="s">
        <v>17</v>
      </c>
      <c r="AH616" s="24" t="s">
        <v>17</v>
      </c>
      <c r="AI616" s="1" t="s">
        <v>17</v>
      </c>
      <c r="AJ616" s="2" t="s">
        <v>17</v>
      </c>
      <c r="AK616" s="2" t="s">
        <v>17</v>
      </c>
      <c r="AL616" s="3"/>
      <c r="AM616" s="2"/>
      <c r="AN616" s="24" t="s">
        <v>17</v>
      </c>
      <c r="AO616" s="24" t="s">
        <v>17</v>
      </c>
      <c r="AP616" s="1" t="s">
        <v>17</v>
      </c>
      <c r="AQ616" s="2" t="s">
        <v>17</v>
      </c>
      <c r="AR616" s="2" t="s">
        <v>17</v>
      </c>
      <c r="AS616" s="3"/>
      <c r="AT616" s="2"/>
      <c r="AU616" s="4"/>
      <c r="AV616" s="2"/>
      <c r="AW616" s="20" t="s">
        <v>17</v>
      </c>
      <c r="AX616" s="20" t="s">
        <v>17</v>
      </c>
      <c r="AY616" s="20" t="s">
        <v>17</v>
      </c>
      <c r="AZ616" s="5"/>
      <c r="BA616" s="6"/>
      <c r="BB616" s="4"/>
      <c r="BC616" s="6"/>
      <c r="BD616" s="6"/>
      <c r="BE616" s="6"/>
      <c r="BF616" s="7"/>
    </row>
    <row r="617" spans="1:58" ht="18" customHeight="1">
      <c r="A617" s="107" t="s">
        <v>15</v>
      </c>
      <c r="B617" s="93" t="s">
        <v>590</v>
      </c>
      <c r="C617" s="42">
        <v>1448.47</v>
      </c>
      <c r="D617" s="42">
        <v>1448.59</v>
      </c>
      <c r="E617" s="42">
        <v>1448.53</v>
      </c>
      <c r="F617" s="42">
        <v>1448.53</v>
      </c>
      <c r="G617" s="43">
        <v>99453.0136206155</v>
      </c>
      <c r="H617" s="43">
        <v>96292.880320405602</v>
      </c>
      <c r="I617" s="27">
        <f t="shared" si="27"/>
        <v>2</v>
      </c>
      <c r="J617" s="27">
        <f t="shared" si="29"/>
        <v>2</v>
      </c>
      <c r="K617" s="27">
        <f t="shared" si="28"/>
        <v>1</v>
      </c>
      <c r="L617" s="25">
        <v>452.49063275000003</v>
      </c>
      <c r="M617" s="25">
        <v>455.42516004229634</v>
      </c>
      <c r="N617" s="38">
        <v>0.50197867351686742</v>
      </c>
      <c r="O617" s="38">
        <v>-5.7746287566159404</v>
      </c>
      <c r="P617" s="71">
        <v>-7.7610387057959196</v>
      </c>
      <c r="Q617" s="53">
        <v>42402</v>
      </c>
      <c r="R617" s="23">
        <v>5</v>
      </c>
      <c r="S617" s="24">
        <v>450.62086349999998</v>
      </c>
      <c r="T617" s="24">
        <v>453.57469443015339</v>
      </c>
      <c r="U617" s="1">
        <v>0.50735485973874006</v>
      </c>
      <c r="V617" s="2"/>
      <c r="W617" s="2"/>
      <c r="X617" s="22">
        <v>42402</v>
      </c>
      <c r="Y617" s="23">
        <v>8</v>
      </c>
      <c r="Z617" s="24">
        <v>454.36040200000002</v>
      </c>
      <c r="AA617" s="24">
        <v>457.2756256544393</v>
      </c>
      <c r="AB617" s="1">
        <v>0.49660248729499479</v>
      </c>
      <c r="AC617" s="2">
        <v>-5.7746287566159404</v>
      </c>
      <c r="AD617" s="2">
        <v>-7.7610387057959196</v>
      </c>
      <c r="AE617" s="22" t="s">
        <v>17</v>
      </c>
      <c r="AF617" s="23"/>
      <c r="AG617" s="24" t="s">
        <v>17</v>
      </c>
      <c r="AH617" s="24" t="s">
        <v>17</v>
      </c>
      <c r="AI617" s="1" t="s">
        <v>17</v>
      </c>
      <c r="AJ617" s="2" t="s">
        <v>17</v>
      </c>
      <c r="AK617" s="2" t="s">
        <v>17</v>
      </c>
      <c r="AL617" s="3"/>
      <c r="AM617" s="2"/>
      <c r="AN617" s="24" t="s">
        <v>17</v>
      </c>
      <c r="AO617" s="24" t="s">
        <v>17</v>
      </c>
      <c r="AP617" s="1" t="s">
        <v>17</v>
      </c>
      <c r="AQ617" s="2" t="s">
        <v>17</v>
      </c>
      <c r="AR617" s="2" t="s">
        <v>17</v>
      </c>
      <c r="AS617" s="3"/>
      <c r="AT617" s="2"/>
      <c r="AU617" s="4"/>
      <c r="AV617" s="2"/>
      <c r="AW617" s="20" t="s">
        <v>17</v>
      </c>
      <c r="AX617" s="20" t="s">
        <v>17</v>
      </c>
      <c r="AY617" s="20" t="s">
        <v>17</v>
      </c>
      <c r="AZ617" s="5"/>
      <c r="BA617" s="6"/>
      <c r="BB617" s="4"/>
      <c r="BC617" s="6"/>
      <c r="BD617" s="6"/>
      <c r="BE617" s="6"/>
      <c r="BF617" s="7"/>
    </row>
    <row r="618" spans="1:58" ht="18" customHeight="1">
      <c r="A618" s="107" t="s">
        <v>15</v>
      </c>
      <c r="B618" s="93" t="s">
        <v>591</v>
      </c>
      <c r="C618" s="42">
        <v>1455.5</v>
      </c>
      <c r="D618" s="42">
        <v>1455.62</v>
      </c>
      <c r="E618" s="42">
        <v>1455.56</v>
      </c>
      <c r="F618" s="42">
        <v>1455.56</v>
      </c>
      <c r="G618" s="43">
        <v>100091.813008023</v>
      </c>
      <c r="H618" s="43">
        <v>96998.616426577093</v>
      </c>
      <c r="I618" s="27">
        <f t="shared" si="27"/>
        <v>2</v>
      </c>
      <c r="J618" s="27">
        <f t="shared" si="29"/>
        <v>2</v>
      </c>
      <c r="K618" s="27">
        <f t="shared" si="28"/>
        <v>1</v>
      </c>
      <c r="L618" s="25">
        <v>450.8588555</v>
      </c>
      <c r="M618" s="25">
        <v>453.76147178807594</v>
      </c>
      <c r="N618" s="38">
        <v>0.49830250111615459</v>
      </c>
      <c r="O618" s="38">
        <v>-9.5096714927235269</v>
      </c>
      <c r="P618" s="71">
        <v>-11.495353252123031</v>
      </c>
      <c r="Q618" s="53">
        <v>42571</v>
      </c>
      <c r="R618" s="23">
        <v>10</v>
      </c>
      <c r="S618" s="24">
        <v>452.66109999999998</v>
      </c>
      <c r="T618" s="24">
        <v>455.56435607295487</v>
      </c>
      <c r="U618" s="1">
        <v>0.49642043984987616</v>
      </c>
      <c r="V618" s="2">
        <v>-9.5096714927235269</v>
      </c>
      <c r="W618" s="2">
        <v>-11.495353252123031</v>
      </c>
      <c r="X618" s="22">
        <v>44102</v>
      </c>
      <c r="Y618" s="23" t="s">
        <v>88</v>
      </c>
      <c r="Z618" s="24">
        <v>449.05661099999998</v>
      </c>
      <c r="AA618" s="24">
        <v>451.95858750319701</v>
      </c>
      <c r="AB618" s="1">
        <v>0.50018456238243303</v>
      </c>
      <c r="AC618" s="2"/>
      <c r="AD618" s="2"/>
      <c r="AE618" s="22" t="s">
        <v>17</v>
      </c>
      <c r="AF618" s="23"/>
      <c r="AG618" s="24" t="s">
        <v>17</v>
      </c>
      <c r="AH618" s="24" t="s">
        <v>17</v>
      </c>
      <c r="AI618" s="1" t="s">
        <v>17</v>
      </c>
      <c r="AJ618" s="2" t="s">
        <v>17</v>
      </c>
      <c r="AK618" s="2" t="s">
        <v>17</v>
      </c>
      <c r="AL618" s="3"/>
      <c r="AM618" s="2"/>
      <c r="AN618" s="24" t="s">
        <v>17</v>
      </c>
      <c r="AO618" s="24" t="s">
        <v>17</v>
      </c>
      <c r="AP618" s="1" t="s">
        <v>17</v>
      </c>
      <c r="AQ618" s="2" t="s">
        <v>17</v>
      </c>
      <c r="AR618" s="2" t="s">
        <v>17</v>
      </c>
      <c r="AS618" s="3"/>
      <c r="AT618" s="2"/>
      <c r="AU618" s="4"/>
      <c r="AV618" s="2"/>
      <c r="AW618" s="20" t="s">
        <v>17</v>
      </c>
      <c r="AX618" s="20" t="s">
        <v>17</v>
      </c>
      <c r="AY618" s="20" t="s">
        <v>17</v>
      </c>
      <c r="AZ618" s="5"/>
      <c r="BA618" s="6"/>
      <c r="BB618" s="4"/>
      <c r="BC618" s="6"/>
      <c r="BD618" s="6"/>
      <c r="BE618" s="6"/>
      <c r="BF618" s="7"/>
    </row>
    <row r="619" spans="1:58" ht="18" customHeight="1">
      <c r="A619" s="107" t="s">
        <v>15</v>
      </c>
      <c r="B619" s="93" t="s">
        <v>592</v>
      </c>
      <c r="C619" s="42">
        <v>1461.5</v>
      </c>
      <c r="D619" s="42">
        <v>1461.575</v>
      </c>
      <c r="E619" s="42">
        <v>1461.5374999999999</v>
      </c>
      <c r="F619" s="42">
        <v>1461.5374999999999</v>
      </c>
      <c r="G619" s="43">
        <v>100661.15635443501</v>
      </c>
      <c r="H619" s="43">
        <v>97573.282388262698</v>
      </c>
      <c r="I619" s="27">
        <f t="shared" si="27"/>
        <v>1</v>
      </c>
      <c r="J619" s="27">
        <f t="shared" si="29"/>
        <v>1</v>
      </c>
      <c r="K619" s="27">
        <f t="shared" si="28"/>
        <v>1</v>
      </c>
      <c r="L619" s="25">
        <v>472.89293250000003</v>
      </c>
      <c r="M619" s="25">
        <v>475.93915491992846</v>
      </c>
      <c r="N619" s="38">
        <v>0.49858162999005806</v>
      </c>
      <c r="O619" s="38">
        <v>-5.4140657169869932</v>
      </c>
      <c r="P619" s="71">
        <v>-7.4083922369472255</v>
      </c>
      <c r="Q619" s="53">
        <v>42508</v>
      </c>
      <c r="R619" s="23">
        <v>10</v>
      </c>
      <c r="S619" s="24">
        <v>472.89293250000003</v>
      </c>
      <c r="T619" s="24">
        <v>475.93915491992846</v>
      </c>
      <c r="U619" s="1">
        <v>0.49858162999005806</v>
      </c>
      <c r="V619" s="2">
        <v>-5.4140657169869932</v>
      </c>
      <c r="W619" s="2">
        <v>-7.4083922369472255</v>
      </c>
      <c r="X619" s="22" t="s">
        <v>17</v>
      </c>
      <c r="Y619" s="23"/>
      <c r="Z619" s="24" t="s">
        <v>17</v>
      </c>
      <c r="AA619" s="24" t="s">
        <v>17</v>
      </c>
      <c r="AB619" s="1" t="s">
        <v>17</v>
      </c>
      <c r="AC619" s="2" t="s">
        <v>17</v>
      </c>
      <c r="AD619" s="2" t="s">
        <v>17</v>
      </c>
      <c r="AE619" s="22" t="s">
        <v>17</v>
      </c>
      <c r="AF619" s="23"/>
      <c r="AG619" s="24" t="s">
        <v>17</v>
      </c>
      <c r="AH619" s="24" t="s">
        <v>17</v>
      </c>
      <c r="AI619" s="1" t="s">
        <v>17</v>
      </c>
      <c r="AJ619" s="2" t="s">
        <v>17</v>
      </c>
      <c r="AK619" s="2" t="s">
        <v>17</v>
      </c>
      <c r="AL619" s="3"/>
      <c r="AM619" s="2"/>
      <c r="AN619" s="24" t="s">
        <v>17</v>
      </c>
      <c r="AO619" s="24" t="s">
        <v>17</v>
      </c>
      <c r="AP619" s="1" t="s">
        <v>17</v>
      </c>
      <c r="AQ619" s="2" t="s">
        <v>17</v>
      </c>
      <c r="AR619" s="2" t="s">
        <v>17</v>
      </c>
      <c r="AS619" s="3"/>
      <c r="AT619" s="2"/>
      <c r="AU619" s="4"/>
      <c r="AV619" s="2"/>
      <c r="AW619" s="1" t="s">
        <v>17</v>
      </c>
      <c r="AX619" s="2" t="s">
        <v>17</v>
      </c>
      <c r="AY619" s="2" t="s">
        <v>17</v>
      </c>
      <c r="AZ619" s="5"/>
      <c r="BA619" s="6"/>
      <c r="BB619" s="4"/>
      <c r="BC619" s="6"/>
      <c r="BD619" s="6"/>
      <c r="BE619" s="6"/>
      <c r="BF619" s="7"/>
    </row>
    <row r="620" spans="1:58" ht="18" customHeight="1">
      <c r="A620" s="107" t="s">
        <v>15</v>
      </c>
      <c r="B620" s="93" t="s">
        <v>593</v>
      </c>
      <c r="C620" s="42">
        <v>1468</v>
      </c>
      <c r="D620" s="42">
        <v>1468.12</v>
      </c>
      <c r="E620" s="42">
        <v>1468.06</v>
      </c>
      <c r="F620" s="42">
        <v>1468.06</v>
      </c>
      <c r="G620" s="43">
        <v>101279.31735185601</v>
      </c>
      <c r="H620" s="43">
        <v>98236.862049431104</v>
      </c>
      <c r="I620" s="27">
        <f t="shared" si="27"/>
        <v>1</v>
      </c>
      <c r="J620" s="27">
        <f t="shared" si="29"/>
        <v>1</v>
      </c>
      <c r="K620" s="27">
        <f t="shared" si="28"/>
        <v>1</v>
      </c>
      <c r="L620" s="25">
        <v>505.96421199999997</v>
      </c>
      <c r="M620" s="25">
        <v>509.14179921702714</v>
      </c>
      <c r="N620" s="38">
        <v>0.48608829877405668</v>
      </c>
      <c r="O620" s="38">
        <v>-6.3579753247606785</v>
      </c>
      <c r="P620" s="71">
        <v>-8.3023285198569052</v>
      </c>
      <c r="Q620" s="53">
        <v>42571</v>
      </c>
      <c r="R620" s="23">
        <v>10</v>
      </c>
      <c r="S620" s="24">
        <v>505.96421199999997</v>
      </c>
      <c r="T620" s="24">
        <v>509.14179921702714</v>
      </c>
      <c r="U620" s="1">
        <v>0.48608829877405668</v>
      </c>
      <c r="V620" s="2">
        <v>-6.3579753247606785</v>
      </c>
      <c r="W620" s="2">
        <v>-8.3023285198569052</v>
      </c>
      <c r="X620" s="22" t="s">
        <v>17</v>
      </c>
      <c r="Y620" s="23"/>
      <c r="Z620" s="24" t="s">
        <v>17</v>
      </c>
      <c r="AA620" s="24" t="s">
        <v>17</v>
      </c>
      <c r="AB620" s="1" t="s">
        <v>17</v>
      </c>
      <c r="AC620" s="2" t="s">
        <v>17</v>
      </c>
      <c r="AD620" s="2" t="s">
        <v>17</v>
      </c>
      <c r="AE620" s="22" t="s">
        <v>17</v>
      </c>
      <c r="AF620" s="23"/>
      <c r="AG620" s="24" t="s">
        <v>17</v>
      </c>
      <c r="AH620" s="24" t="s">
        <v>17</v>
      </c>
      <c r="AI620" s="1" t="s">
        <v>17</v>
      </c>
      <c r="AJ620" s="2" t="s">
        <v>17</v>
      </c>
      <c r="AK620" s="2" t="s">
        <v>17</v>
      </c>
      <c r="AL620" s="3"/>
      <c r="AM620" s="2"/>
      <c r="AN620" s="24" t="s">
        <v>17</v>
      </c>
      <c r="AO620" s="24" t="s">
        <v>17</v>
      </c>
      <c r="AP620" s="1" t="s">
        <v>17</v>
      </c>
      <c r="AQ620" s="2" t="s">
        <v>17</v>
      </c>
      <c r="AR620" s="2" t="s">
        <v>17</v>
      </c>
      <c r="AS620" s="3"/>
      <c r="AT620" s="2"/>
      <c r="AU620" s="4"/>
      <c r="AV620" s="2"/>
      <c r="AW620" s="20" t="s">
        <v>17</v>
      </c>
      <c r="AX620" s="20" t="s">
        <v>17</v>
      </c>
      <c r="AY620" s="20" t="s">
        <v>17</v>
      </c>
      <c r="AZ620" s="5"/>
      <c r="BA620" s="6"/>
      <c r="BB620" s="4"/>
      <c r="BC620" s="6"/>
      <c r="BD620" s="6"/>
      <c r="BE620" s="6"/>
      <c r="BF620" s="7"/>
    </row>
    <row r="621" spans="1:58" ht="18" customHeight="1">
      <c r="A621" s="107" t="s">
        <v>15</v>
      </c>
      <c r="B621" s="93" t="s">
        <v>594</v>
      </c>
      <c r="C621" s="42">
        <v>1473.5</v>
      </c>
      <c r="D621" s="42">
        <v>1473.62</v>
      </c>
      <c r="E621" s="42">
        <v>1473.56</v>
      </c>
      <c r="F621" s="42">
        <v>1473.56</v>
      </c>
      <c r="G621" s="43">
        <v>101800.405731108</v>
      </c>
      <c r="H621" s="43">
        <v>98781.243869617902</v>
      </c>
      <c r="I621" s="27">
        <f t="shared" si="27"/>
        <v>2</v>
      </c>
      <c r="J621" s="27">
        <f t="shared" si="29"/>
        <v>2</v>
      </c>
      <c r="K621" s="27">
        <f t="shared" si="28"/>
        <v>2</v>
      </c>
      <c r="L621" s="25">
        <v>491.06777199999999</v>
      </c>
      <c r="M621" s="25">
        <v>494.28577948802354</v>
      </c>
      <c r="N621" s="38">
        <v>0.50721701408240616</v>
      </c>
      <c r="O621" s="38">
        <v>-6.0341069006089043</v>
      </c>
      <c r="P621" s="71">
        <v>-8.0629749569385289</v>
      </c>
      <c r="Q621" s="53">
        <v>42405</v>
      </c>
      <c r="R621" s="23">
        <v>8</v>
      </c>
      <c r="S621" s="24">
        <v>487.57003950000001</v>
      </c>
      <c r="T621" s="24">
        <v>490.77626662024625</v>
      </c>
      <c r="U621" s="1">
        <v>0.50897301663899164</v>
      </c>
      <c r="V621" s="2">
        <v>-6.0569424970958741</v>
      </c>
      <c r="W621" s="2">
        <v>-8.0928345636518415</v>
      </c>
      <c r="X621" s="22">
        <v>42405</v>
      </c>
      <c r="Y621" s="23">
        <v>8</v>
      </c>
      <c r="Z621" s="24">
        <v>494.56550449999997</v>
      </c>
      <c r="AA621" s="24">
        <v>497.79529235580088</v>
      </c>
      <c r="AB621" s="1">
        <v>0.50546101152582068</v>
      </c>
      <c r="AC621" s="2">
        <v>-6.0112713041219346</v>
      </c>
      <c r="AD621" s="2">
        <v>-8.0331153502252164</v>
      </c>
      <c r="AE621" s="22" t="s">
        <v>17</v>
      </c>
      <c r="AF621" s="23"/>
      <c r="AG621" s="24" t="s">
        <v>17</v>
      </c>
      <c r="AH621" s="24" t="s">
        <v>17</v>
      </c>
      <c r="AI621" s="1" t="s">
        <v>17</v>
      </c>
      <c r="AJ621" s="2" t="s">
        <v>17</v>
      </c>
      <c r="AK621" s="2" t="s">
        <v>17</v>
      </c>
      <c r="AL621" s="3"/>
      <c r="AM621" s="2"/>
      <c r="AN621" s="24" t="s">
        <v>17</v>
      </c>
      <c r="AO621" s="24" t="s">
        <v>17</v>
      </c>
      <c r="AP621" s="1" t="s">
        <v>17</v>
      </c>
      <c r="AQ621" s="2" t="s">
        <v>17</v>
      </c>
      <c r="AR621" s="2" t="s">
        <v>17</v>
      </c>
      <c r="AS621" s="3"/>
      <c r="AT621" s="2"/>
      <c r="AU621" s="4"/>
      <c r="AV621" s="2"/>
      <c r="AW621" s="20" t="s">
        <v>17</v>
      </c>
      <c r="AX621" s="20" t="s">
        <v>17</v>
      </c>
      <c r="AY621" s="20" t="s">
        <v>17</v>
      </c>
      <c r="AZ621" s="5"/>
      <c r="BA621" s="6"/>
      <c r="BB621" s="4"/>
      <c r="BC621" s="6"/>
      <c r="BD621" s="6"/>
      <c r="BE621" s="6"/>
      <c r="BF621" s="7"/>
    </row>
    <row r="622" spans="1:58" ht="18" customHeight="1">
      <c r="A622" s="107" t="s">
        <v>15</v>
      </c>
      <c r="B622" s="93" t="s">
        <v>595</v>
      </c>
      <c r="C622" s="42">
        <v>1480</v>
      </c>
      <c r="D622" s="42">
        <v>1480.12</v>
      </c>
      <c r="E622" s="42">
        <v>1480.06</v>
      </c>
      <c r="F622" s="42">
        <v>1480.06</v>
      </c>
      <c r="G622" s="43">
        <v>102435.344481929</v>
      </c>
      <c r="H622" s="43">
        <v>99393.035336623798</v>
      </c>
      <c r="I622" s="27">
        <f t="shared" si="27"/>
        <v>1</v>
      </c>
      <c r="J622" s="27">
        <f t="shared" si="29"/>
        <v>1</v>
      </c>
      <c r="K622" s="27">
        <f t="shared" si="28"/>
        <v>1</v>
      </c>
      <c r="L622" s="25">
        <v>506.96114349999999</v>
      </c>
      <c r="M622" s="25">
        <v>510.23557316981788</v>
      </c>
      <c r="N622" s="38">
        <v>0.49991766071766364</v>
      </c>
      <c r="O622" s="38">
        <v>-5.0770079540439772</v>
      </c>
      <c r="P622" s="71">
        <v>-7.0766785969146317</v>
      </c>
      <c r="Q622" s="53">
        <v>42571</v>
      </c>
      <c r="R622" s="23">
        <v>10</v>
      </c>
      <c r="S622" s="24">
        <v>506.96114349999999</v>
      </c>
      <c r="T622" s="24">
        <v>510.23557316981788</v>
      </c>
      <c r="U622" s="1">
        <v>0.49991766071766364</v>
      </c>
      <c r="V622" s="2">
        <v>-5.0770079540439772</v>
      </c>
      <c r="W622" s="2">
        <v>-7.0766785969146317</v>
      </c>
      <c r="X622" s="22" t="s">
        <v>17</v>
      </c>
      <c r="Y622" s="23"/>
      <c r="Z622" s="24" t="s">
        <v>17</v>
      </c>
      <c r="AA622" s="24" t="s">
        <v>17</v>
      </c>
      <c r="AB622" s="1" t="s">
        <v>17</v>
      </c>
      <c r="AC622" s="2" t="s">
        <v>17</v>
      </c>
      <c r="AD622" s="2" t="s">
        <v>17</v>
      </c>
      <c r="AE622" s="22" t="s">
        <v>17</v>
      </c>
      <c r="AF622" s="23"/>
      <c r="AG622" s="24" t="s">
        <v>17</v>
      </c>
      <c r="AH622" s="24" t="s">
        <v>17</v>
      </c>
      <c r="AI622" s="1" t="s">
        <v>17</v>
      </c>
      <c r="AJ622" s="2" t="s">
        <v>17</v>
      </c>
      <c r="AK622" s="2" t="s">
        <v>17</v>
      </c>
      <c r="AL622" s="3"/>
      <c r="AM622" s="2"/>
      <c r="AN622" s="24" t="s">
        <v>17</v>
      </c>
      <c r="AO622" s="24" t="s">
        <v>17</v>
      </c>
      <c r="AP622" s="1" t="s">
        <v>17</v>
      </c>
      <c r="AQ622" s="2" t="s">
        <v>17</v>
      </c>
      <c r="AR622" s="2" t="s">
        <v>17</v>
      </c>
      <c r="AS622" s="3"/>
      <c r="AT622" s="2"/>
      <c r="AU622" s="4"/>
      <c r="AV622" s="2"/>
      <c r="AW622" s="20" t="s">
        <v>17</v>
      </c>
      <c r="AX622" s="20" t="s">
        <v>17</v>
      </c>
      <c r="AY622" s="20" t="s">
        <v>17</v>
      </c>
      <c r="AZ622" s="5"/>
      <c r="BA622" s="6"/>
      <c r="BB622" s="4"/>
      <c r="BC622" s="6"/>
      <c r="BD622" s="6"/>
      <c r="BE622" s="6"/>
      <c r="BF622" s="7"/>
    </row>
    <row r="623" spans="1:58" ht="18" customHeight="1">
      <c r="A623" s="107" t="s">
        <v>15</v>
      </c>
      <c r="B623" s="93" t="s">
        <v>596</v>
      </c>
      <c r="C623" s="42">
        <v>1486.5</v>
      </c>
      <c r="D623" s="42">
        <v>1486.62</v>
      </c>
      <c r="E623" s="42">
        <v>1486.56</v>
      </c>
      <c r="F623" s="42">
        <v>1486.56</v>
      </c>
      <c r="G623" s="43">
        <v>103028.028695303</v>
      </c>
      <c r="H623" s="43">
        <v>99974.493259910203</v>
      </c>
      <c r="I623" s="27">
        <f t="shared" si="27"/>
        <v>2</v>
      </c>
      <c r="J623" s="27">
        <f t="shared" si="29"/>
        <v>2</v>
      </c>
      <c r="K623" s="27">
        <f t="shared" si="28"/>
        <v>2</v>
      </c>
      <c r="L623" s="25">
        <v>515.06220299999995</v>
      </c>
      <c r="M623" s="25">
        <v>518.38537229419012</v>
      </c>
      <c r="N623" s="38">
        <v>0.49940653692859271</v>
      </c>
      <c r="O623" s="38">
        <v>-4.8321052724900611</v>
      </c>
      <c r="P623" s="71">
        <v>-6.8297314202044319</v>
      </c>
      <c r="Q623" s="53">
        <v>42480</v>
      </c>
      <c r="R623" s="23">
        <v>11</v>
      </c>
      <c r="S623" s="24">
        <v>520.04406949999998</v>
      </c>
      <c r="T623" s="24">
        <v>523.38043505980465</v>
      </c>
      <c r="U623" s="1">
        <v>0.49655912568358218</v>
      </c>
      <c r="V623" s="2">
        <v>-4.8527603841824751</v>
      </c>
      <c r="W623" s="2">
        <v>-6.8389968869168039</v>
      </c>
      <c r="X623" s="22">
        <v>42480</v>
      </c>
      <c r="Y623" s="23">
        <v>11</v>
      </c>
      <c r="Z623" s="24">
        <v>510.08033650000004</v>
      </c>
      <c r="AA623" s="24">
        <v>513.39030952857559</v>
      </c>
      <c r="AB623" s="1">
        <v>0.50225394817360325</v>
      </c>
      <c r="AC623" s="2">
        <v>-4.8114501607976479</v>
      </c>
      <c r="AD623" s="2">
        <v>-6.8204659534920609</v>
      </c>
      <c r="AE623" s="22" t="s">
        <v>17</v>
      </c>
      <c r="AF623" s="23"/>
      <c r="AG623" s="24" t="s">
        <v>17</v>
      </c>
      <c r="AH623" s="24" t="s">
        <v>17</v>
      </c>
      <c r="AI623" s="1" t="s">
        <v>17</v>
      </c>
      <c r="AJ623" s="2" t="s">
        <v>17</v>
      </c>
      <c r="AK623" s="2" t="s">
        <v>17</v>
      </c>
      <c r="AL623" s="3"/>
      <c r="AM623" s="2"/>
      <c r="AN623" s="24" t="s">
        <v>17</v>
      </c>
      <c r="AO623" s="24" t="s">
        <v>17</v>
      </c>
      <c r="AP623" s="1" t="s">
        <v>17</v>
      </c>
      <c r="AQ623" s="2" t="s">
        <v>17</v>
      </c>
      <c r="AR623" s="2" t="s">
        <v>17</v>
      </c>
      <c r="AS623" s="3"/>
      <c r="AT623" s="2"/>
      <c r="AU623" s="4"/>
      <c r="AV623" s="2"/>
      <c r="AW623" s="20" t="s">
        <v>17</v>
      </c>
      <c r="AX623" s="20" t="s">
        <v>17</v>
      </c>
      <c r="AY623" s="20" t="s">
        <v>17</v>
      </c>
      <c r="AZ623" s="5"/>
      <c r="BA623" s="6"/>
      <c r="BB623" s="4"/>
      <c r="BC623" s="6"/>
      <c r="BD623" s="6"/>
      <c r="BE623" s="6"/>
      <c r="BF623" s="7"/>
    </row>
    <row r="624" spans="1:58" ht="18" customHeight="1">
      <c r="A624" s="107" t="s">
        <v>15</v>
      </c>
      <c r="B624" s="93" t="s">
        <v>597</v>
      </c>
      <c r="C624" s="42">
        <v>1492.5</v>
      </c>
      <c r="D624" s="42">
        <v>1492.62</v>
      </c>
      <c r="E624" s="42">
        <v>1492.56</v>
      </c>
      <c r="F624" s="42">
        <v>1492.56</v>
      </c>
      <c r="G624" s="43">
        <v>103572.851201595</v>
      </c>
      <c r="H624" s="43">
        <v>100540.043923877</v>
      </c>
      <c r="I624" s="27">
        <f t="shared" si="27"/>
        <v>2</v>
      </c>
      <c r="J624" s="27">
        <f t="shared" si="29"/>
        <v>1</v>
      </c>
      <c r="K624" s="27">
        <f t="shared" si="28"/>
        <v>1</v>
      </c>
      <c r="L624" s="25">
        <v>525.86449000000005</v>
      </c>
      <c r="M624" s="25">
        <v>529.31362530828085</v>
      </c>
      <c r="N624" s="38">
        <v>0.50766108427180434</v>
      </c>
      <c r="O624" s="38">
        <v>-4.0253401461534111</v>
      </c>
      <c r="P624" s="71">
        <v>-6.0559844832406284</v>
      </c>
      <c r="Q624" s="53">
        <v>42571</v>
      </c>
      <c r="R624" s="23">
        <v>10</v>
      </c>
      <c r="S624" s="24">
        <v>531.21124600000007</v>
      </c>
      <c r="T624" s="24">
        <v>534.69545058041285</v>
      </c>
      <c r="U624" s="1">
        <v>0.50766108427180434</v>
      </c>
      <c r="V624" s="2">
        <v>-4.0253401461534111</v>
      </c>
      <c r="W624" s="2">
        <v>-6.0559844832406284</v>
      </c>
      <c r="X624" s="22">
        <v>43172</v>
      </c>
      <c r="Y624" s="23">
        <v>3</v>
      </c>
      <c r="Z624" s="24">
        <v>520.51773400000002</v>
      </c>
      <c r="AA624" s="24">
        <v>523.93180003614884</v>
      </c>
      <c r="AB624" s="1"/>
      <c r="AC624" s="2"/>
      <c r="AD624" s="2"/>
      <c r="AE624" s="22" t="s">
        <v>17</v>
      </c>
      <c r="AF624" s="23"/>
      <c r="AG624" s="24" t="s">
        <v>17</v>
      </c>
      <c r="AH624" s="24" t="s">
        <v>17</v>
      </c>
      <c r="AI624" s="1" t="s">
        <v>17</v>
      </c>
      <c r="AJ624" s="2" t="s">
        <v>17</v>
      </c>
      <c r="AK624" s="2" t="s">
        <v>17</v>
      </c>
      <c r="AL624" s="3"/>
      <c r="AM624" s="2"/>
      <c r="AN624" s="24" t="s">
        <v>17</v>
      </c>
      <c r="AO624" s="24" t="s">
        <v>17</v>
      </c>
      <c r="AP624" s="1" t="s">
        <v>17</v>
      </c>
      <c r="AQ624" s="2" t="s">
        <v>17</v>
      </c>
      <c r="AR624" s="2" t="s">
        <v>17</v>
      </c>
      <c r="AS624" s="3"/>
      <c r="AT624" s="2"/>
      <c r="AU624" s="4"/>
      <c r="AV624" s="2"/>
      <c r="AW624" s="20" t="s">
        <v>17</v>
      </c>
      <c r="AX624" s="20" t="s">
        <v>17</v>
      </c>
      <c r="AY624" s="20" t="s">
        <v>17</v>
      </c>
      <c r="AZ624" s="5"/>
      <c r="BA624" s="6"/>
      <c r="BB624" s="4"/>
      <c r="BC624" s="6"/>
      <c r="BD624" s="6"/>
      <c r="BE624" s="6"/>
      <c r="BF624" s="7"/>
    </row>
    <row r="625" spans="1:58" ht="18" customHeight="1">
      <c r="A625" s="107" t="s">
        <v>15</v>
      </c>
      <c r="B625" s="93" t="s">
        <v>598</v>
      </c>
      <c r="C625" s="42">
        <v>1498.5</v>
      </c>
      <c r="D625" s="42">
        <v>1498.62</v>
      </c>
      <c r="E625" s="42">
        <v>1498.56</v>
      </c>
      <c r="F625" s="42">
        <v>1498.56</v>
      </c>
      <c r="G625" s="43">
        <v>104131.238178614</v>
      </c>
      <c r="H625" s="43">
        <v>101115.27998781</v>
      </c>
      <c r="I625" s="27">
        <f t="shared" si="27"/>
        <v>2</v>
      </c>
      <c r="J625" s="27">
        <f t="shared" si="29"/>
        <v>2</v>
      </c>
      <c r="K625" s="27">
        <f t="shared" si="28"/>
        <v>2</v>
      </c>
      <c r="L625" s="25">
        <v>543.59936125000002</v>
      </c>
      <c r="M625" s="25">
        <v>547.16071184161899</v>
      </c>
      <c r="N625" s="38">
        <v>0.50707459182375292</v>
      </c>
      <c r="O625" s="38">
        <v>-3.847467511981506</v>
      </c>
      <c r="P625" s="71">
        <v>-5.8757658792765177</v>
      </c>
      <c r="Q625" s="53">
        <v>42426</v>
      </c>
      <c r="R625" s="23">
        <v>9</v>
      </c>
      <c r="S625" s="24">
        <v>543.13121550000005</v>
      </c>
      <c r="T625" s="24">
        <v>546.67590092863929</v>
      </c>
      <c r="U625" s="1">
        <v>0.50513844444100009</v>
      </c>
      <c r="V625" s="2">
        <v>-3.2903833309086972</v>
      </c>
      <c r="W625" s="2">
        <v>-5.3109371086726975</v>
      </c>
      <c r="X625" s="22">
        <v>42426</v>
      </c>
      <c r="Y625" s="23">
        <v>9</v>
      </c>
      <c r="Z625" s="24">
        <v>544.06750699999998</v>
      </c>
      <c r="AA625" s="24">
        <v>547.64552275459869</v>
      </c>
      <c r="AB625" s="1">
        <v>0.50901073920650575</v>
      </c>
      <c r="AC625" s="2">
        <v>-4.4045516930543149</v>
      </c>
      <c r="AD625" s="2">
        <v>-6.4405946498803379</v>
      </c>
      <c r="AE625" s="22" t="s">
        <v>17</v>
      </c>
      <c r="AF625" s="23"/>
      <c r="AG625" s="24" t="s">
        <v>17</v>
      </c>
      <c r="AH625" s="24" t="s">
        <v>17</v>
      </c>
      <c r="AI625" s="1" t="s">
        <v>17</v>
      </c>
      <c r="AJ625" s="2" t="s">
        <v>17</v>
      </c>
      <c r="AK625" s="2" t="s">
        <v>17</v>
      </c>
      <c r="AL625" s="3"/>
      <c r="AM625" s="2"/>
      <c r="AN625" s="24" t="s">
        <v>17</v>
      </c>
      <c r="AO625" s="24" t="s">
        <v>17</v>
      </c>
      <c r="AP625" s="1" t="s">
        <v>17</v>
      </c>
      <c r="AQ625" s="2" t="s">
        <v>17</v>
      </c>
      <c r="AR625" s="2" t="s">
        <v>17</v>
      </c>
      <c r="AS625" s="3"/>
      <c r="AT625" s="2"/>
      <c r="AU625" s="4"/>
      <c r="AV625" s="2"/>
      <c r="AW625" s="20" t="s">
        <v>17</v>
      </c>
      <c r="AX625" s="20" t="s">
        <v>17</v>
      </c>
      <c r="AY625" s="20" t="s">
        <v>17</v>
      </c>
      <c r="AZ625" s="5"/>
      <c r="BA625" s="6"/>
      <c r="BB625" s="4"/>
      <c r="BC625" s="6"/>
      <c r="BD625" s="6"/>
      <c r="BE625" s="6"/>
      <c r="BF625" s="7"/>
    </row>
    <row r="626" spans="1:58" ht="18" customHeight="1">
      <c r="A626" s="107" t="s">
        <v>15</v>
      </c>
      <c r="B626" s="93" t="s">
        <v>599</v>
      </c>
      <c r="C626" s="42">
        <v>1505.5</v>
      </c>
      <c r="D626" s="42">
        <v>1505.5650000000001</v>
      </c>
      <c r="E626" s="42">
        <v>1505.5325</v>
      </c>
      <c r="F626" s="42">
        <v>1505.5325</v>
      </c>
      <c r="G626" s="43">
        <v>104853.46165651</v>
      </c>
      <c r="H626" s="43">
        <v>101816.39257334999</v>
      </c>
      <c r="I626" s="27">
        <f t="shared" si="27"/>
        <v>1</v>
      </c>
      <c r="J626" s="27">
        <f t="shared" si="29"/>
        <v>1</v>
      </c>
      <c r="K626" s="27">
        <f t="shared" si="28"/>
        <v>1</v>
      </c>
      <c r="L626" s="25">
        <v>540.2990575</v>
      </c>
      <c r="M626" s="25">
        <v>543.94272228292914</v>
      </c>
      <c r="N626" s="38">
        <v>0.52196537111215413</v>
      </c>
      <c r="O626" s="38">
        <v>-3.5055155814397443</v>
      </c>
      <c r="P626" s="71">
        <v>-5.5933770658883608</v>
      </c>
      <c r="Q626" s="53">
        <v>42523</v>
      </c>
      <c r="R626" s="23">
        <v>10</v>
      </c>
      <c r="S626" s="24">
        <v>540.2990575</v>
      </c>
      <c r="T626" s="24">
        <v>543.94272228292914</v>
      </c>
      <c r="U626" s="1">
        <v>0.52196537111215413</v>
      </c>
      <c r="V626" s="2">
        <v>-3.5055155814397443</v>
      </c>
      <c r="W626" s="2">
        <v>-5.5933770658883608</v>
      </c>
      <c r="X626" s="22" t="s">
        <v>17</v>
      </c>
      <c r="Y626" s="23"/>
      <c r="Z626" s="24" t="s">
        <v>17</v>
      </c>
      <c r="AA626" s="24" t="s">
        <v>17</v>
      </c>
      <c r="AB626" s="1" t="s">
        <v>17</v>
      </c>
      <c r="AC626" s="2" t="s">
        <v>17</v>
      </c>
      <c r="AD626" s="2" t="s">
        <v>17</v>
      </c>
      <c r="AE626" s="22" t="s">
        <v>17</v>
      </c>
      <c r="AF626" s="23"/>
      <c r="AG626" s="24" t="s">
        <v>17</v>
      </c>
      <c r="AH626" s="24" t="s">
        <v>17</v>
      </c>
      <c r="AI626" s="1" t="s">
        <v>17</v>
      </c>
      <c r="AJ626" s="2" t="s">
        <v>17</v>
      </c>
      <c r="AK626" s="2" t="s">
        <v>17</v>
      </c>
      <c r="AL626" s="3"/>
      <c r="AM626" s="2"/>
      <c r="AN626" s="24" t="s">
        <v>17</v>
      </c>
      <c r="AO626" s="24" t="s">
        <v>17</v>
      </c>
      <c r="AP626" s="1" t="s">
        <v>17</v>
      </c>
      <c r="AQ626" s="2" t="s">
        <v>17</v>
      </c>
      <c r="AR626" s="2" t="s">
        <v>17</v>
      </c>
      <c r="AS626" s="3"/>
      <c r="AT626" s="2"/>
      <c r="AU626" s="4"/>
      <c r="AV626" s="2"/>
      <c r="AW626" s="20" t="s">
        <v>17</v>
      </c>
      <c r="AX626" s="20" t="s">
        <v>17</v>
      </c>
      <c r="AY626" s="20" t="s">
        <v>17</v>
      </c>
      <c r="AZ626" s="5"/>
      <c r="BA626" s="6"/>
      <c r="BB626" s="4"/>
      <c r="BC626" s="6"/>
      <c r="BD626" s="6"/>
      <c r="BE626" s="6"/>
      <c r="BF626" s="7"/>
    </row>
    <row r="627" spans="1:58" ht="18" customHeight="1">
      <c r="A627" s="107" t="s">
        <v>15</v>
      </c>
      <c r="B627" s="93" t="s">
        <v>600</v>
      </c>
      <c r="C627" s="42">
        <v>1510.5</v>
      </c>
      <c r="D627" s="42">
        <v>1510.62</v>
      </c>
      <c r="E627" s="42">
        <v>1510.56</v>
      </c>
      <c r="F627" s="42">
        <v>1510.56</v>
      </c>
      <c r="G627" s="43">
        <v>105375.250067382</v>
      </c>
      <c r="H627" s="43">
        <v>102335.260108453</v>
      </c>
      <c r="I627" s="27">
        <f t="shared" si="27"/>
        <v>2</v>
      </c>
      <c r="J627" s="27">
        <f t="shared" si="29"/>
        <v>1</v>
      </c>
      <c r="K627" s="27">
        <f t="shared" si="28"/>
        <v>1</v>
      </c>
      <c r="L627" s="25">
        <v>542.31969300000003</v>
      </c>
      <c r="M627" s="25">
        <v>544.05594880076637</v>
      </c>
      <c r="N627" s="38">
        <v>0.49499997635993331</v>
      </c>
      <c r="O627" s="38">
        <v>-5.3770014047799242</v>
      </c>
      <c r="P627" s="71">
        <v>-7.3570013102196574</v>
      </c>
      <c r="Q627" s="53">
        <v>42473</v>
      </c>
      <c r="R627" s="23">
        <v>10</v>
      </c>
      <c r="S627" s="24">
        <v>542.97022349999997</v>
      </c>
      <c r="T627" s="24">
        <v>546.44273510153266</v>
      </c>
      <c r="U627" s="1">
        <v>0.49499997635993331</v>
      </c>
      <c r="V627" s="2">
        <v>-5.3770014047799242</v>
      </c>
      <c r="W627" s="2">
        <v>-7.3570013102196574</v>
      </c>
      <c r="X627" s="22">
        <v>42473</v>
      </c>
      <c r="Y627" s="23">
        <v>10</v>
      </c>
      <c r="Z627" s="24">
        <v>541.66916250000008</v>
      </c>
      <c r="AA627" s="24">
        <v>541.66916250000008</v>
      </c>
      <c r="AB627" s="1"/>
      <c r="AC627" s="2"/>
      <c r="AD627" s="2"/>
      <c r="AE627" s="22" t="s">
        <v>17</v>
      </c>
      <c r="AF627" s="23"/>
      <c r="AG627" s="24" t="s">
        <v>17</v>
      </c>
      <c r="AH627" s="24" t="s">
        <v>17</v>
      </c>
      <c r="AI627" s="1" t="s">
        <v>17</v>
      </c>
      <c r="AJ627" s="2" t="s">
        <v>17</v>
      </c>
      <c r="AK627" s="2" t="s">
        <v>17</v>
      </c>
      <c r="AL627" s="3"/>
      <c r="AM627" s="2"/>
      <c r="AN627" s="24" t="s">
        <v>17</v>
      </c>
      <c r="AO627" s="24" t="s">
        <v>17</v>
      </c>
      <c r="AP627" s="1" t="s">
        <v>17</v>
      </c>
      <c r="AQ627" s="2" t="s">
        <v>17</v>
      </c>
      <c r="AR627" s="2" t="s">
        <v>17</v>
      </c>
      <c r="AS627" s="3"/>
      <c r="AT627" s="2"/>
      <c r="AU627" s="4"/>
      <c r="AV627" s="2"/>
      <c r="AW627" s="20" t="s">
        <v>17</v>
      </c>
      <c r="AX627" s="20" t="s">
        <v>17</v>
      </c>
      <c r="AY627" s="20" t="s">
        <v>17</v>
      </c>
      <c r="AZ627" s="5"/>
      <c r="BA627" s="6"/>
      <c r="BB627" s="4"/>
      <c r="BC627" s="6"/>
      <c r="BD627" s="6"/>
      <c r="BE627" s="6"/>
      <c r="BF627" s="7"/>
    </row>
    <row r="628" spans="1:58" ht="18" customHeight="1">
      <c r="A628" s="107" t="s">
        <v>15</v>
      </c>
      <c r="B628" s="93" t="s">
        <v>601</v>
      </c>
      <c r="C628" s="42">
        <v>1516</v>
      </c>
      <c r="D628" s="42">
        <v>1516.12</v>
      </c>
      <c r="E628" s="42">
        <v>1516.06</v>
      </c>
      <c r="F628" s="42">
        <v>1516.06</v>
      </c>
      <c r="G628" s="43">
        <v>105976.745488645</v>
      </c>
      <c r="H628" s="43">
        <v>102869.31842928899</v>
      </c>
      <c r="I628" s="27">
        <f t="shared" si="27"/>
        <v>1</v>
      </c>
      <c r="J628" s="27">
        <f t="shared" si="29"/>
        <v>1</v>
      </c>
      <c r="K628" s="27">
        <f t="shared" si="28"/>
        <v>1</v>
      </c>
      <c r="L628" s="25">
        <v>545.34619750000002</v>
      </c>
      <c r="M628" s="25">
        <v>548.82096170219859</v>
      </c>
      <c r="N628" s="38">
        <v>0.49316305665336735</v>
      </c>
      <c r="O628" s="38">
        <v>-2.2356580523054115</v>
      </c>
      <c r="P628" s="71">
        <v>-4.2083102789188809</v>
      </c>
      <c r="Q628" s="53">
        <v>42535</v>
      </c>
      <c r="R628" s="23">
        <v>10</v>
      </c>
      <c r="S628" s="24">
        <v>545.34619750000002</v>
      </c>
      <c r="T628" s="24">
        <v>548.82096170219859</v>
      </c>
      <c r="U628" s="1">
        <v>0.49316305665336735</v>
      </c>
      <c r="V628" s="2">
        <v>-2.2356580523054115</v>
      </c>
      <c r="W628" s="2">
        <v>-4.2083102789188809</v>
      </c>
      <c r="X628" s="22" t="s">
        <v>17</v>
      </c>
      <c r="Y628" s="23"/>
      <c r="Z628" s="24" t="s">
        <v>17</v>
      </c>
      <c r="AA628" s="24" t="s">
        <v>17</v>
      </c>
      <c r="AB628" s="1" t="s">
        <v>17</v>
      </c>
      <c r="AC628" s="2" t="s">
        <v>17</v>
      </c>
      <c r="AD628" s="2" t="s">
        <v>17</v>
      </c>
      <c r="AE628" s="22" t="s">
        <v>17</v>
      </c>
      <c r="AF628" s="23"/>
      <c r="AG628" s="24" t="s">
        <v>17</v>
      </c>
      <c r="AH628" s="24" t="s">
        <v>17</v>
      </c>
      <c r="AI628" s="1" t="s">
        <v>17</v>
      </c>
      <c r="AJ628" s="2" t="s">
        <v>17</v>
      </c>
      <c r="AK628" s="2" t="s">
        <v>17</v>
      </c>
      <c r="AL628" s="3"/>
      <c r="AM628" s="2"/>
      <c r="AN628" s="24" t="s">
        <v>17</v>
      </c>
      <c r="AO628" s="24" t="s">
        <v>17</v>
      </c>
      <c r="AP628" s="1" t="s">
        <v>17</v>
      </c>
      <c r="AQ628" s="2" t="s">
        <v>17</v>
      </c>
      <c r="AR628" s="2" t="s">
        <v>17</v>
      </c>
      <c r="AS628" s="3"/>
      <c r="AT628" s="2"/>
      <c r="AU628" s="4"/>
      <c r="AV628" s="2"/>
      <c r="AW628" s="20" t="s">
        <v>17</v>
      </c>
      <c r="AX628" s="20" t="s">
        <v>17</v>
      </c>
      <c r="AY628" s="20" t="s">
        <v>17</v>
      </c>
      <c r="AZ628" s="5"/>
      <c r="BA628" s="6"/>
      <c r="BB628" s="4"/>
      <c r="BC628" s="6"/>
      <c r="BD628" s="6"/>
      <c r="BE628" s="6"/>
      <c r="BF628" s="7"/>
    </row>
    <row r="629" spans="1:58" ht="18" customHeight="1">
      <c r="A629" s="107" t="s">
        <v>15</v>
      </c>
      <c r="B629" s="93" t="s">
        <v>602</v>
      </c>
      <c r="C629" s="42">
        <v>1521</v>
      </c>
      <c r="D629" s="42">
        <v>1521.12</v>
      </c>
      <c r="E629" s="42">
        <v>1521.06</v>
      </c>
      <c r="F629" s="42">
        <v>1521.06</v>
      </c>
      <c r="G629" s="43">
        <v>106510.214058642</v>
      </c>
      <c r="H629" s="43">
        <v>103322.26546811999</v>
      </c>
      <c r="I629" s="27">
        <f t="shared" si="27"/>
        <v>2</v>
      </c>
      <c r="J629" s="27">
        <f t="shared" si="29"/>
        <v>2</v>
      </c>
      <c r="K629" s="27">
        <f t="shared" si="28"/>
        <v>2</v>
      </c>
      <c r="L629" s="25">
        <v>546.16300699999999</v>
      </c>
      <c r="M629" s="25">
        <v>549.6622611955313</v>
      </c>
      <c r="N629" s="38">
        <v>0.4958845315246041</v>
      </c>
      <c r="O629" s="38">
        <v>-4.7413136924937538</v>
      </c>
      <c r="P629" s="71">
        <v>-6.7248518185921702</v>
      </c>
      <c r="Q629" s="53">
        <v>42480</v>
      </c>
      <c r="R629" s="23">
        <v>10</v>
      </c>
      <c r="S629" s="24">
        <v>545.55086949999998</v>
      </c>
      <c r="T629" s="24">
        <v>548.9733346538444</v>
      </c>
      <c r="U629" s="1">
        <v>0.48555817347861741</v>
      </c>
      <c r="V629" s="2">
        <v>-4.7503110743177812</v>
      </c>
      <c r="W629" s="2">
        <v>-6.6925437682322508</v>
      </c>
      <c r="X629" s="22">
        <v>42480</v>
      </c>
      <c r="Y629" s="23">
        <v>10</v>
      </c>
      <c r="Z629" s="24">
        <v>546.77514450000001</v>
      </c>
      <c r="AA629" s="24">
        <v>550.3511877372182</v>
      </c>
      <c r="AB629" s="1">
        <v>0.50621088957059079</v>
      </c>
      <c r="AC629" s="2">
        <v>-4.7323163106697264</v>
      </c>
      <c r="AD629" s="2">
        <v>-6.7571598689520895</v>
      </c>
      <c r="AE629" s="22"/>
      <c r="AF629" s="23"/>
      <c r="AG629" s="24"/>
      <c r="AH629" s="24"/>
      <c r="AI629" s="1"/>
      <c r="AJ629" s="2"/>
      <c r="AK629" s="2"/>
      <c r="AL629" s="3"/>
      <c r="AM629" s="2"/>
      <c r="AN629" s="24" t="s">
        <v>17</v>
      </c>
      <c r="AO629" s="24" t="s">
        <v>17</v>
      </c>
      <c r="AP629" s="1" t="s">
        <v>17</v>
      </c>
      <c r="AQ629" s="2" t="s">
        <v>17</v>
      </c>
      <c r="AR629" s="2" t="s">
        <v>17</v>
      </c>
      <c r="AS629" s="3"/>
      <c r="AT629" s="2"/>
      <c r="AU629" s="4"/>
      <c r="AV629" s="2"/>
      <c r="AW629" s="20" t="s">
        <v>17</v>
      </c>
      <c r="AX629" s="20" t="s">
        <v>17</v>
      </c>
      <c r="AY629" s="20" t="s">
        <v>17</v>
      </c>
      <c r="AZ629" s="5"/>
      <c r="BA629" s="6"/>
      <c r="BB629" s="4"/>
      <c r="BC629" s="6"/>
      <c r="BD629" s="6"/>
      <c r="BE629" s="6"/>
      <c r="BF629" s="7"/>
    </row>
    <row r="630" spans="1:58" ht="18" customHeight="1">
      <c r="A630" s="107" t="s">
        <v>15</v>
      </c>
      <c r="B630" s="93" t="s">
        <v>603</v>
      </c>
      <c r="C630" s="42">
        <v>1526.02</v>
      </c>
      <c r="D630" s="42">
        <v>1526.1399999999999</v>
      </c>
      <c r="E630" s="42">
        <v>1526.08</v>
      </c>
      <c r="F630" s="42">
        <v>1526.08</v>
      </c>
      <c r="G630" s="43">
        <v>107009.400722001</v>
      </c>
      <c r="H630" s="43">
        <v>103748.94580292801</v>
      </c>
      <c r="I630" s="27">
        <f t="shared" si="27"/>
        <v>1</v>
      </c>
      <c r="J630" s="27">
        <f t="shared" si="29"/>
        <v>1</v>
      </c>
      <c r="K630" s="27">
        <f t="shared" si="28"/>
        <v>1</v>
      </c>
      <c r="L630" s="25">
        <v>483.26910350000003</v>
      </c>
      <c r="M630" s="25">
        <v>486.52422720603062</v>
      </c>
      <c r="N630" s="38">
        <v>0.52133388512864975</v>
      </c>
      <c r="O630" s="38">
        <v>-2.9373112201539486</v>
      </c>
      <c r="P630" s="71">
        <v>-5.0226467606685476</v>
      </c>
      <c r="Q630" s="53">
        <v>42571</v>
      </c>
      <c r="R630" s="23">
        <v>10</v>
      </c>
      <c r="S630" s="24">
        <v>483.26910350000003</v>
      </c>
      <c r="T630" s="24">
        <v>486.52422720603062</v>
      </c>
      <c r="U630" s="1">
        <v>0.52133388512864975</v>
      </c>
      <c r="V630" s="2">
        <v>-2.9373112201539486</v>
      </c>
      <c r="W630" s="2">
        <v>-5.0226467606685476</v>
      </c>
      <c r="X630" s="22" t="s">
        <v>17</v>
      </c>
      <c r="Y630" s="23"/>
      <c r="Z630" s="24" t="s">
        <v>17</v>
      </c>
      <c r="AA630" s="24" t="s">
        <v>17</v>
      </c>
      <c r="AB630" s="1" t="s">
        <v>17</v>
      </c>
      <c r="AC630" s="2" t="s">
        <v>17</v>
      </c>
      <c r="AD630" s="2" t="s">
        <v>17</v>
      </c>
      <c r="AE630" s="22" t="s">
        <v>17</v>
      </c>
      <c r="AF630" s="23"/>
      <c r="AG630" s="24" t="s">
        <v>17</v>
      </c>
      <c r="AH630" s="24" t="s">
        <v>17</v>
      </c>
      <c r="AI630" s="1" t="s">
        <v>17</v>
      </c>
      <c r="AJ630" s="2" t="s">
        <v>17</v>
      </c>
      <c r="AK630" s="2" t="s">
        <v>17</v>
      </c>
      <c r="AL630" s="3"/>
      <c r="AM630" s="2"/>
      <c r="AN630" s="24" t="s">
        <v>17</v>
      </c>
      <c r="AO630" s="24" t="s">
        <v>17</v>
      </c>
      <c r="AP630" s="1" t="s">
        <v>17</v>
      </c>
      <c r="AQ630" s="2" t="s">
        <v>17</v>
      </c>
      <c r="AR630" s="2" t="s">
        <v>17</v>
      </c>
      <c r="AS630" s="3"/>
      <c r="AT630" s="2"/>
      <c r="AU630" s="4"/>
      <c r="AV630" s="2"/>
      <c r="AW630" s="20" t="s">
        <v>17</v>
      </c>
      <c r="AX630" s="20" t="s">
        <v>17</v>
      </c>
      <c r="AY630" s="20" t="s">
        <v>17</v>
      </c>
      <c r="AZ630" s="5"/>
      <c r="BA630" s="6"/>
      <c r="BB630" s="4"/>
      <c r="BC630" s="6"/>
      <c r="BD630" s="6"/>
      <c r="BE630" s="6"/>
      <c r="BF630" s="7"/>
    </row>
    <row r="631" spans="1:58" ht="18" customHeight="1">
      <c r="A631" s="107" t="s">
        <v>15</v>
      </c>
      <c r="B631" s="93" t="s">
        <v>604</v>
      </c>
      <c r="C631" s="42">
        <v>1531</v>
      </c>
      <c r="D631" s="42">
        <v>1531.12</v>
      </c>
      <c r="E631" s="42">
        <v>1531.06</v>
      </c>
      <c r="F631" s="42">
        <v>1531.06</v>
      </c>
      <c r="G631" s="43">
        <v>107477.799973974</v>
      </c>
      <c r="H631" s="43">
        <v>104189.363331063</v>
      </c>
      <c r="I631" s="27">
        <f t="shared" si="27"/>
        <v>2</v>
      </c>
      <c r="J631" s="27">
        <f t="shared" si="29"/>
        <v>1</v>
      </c>
      <c r="K631" s="27">
        <f t="shared" si="28"/>
        <v>1</v>
      </c>
      <c r="L631" s="25">
        <v>490.59024450000004</v>
      </c>
      <c r="M631" s="25">
        <v>484.8712003538684</v>
      </c>
      <c r="N631" s="38">
        <v>0.52799694538130382</v>
      </c>
      <c r="O631" s="38">
        <v>-3.3430296262455528</v>
      </c>
      <c r="P631" s="71">
        <v>-5.455017407770768</v>
      </c>
      <c r="Q631" s="53">
        <v>42430</v>
      </c>
      <c r="R631" s="23">
        <v>9</v>
      </c>
      <c r="S631" s="24">
        <v>489.78132199999999</v>
      </c>
      <c r="T631" s="24">
        <v>482.41132199999998</v>
      </c>
      <c r="U631" s="1"/>
      <c r="V631" s="2"/>
      <c r="W631" s="2"/>
      <c r="X631" s="22">
        <v>42430</v>
      </c>
      <c r="Y631" s="23">
        <v>9</v>
      </c>
      <c r="Z631" s="24">
        <v>491.39916700000003</v>
      </c>
      <c r="AA631" s="24">
        <v>487.33107870773688</v>
      </c>
      <c r="AB631" s="1">
        <v>0.52799694538130382</v>
      </c>
      <c r="AC631" s="2">
        <v>-3.3430296262455528</v>
      </c>
      <c r="AD631" s="2">
        <v>-5.455017407770768</v>
      </c>
      <c r="AE631" s="22" t="s">
        <v>17</v>
      </c>
      <c r="AF631" s="23"/>
      <c r="AG631" s="24" t="s">
        <v>17</v>
      </c>
      <c r="AH631" s="24" t="s">
        <v>17</v>
      </c>
      <c r="AI631" s="1" t="s">
        <v>17</v>
      </c>
      <c r="AJ631" s="2" t="s">
        <v>17</v>
      </c>
      <c r="AK631" s="2" t="s">
        <v>17</v>
      </c>
      <c r="AL631" s="3"/>
      <c r="AM631" s="2"/>
      <c r="AN631" s="24" t="s">
        <v>17</v>
      </c>
      <c r="AO631" s="24" t="s">
        <v>17</v>
      </c>
      <c r="AP631" s="1" t="s">
        <v>17</v>
      </c>
      <c r="AQ631" s="2" t="s">
        <v>17</v>
      </c>
      <c r="AR631" s="2" t="s">
        <v>17</v>
      </c>
      <c r="AS631" s="3"/>
      <c r="AT631" s="2"/>
      <c r="AU631" s="4"/>
      <c r="AV631" s="2"/>
      <c r="AW631" s="1" t="s">
        <v>17</v>
      </c>
      <c r="AX631" s="2" t="s">
        <v>17</v>
      </c>
      <c r="AY631" s="2" t="s">
        <v>17</v>
      </c>
      <c r="AZ631" s="5"/>
      <c r="BA631" s="6"/>
      <c r="BB631" s="4"/>
      <c r="BC631" s="6"/>
      <c r="BD631" s="6"/>
      <c r="BE631" s="6"/>
      <c r="BF631" s="7"/>
    </row>
    <row r="632" spans="1:58" ht="18" customHeight="1">
      <c r="A632" s="107" t="s">
        <v>15</v>
      </c>
      <c r="B632" s="93" t="s">
        <v>605</v>
      </c>
      <c r="C632" s="42">
        <v>1540.5</v>
      </c>
      <c r="D632" s="42">
        <v>1540.62</v>
      </c>
      <c r="E632" s="42">
        <v>1540.56</v>
      </c>
      <c r="F632" s="42">
        <v>1540.56</v>
      </c>
      <c r="G632" s="43">
        <v>108457.72611562299</v>
      </c>
      <c r="H632" s="43">
        <v>105140.01921449399</v>
      </c>
      <c r="I632" s="27">
        <f t="shared" si="27"/>
        <v>3</v>
      </c>
      <c r="J632" s="27">
        <f t="shared" si="29"/>
        <v>2</v>
      </c>
      <c r="K632" s="27">
        <f t="shared" si="28"/>
        <v>2</v>
      </c>
      <c r="L632" s="25">
        <v>501.09836233333334</v>
      </c>
      <c r="M632" s="25">
        <v>499.64352841493883</v>
      </c>
      <c r="N632" s="38">
        <v>0.54276700696220814</v>
      </c>
      <c r="O632" s="38">
        <v>-3.4460756279621196</v>
      </c>
      <c r="P632" s="71">
        <v>-5.6171436558109527</v>
      </c>
      <c r="Q632" s="53">
        <v>42465</v>
      </c>
      <c r="R632" s="23">
        <v>9</v>
      </c>
      <c r="S632" s="24">
        <v>504.87880899999999</v>
      </c>
      <c r="T632" s="24">
        <v>501.06119008364823</v>
      </c>
      <c r="U632" s="1">
        <v>0.55265774451362937</v>
      </c>
      <c r="V632" s="2">
        <v>-3.5336035953907885</v>
      </c>
      <c r="W632" s="2">
        <v>-5.744234573445306</v>
      </c>
      <c r="X632" s="22">
        <v>42465</v>
      </c>
      <c r="Y632" s="23">
        <v>9</v>
      </c>
      <c r="Z632" s="24">
        <v>501.78263449999997</v>
      </c>
      <c r="AA632" s="24">
        <v>497.81654752206714</v>
      </c>
      <c r="AB632" s="1">
        <v>0.53287626941078692</v>
      </c>
      <c r="AC632" s="2">
        <v>-3.3585476605334508</v>
      </c>
      <c r="AD632" s="2">
        <v>-5.4900527381765984</v>
      </c>
      <c r="AE632" s="22">
        <v>43662</v>
      </c>
      <c r="AF632" s="23">
        <v>9</v>
      </c>
      <c r="AG632" s="24">
        <v>496.63364350000001</v>
      </c>
      <c r="AH632" s="24">
        <v>500.05284763910117</v>
      </c>
      <c r="AI632" s="1"/>
      <c r="AJ632" s="2"/>
      <c r="AK632" s="2"/>
      <c r="AL632" s="3"/>
      <c r="AM632" s="2"/>
      <c r="AN632" s="24" t="s">
        <v>17</v>
      </c>
      <c r="AO632" s="24" t="s">
        <v>17</v>
      </c>
      <c r="AP632" s="1" t="s">
        <v>17</v>
      </c>
      <c r="AQ632" s="2" t="s">
        <v>17</v>
      </c>
      <c r="AR632" s="2" t="s">
        <v>17</v>
      </c>
      <c r="AS632" s="3"/>
      <c r="AT632" s="2"/>
      <c r="AU632" s="4"/>
      <c r="AV632" s="2"/>
      <c r="AW632" s="20" t="s">
        <v>17</v>
      </c>
      <c r="AX632" s="20" t="s">
        <v>17</v>
      </c>
      <c r="AY632" s="20" t="s">
        <v>17</v>
      </c>
      <c r="AZ632" s="5"/>
      <c r="BA632" s="6"/>
      <c r="BB632" s="4"/>
      <c r="BC632" s="6"/>
      <c r="BD632" s="6"/>
      <c r="BE632" s="6"/>
      <c r="BF632" s="7"/>
    </row>
    <row r="633" spans="1:58" ht="18" customHeight="1">
      <c r="A633" s="107" t="s">
        <v>15</v>
      </c>
      <c r="B633" s="93" t="s">
        <v>606</v>
      </c>
      <c r="C633" s="42">
        <v>1545.5</v>
      </c>
      <c r="D633" s="42">
        <v>1545.62</v>
      </c>
      <c r="E633" s="42">
        <v>1545.56</v>
      </c>
      <c r="F633" s="42">
        <v>1545.56</v>
      </c>
      <c r="G633" s="43">
        <v>108929.53253453699</v>
      </c>
      <c r="H633" s="43">
        <v>105661.554596331</v>
      </c>
      <c r="I633" s="27">
        <f t="shared" si="27"/>
        <v>1</v>
      </c>
      <c r="J633" s="27">
        <f t="shared" si="29"/>
        <v>1</v>
      </c>
      <c r="K633" s="27">
        <f t="shared" si="28"/>
        <v>1</v>
      </c>
      <c r="L633" s="25">
        <v>552.86212350000005</v>
      </c>
      <c r="M633" s="25">
        <v>556.61429700703195</v>
      </c>
      <c r="N633" s="38">
        <v>0.5252953562426832</v>
      </c>
      <c r="O633" s="38">
        <v>-4.3499473562137458</v>
      </c>
      <c r="P633" s="71">
        <v>-6.4511287811844786</v>
      </c>
      <c r="Q633" s="53">
        <v>42571</v>
      </c>
      <c r="R633" s="23">
        <v>10</v>
      </c>
      <c r="S633" s="24">
        <v>552.86212350000005</v>
      </c>
      <c r="T633" s="24">
        <v>556.61429700703195</v>
      </c>
      <c r="U633" s="1">
        <v>0.5252953562426832</v>
      </c>
      <c r="V633" s="2">
        <v>-4.3499473562137458</v>
      </c>
      <c r="W633" s="2">
        <v>-6.4511287811844786</v>
      </c>
      <c r="X633" s="22" t="s">
        <v>17</v>
      </c>
      <c r="Y633" s="23"/>
      <c r="Z633" s="24" t="s">
        <v>17</v>
      </c>
      <c r="AA633" s="24" t="s">
        <v>17</v>
      </c>
      <c r="AB633" s="1" t="s">
        <v>17</v>
      </c>
      <c r="AC633" s="2" t="s">
        <v>17</v>
      </c>
      <c r="AD633" s="2" t="s">
        <v>17</v>
      </c>
      <c r="AE633" s="22" t="s">
        <v>17</v>
      </c>
      <c r="AF633" s="23"/>
      <c r="AG633" s="24" t="s">
        <v>17</v>
      </c>
      <c r="AH633" s="24" t="s">
        <v>17</v>
      </c>
      <c r="AI633" s="1" t="s">
        <v>17</v>
      </c>
      <c r="AJ633" s="2" t="s">
        <v>17</v>
      </c>
      <c r="AK633" s="2" t="s">
        <v>17</v>
      </c>
      <c r="AL633" s="3"/>
      <c r="AM633" s="2"/>
      <c r="AN633" s="24" t="s">
        <v>17</v>
      </c>
      <c r="AO633" s="24" t="s">
        <v>17</v>
      </c>
      <c r="AP633" s="1" t="s">
        <v>17</v>
      </c>
      <c r="AQ633" s="2" t="s">
        <v>17</v>
      </c>
      <c r="AR633" s="2" t="s">
        <v>17</v>
      </c>
      <c r="AS633" s="3"/>
      <c r="AT633" s="2"/>
      <c r="AU633" s="4"/>
      <c r="AV633" s="2"/>
      <c r="AW633" s="20" t="s">
        <v>17</v>
      </c>
      <c r="AX633" s="20" t="s">
        <v>17</v>
      </c>
      <c r="AY633" s="20" t="s">
        <v>17</v>
      </c>
      <c r="AZ633" s="5"/>
      <c r="BA633" s="6"/>
      <c r="BB633" s="4"/>
      <c r="BC633" s="6"/>
      <c r="BD633" s="6"/>
      <c r="BE633" s="6"/>
      <c r="BF633" s="7"/>
    </row>
    <row r="634" spans="1:58" ht="18" customHeight="1">
      <c r="A634" s="107" t="s">
        <v>15</v>
      </c>
      <c r="B634" s="93" t="s">
        <v>607</v>
      </c>
      <c r="C634" s="42">
        <v>1548.5</v>
      </c>
      <c r="D634" s="42">
        <v>1548.58</v>
      </c>
      <c r="E634" s="42">
        <v>1548.54</v>
      </c>
      <c r="F634" s="42">
        <v>1548.54</v>
      </c>
      <c r="G634" s="43">
        <v>109228.29688538999</v>
      </c>
      <c r="H634" s="43">
        <v>106018.17485179999</v>
      </c>
      <c r="I634" s="27">
        <f t="shared" si="27"/>
        <v>1</v>
      </c>
      <c r="J634" s="27">
        <f t="shared" si="29"/>
        <v>1</v>
      </c>
      <c r="K634" s="27">
        <f t="shared" si="28"/>
        <v>1</v>
      </c>
      <c r="L634" s="25">
        <v>562.54115899999999</v>
      </c>
      <c r="M634" s="25">
        <v>566.42979246986613</v>
      </c>
      <c r="N634" s="38">
        <v>0.53503253571718368</v>
      </c>
      <c r="O634" s="38">
        <v>-4.3659392584867174</v>
      </c>
      <c r="P634" s="71">
        <v>-6.5060694013554521</v>
      </c>
      <c r="Q634" s="53">
        <v>42473</v>
      </c>
      <c r="R634" s="23">
        <v>10</v>
      </c>
      <c r="S634" s="24">
        <v>562.54115899999999</v>
      </c>
      <c r="T634" s="24">
        <v>566.42979246986613</v>
      </c>
      <c r="U634" s="1">
        <v>0.53503253571718368</v>
      </c>
      <c r="V634" s="2">
        <v>-4.3659392584867174</v>
      </c>
      <c r="W634" s="2">
        <v>-6.5060694013554521</v>
      </c>
      <c r="X634" s="22" t="s">
        <v>17</v>
      </c>
      <c r="Y634" s="23"/>
      <c r="Z634" s="24" t="s">
        <v>17</v>
      </c>
      <c r="AA634" s="24" t="s">
        <v>17</v>
      </c>
      <c r="AB634" s="1" t="s">
        <v>17</v>
      </c>
      <c r="AC634" s="2" t="s">
        <v>17</v>
      </c>
      <c r="AD634" s="2" t="s">
        <v>17</v>
      </c>
      <c r="AE634" s="22" t="s">
        <v>17</v>
      </c>
      <c r="AF634" s="23"/>
      <c r="AG634" s="24" t="s">
        <v>17</v>
      </c>
      <c r="AH634" s="24" t="s">
        <v>17</v>
      </c>
      <c r="AI634" s="1" t="s">
        <v>17</v>
      </c>
      <c r="AJ634" s="2" t="s">
        <v>17</v>
      </c>
      <c r="AK634" s="2" t="s">
        <v>17</v>
      </c>
      <c r="AL634" s="3"/>
      <c r="AM634" s="2"/>
      <c r="AN634" s="24" t="s">
        <v>17</v>
      </c>
      <c r="AO634" s="24" t="s">
        <v>17</v>
      </c>
      <c r="AP634" s="1" t="s">
        <v>17</v>
      </c>
      <c r="AQ634" s="2" t="s">
        <v>17</v>
      </c>
      <c r="AR634" s="2" t="s">
        <v>17</v>
      </c>
      <c r="AS634" s="3"/>
      <c r="AT634" s="2"/>
      <c r="AU634" s="4"/>
      <c r="AV634" s="2"/>
      <c r="AW634" s="20" t="s">
        <v>17</v>
      </c>
      <c r="AX634" s="20" t="s">
        <v>17</v>
      </c>
      <c r="AY634" s="20" t="s">
        <v>17</v>
      </c>
      <c r="AZ634" s="5"/>
      <c r="BA634" s="6"/>
      <c r="BB634" s="4"/>
      <c r="BC634" s="6"/>
      <c r="BD634" s="6"/>
      <c r="BE634" s="6"/>
      <c r="BF634" s="7"/>
    </row>
    <row r="635" spans="1:58" ht="18" customHeight="1">
      <c r="A635" s="107" t="s">
        <v>15</v>
      </c>
      <c r="B635" s="93" t="s">
        <v>608</v>
      </c>
      <c r="C635" s="42">
        <v>1553</v>
      </c>
      <c r="D635" s="42">
        <v>1553.12</v>
      </c>
      <c r="E635" s="42">
        <v>1553.06</v>
      </c>
      <c r="F635" s="42">
        <v>1553.06</v>
      </c>
      <c r="G635" s="43">
        <v>109696.887357081</v>
      </c>
      <c r="H635" s="43">
        <v>106559.44074966801</v>
      </c>
      <c r="I635" s="27">
        <f t="shared" si="27"/>
        <v>1</v>
      </c>
      <c r="J635" s="27">
        <f t="shared" si="29"/>
        <v>1</v>
      </c>
      <c r="K635" s="27">
        <f t="shared" si="28"/>
        <v>1</v>
      </c>
      <c r="L635" s="25">
        <v>581.68955900000003</v>
      </c>
      <c r="M635" s="25">
        <v>585.77588079408758</v>
      </c>
      <c r="N635" s="38">
        <v>0.54372434873317665</v>
      </c>
      <c r="O635" s="38">
        <v>-5.1466404886434391</v>
      </c>
      <c r="P635" s="71">
        <v>-7.3215378835761458</v>
      </c>
      <c r="Q635" s="53">
        <v>42531</v>
      </c>
      <c r="R635" s="23">
        <v>10</v>
      </c>
      <c r="S635" s="24">
        <v>581.68955900000003</v>
      </c>
      <c r="T635" s="24">
        <v>585.77588079408758</v>
      </c>
      <c r="U635" s="1">
        <v>0.54372434873317665</v>
      </c>
      <c r="V635" s="2">
        <v>-5.1466404886434391</v>
      </c>
      <c r="W635" s="2">
        <v>-7.3215378835761458</v>
      </c>
      <c r="X635" s="22" t="s">
        <v>17</v>
      </c>
      <c r="Y635" s="23"/>
      <c r="Z635" s="24" t="s">
        <v>17</v>
      </c>
      <c r="AA635" s="24" t="s">
        <v>17</v>
      </c>
      <c r="AB635" s="1" t="s">
        <v>17</v>
      </c>
      <c r="AC635" s="2" t="s">
        <v>17</v>
      </c>
      <c r="AD635" s="2" t="s">
        <v>17</v>
      </c>
      <c r="AE635" s="22" t="s">
        <v>17</v>
      </c>
      <c r="AF635" s="23"/>
      <c r="AG635" s="24" t="s">
        <v>17</v>
      </c>
      <c r="AH635" s="24" t="s">
        <v>17</v>
      </c>
      <c r="AI635" s="1" t="s">
        <v>17</v>
      </c>
      <c r="AJ635" s="2" t="s">
        <v>17</v>
      </c>
      <c r="AK635" s="2" t="s">
        <v>17</v>
      </c>
      <c r="AL635" s="3"/>
      <c r="AM635" s="2"/>
      <c r="AN635" s="24" t="s">
        <v>17</v>
      </c>
      <c r="AO635" s="24" t="s">
        <v>17</v>
      </c>
      <c r="AP635" s="1" t="s">
        <v>17</v>
      </c>
      <c r="AQ635" s="2" t="s">
        <v>17</v>
      </c>
      <c r="AR635" s="2" t="s">
        <v>17</v>
      </c>
      <c r="AS635" s="3"/>
      <c r="AT635" s="2"/>
      <c r="AU635" s="4"/>
      <c r="AV635" s="2"/>
      <c r="AW635" s="20" t="s">
        <v>17</v>
      </c>
      <c r="AX635" s="20" t="s">
        <v>17</v>
      </c>
      <c r="AY635" s="20" t="s">
        <v>17</v>
      </c>
      <c r="AZ635" s="5"/>
      <c r="BA635" s="6"/>
      <c r="BB635" s="4"/>
      <c r="BC635" s="6"/>
      <c r="BD635" s="6"/>
      <c r="BE635" s="6"/>
      <c r="BF635" s="7"/>
    </row>
    <row r="636" spans="1:58" ht="18" customHeight="1">
      <c r="A636" s="107" t="s">
        <v>15</v>
      </c>
      <c r="B636" s="93" t="s">
        <v>609</v>
      </c>
      <c r="C636" s="42">
        <v>1557.5</v>
      </c>
      <c r="D636" s="42">
        <v>1557.62</v>
      </c>
      <c r="E636" s="42">
        <v>1557.56</v>
      </c>
      <c r="F636" s="42">
        <v>1557.56</v>
      </c>
      <c r="G636" s="43">
        <v>110213.294641113</v>
      </c>
      <c r="H636" s="43">
        <v>107049.276156408</v>
      </c>
      <c r="I636" s="27">
        <f t="shared" si="27"/>
        <v>2</v>
      </c>
      <c r="J636" s="27">
        <f t="shared" si="29"/>
        <v>2</v>
      </c>
      <c r="K636" s="27">
        <f t="shared" si="28"/>
        <v>1</v>
      </c>
      <c r="L636" s="25">
        <v>615.93627125</v>
      </c>
      <c r="M636" s="25">
        <v>620.04087731642505</v>
      </c>
      <c r="N636" s="38">
        <v>0.51567734535540311</v>
      </c>
      <c r="O636" s="38">
        <v>-3.3566917526433038</v>
      </c>
      <c r="P636" s="71">
        <v>-5.3554701713172115</v>
      </c>
      <c r="Q636" s="53">
        <v>42402</v>
      </c>
      <c r="R636" s="23">
        <v>5</v>
      </c>
      <c r="S636" s="24">
        <v>620.29013800000007</v>
      </c>
      <c r="T636" s="24">
        <v>624.55094092517254</v>
      </c>
      <c r="U636" s="1">
        <v>0.53166008604232928</v>
      </c>
      <c r="V636" s="2"/>
      <c r="W636" s="2"/>
      <c r="X636" s="22">
        <v>42402</v>
      </c>
      <c r="Y636" s="23">
        <v>8</v>
      </c>
      <c r="Z636" s="24">
        <v>611.58240449999994</v>
      </c>
      <c r="AA636" s="24">
        <v>615.53081370767757</v>
      </c>
      <c r="AB636" s="1">
        <v>0.49969460466847693</v>
      </c>
      <c r="AC636" s="2">
        <v>-3.3566917526433038</v>
      </c>
      <c r="AD636" s="2">
        <v>-5.3554701713172115</v>
      </c>
      <c r="AE636" s="22" t="s">
        <v>17</v>
      </c>
      <c r="AF636" s="23"/>
      <c r="AG636" s="24" t="s">
        <v>17</v>
      </c>
      <c r="AH636" s="24" t="s">
        <v>17</v>
      </c>
      <c r="AI636" s="1" t="s">
        <v>17</v>
      </c>
      <c r="AJ636" s="2" t="s">
        <v>17</v>
      </c>
      <c r="AK636" s="2" t="s">
        <v>17</v>
      </c>
      <c r="AL636" s="3"/>
      <c r="AM636" s="2"/>
      <c r="AN636" s="24" t="s">
        <v>17</v>
      </c>
      <c r="AO636" s="24" t="s">
        <v>17</v>
      </c>
      <c r="AP636" s="1" t="s">
        <v>17</v>
      </c>
      <c r="AQ636" s="2" t="s">
        <v>17</v>
      </c>
      <c r="AR636" s="2" t="s">
        <v>17</v>
      </c>
      <c r="AS636" s="3"/>
      <c r="AT636" s="2"/>
      <c r="AU636" s="4"/>
      <c r="AV636" s="2"/>
      <c r="AW636" s="20" t="s">
        <v>17</v>
      </c>
      <c r="AX636" s="20" t="s">
        <v>17</v>
      </c>
      <c r="AY636" s="20" t="s">
        <v>17</v>
      </c>
      <c r="AZ636" s="5"/>
      <c r="BA636" s="6"/>
      <c r="BB636" s="4"/>
      <c r="BC636" s="6"/>
      <c r="BD636" s="6"/>
      <c r="BE636" s="6"/>
      <c r="BF636" s="7"/>
    </row>
    <row r="637" spans="1:58" ht="18" customHeight="1">
      <c r="A637" s="107" t="s">
        <v>15</v>
      </c>
      <c r="B637" s="93" t="s">
        <v>610</v>
      </c>
      <c r="C637" s="42">
        <v>1562</v>
      </c>
      <c r="D637" s="42">
        <v>1562.12</v>
      </c>
      <c r="E637" s="42">
        <v>1562.06</v>
      </c>
      <c r="F637" s="42">
        <v>1562.06</v>
      </c>
      <c r="G637" s="43">
        <v>110731.094427912</v>
      </c>
      <c r="H637" s="43">
        <v>107482.71061453799</v>
      </c>
      <c r="I637" s="27">
        <f t="shared" si="27"/>
        <v>2</v>
      </c>
      <c r="J637" s="27">
        <f t="shared" si="29"/>
        <v>2</v>
      </c>
      <c r="K637" s="27">
        <f t="shared" si="28"/>
        <v>2</v>
      </c>
      <c r="L637" s="25">
        <v>557.51957375000006</v>
      </c>
      <c r="M637" s="25">
        <v>561.24033006156264</v>
      </c>
      <c r="N637" s="38">
        <v>0.51654670067458053</v>
      </c>
      <c r="O637" s="38">
        <v>-7.6980316016617145</v>
      </c>
      <c r="P637" s="71">
        <v>-9.7642184043600366</v>
      </c>
      <c r="Q637" s="53">
        <v>42523</v>
      </c>
      <c r="R637" s="23">
        <v>10</v>
      </c>
      <c r="S637" s="24">
        <v>556.55710550000003</v>
      </c>
      <c r="T637" s="24">
        <v>560.2763910044273</v>
      </c>
      <c r="U637" s="1">
        <v>0.51723424646765714</v>
      </c>
      <c r="V637" s="2">
        <v>-7.7550882485949435</v>
      </c>
      <c r="W637" s="2">
        <v>-9.824025234465573</v>
      </c>
      <c r="X637" s="22">
        <v>42523</v>
      </c>
      <c r="Y637" s="23">
        <v>10</v>
      </c>
      <c r="Z637" s="24">
        <v>558.48204200000009</v>
      </c>
      <c r="AA637" s="24">
        <v>562.20426911869788</v>
      </c>
      <c r="AB637" s="1">
        <v>0.51585915488150391</v>
      </c>
      <c r="AC637" s="2">
        <v>-7.6409749547284855</v>
      </c>
      <c r="AD637" s="2">
        <v>-9.7044115742545003</v>
      </c>
      <c r="AE637" s="22" t="s">
        <v>17</v>
      </c>
      <c r="AF637" s="23"/>
      <c r="AG637" s="24" t="s">
        <v>17</v>
      </c>
      <c r="AH637" s="24" t="s">
        <v>17</v>
      </c>
      <c r="AI637" s="1" t="s">
        <v>17</v>
      </c>
      <c r="AJ637" s="2" t="s">
        <v>17</v>
      </c>
      <c r="AK637" s="2" t="s">
        <v>17</v>
      </c>
      <c r="AL637" s="3"/>
      <c r="AM637" s="2"/>
      <c r="AN637" s="24" t="s">
        <v>17</v>
      </c>
      <c r="AO637" s="24" t="s">
        <v>17</v>
      </c>
      <c r="AP637" s="1" t="s">
        <v>17</v>
      </c>
      <c r="AQ637" s="2" t="s">
        <v>17</v>
      </c>
      <c r="AR637" s="2" t="s">
        <v>17</v>
      </c>
      <c r="AS637" s="3"/>
      <c r="AT637" s="2"/>
      <c r="AU637" s="4"/>
      <c r="AV637" s="2"/>
      <c r="AW637" s="20" t="s">
        <v>17</v>
      </c>
      <c r="AX637" s="20" t="s">
        <v>17</v>
      </c>
      <c r="AY637" s="20" t="s">
        <v>17</v>
      </c>
      <c r="AZ637" s="5"/>
      <c r="BA637" s="6"/>
      <c r="BB637" s="4"/>
      <c r="BC637" s="6"/>
      <c r="BD637" s="6"/>
      <c r="BE637" s="6"/>
      <c r="BF637" s="7"/>
    </row>
    <row r="638" spans="1:58" ht="18" customHeight="1">
      <c r="A638" s="107" t="s">
        <v>15</v>
      </c>
      <c r="B638" s="93" t="s">
        <v>611</v>
      </c>
      <c r="C638" s="42">
        <v>1566</v>
      </c>
      <c r="D638" s="42">
        <v>1566.08</v>
      </c>
      <c r="E638" s="42">
        <v>1566.04</v>
      </c>
      <c r="F638" s="42">
        <v>1566.04</v>
      </c>
      <c r="G638" s="43">
        <v>111233.735551238</v>
      </c>
      <c r="H638" s="43">
        <v>107929.19312454401</v>
      </c>
      <c r="I638" s="27">
        <f t="shared" si="27"/>
        <v>1</v>
      </c>
      <c r="J638" s="27">
        <f t="shared" si="29"/>
        <v>1</v>
      </c>
      <c r="K638" s="27">
        <f t="shared" si="28"/>
        <v>1</v>
      </c>
      <c r="L638" s="25">
        <v>620.39342549999992</v>
      </c>
      <c r="M638" s="25">
        <v>624.53280302206326</v>
      </c>
      <c r="N638" s="38">
        <v>0.51642271493679281</v>
      </c>
      <c r="O638" s="38">
        <v>-7.2828857240254674</v>
      </c>
      <c r="P638" s="71">
        <v>-9.3485765837726387</v>
      </c>
      <c r="Q638" s="53">
        <v>42473</v>
      </c>
      <c r="R638" s="23">
        <v>10</v>
      </c>
      <c r="S638" s="24">
        <v>620.39342549999992</v>
      </c>
      <c r="T638" s="24">
        <v>624.53280302206326</v>
      </c>
      <c r="U638" s="1">
        <v>0.51642271493679281</v>
      </c>
      <c r="V638" s="2">
        <v>-7.2828857240254674</v>
      </c>
      <c r="W638" s="2">
        <v>-9.3485765837726387</v>
      </c>
      <c r="X638" s="22" t="s">
        <v>17</v>
      </c>
      <c r="Y638" s="23"/>
      <c r="Z638" s="24" t="s">
        <v>17</v>
      </c>
      <c r="AA638" s="24" t="s">
        <v>17</v>
      </c>
      <c r="AB638" s="1" t="s">
        <v>17</v>
      </c>
      <c r="AC638" s="2" t="s">
        <v>17</v>
      </c>
      <c r="AD638" s="2" t="s">
        <v>17</v>
      </c>
      <c r="AE638" s="22" t="s">
        <v>17</v>
      </c>
      <c r="AF638" s="23"/>
      <c r="AG638" s="24" t="s">
        <v>17</v>
      </c>
      <c r="AH638" s="24" t="s">
        <v>17</v>
      </c>
      <c r="AI638" s="1" t="s">
        <v>17</v>
      </c>
      <c r="AJ638" s="2" t="s">
        <v>17</v>
      </c>
      <c r="AK638" s="2" t="s">
        <v>17</v>
      </c>
      <c r="AL638" s="3"/>
      <c r="AM638" s="2"/>
      <c r="AN638" s="24" t="s">
        <v>17</v>
      </c>
      <c r="AO638" s="24" t="s">
        <v>17</v>
      </c>
      <c r="AP638" s="1" t="s">
        <v>17</v>
      </c>
      <c r="AQ638" s="2" t="s">
        <v>17</v>
      </c>
      <c r="AR638" s="2" t="s">
        <v>17</v>
      </c>
      <c r="AS638" s="3"/>
      <c r="AT638" s="2"/>
      <c r="AU638" s="4"/>
      <c r="AV638" s="2"/>
      <c r="AW638" s="20" t="s">
        <v>17</v>
      </c>
      <c r="AX638" s="20" t="s">
        <v>17</v>
      </c>
      <c r="AY638" s="20" t="s">
        <v>17</v>
      </c>
      <c r="AZ638" s="5"/>
      <c r="BA638" s="6"/>
      <c r="BB638" s="4"/>
      <c r="BC638" s="6"/>
      <c r="BD638" s="6"/>
      <c r="BE638" s="6"/>
      <c r="BF638" s="7"/>
    </row>
    <row r="639" spans="1:58" ht="18" customHeight="1">
      <c r="A639" s="107" t="s">
        <v>15</v>
      </c>
      <c r="B639" s="93" t="s">
        <v>612</v>
      </c>
      <c r="C639" s="42">
        <v>1568.5</v>
      </c>
      <c r="D639" s="42">
        <v>1568.62</v>
      </c>
      <c r="E639" s="42">
        <v>1568.56</v>
      </c>
      <c r="F639" s="42">
        <v>1568.56</v>
      </c>
      <c r="G639" s="43">
        <v>111562.41214682</v>
      </c>
      <c r="H639" s="43">
        <v>108197.95559347099</v>
      </c>
      <c r="I639" s="27">
        <f t="shared" si="27"/>
        <v>1</v>
      </c>
      <c r="J639" s="27">
        <f t="shared" si="29"/>
        <v>0</v>
      </c>
      <c r="K639" s="27">
        <f t="shared" si="28"/>
        <v>0</v>
      </c>
      <c r="L639" s="25">
        <v>616.98033200000009</v>
      </c>
      <c r="M639" s="25">
        <v>621.09693674283358</v>
      </c>
      <c r="N639" s="38"/>
      <c r="O639" s="38"/>
      <c r="P639" s="71"/>
      <c r="Q639" s="53">
        <v>42579</v>
      </c>
      <c r="R639" s="23">
        <v>10</v>
      </c>
      <c r="S639" s="24">
        <v>616.98033200000009</v>
      </c>
      <c r="T639" s="24">
        <v>621.09693674283358</v>
      </c>
      <c r="U639" s="1"/>
      <c r="V639" s="2"/>
      <c r="W639" s="2"/>
      <c r="X639" s="22" t="s">
        <v>17</v>
      </c>
      <c r="Y639" s="23"/>
      <c r="Z639" s="24" t="s">
        <v>17</v>
      </c>
      <c r="AA639" s="24" t="s">
        <v>17</v>
      </c>
      <c r="AB639" s="1" t="s">
        <v>17</v>
      </c>
      <c r="AC639" s="2" t="s">
        <v>17</v>
      </c>
      <c r="AD639" s="2" t="s">
        <v>17</v>
      </c>
      <c r="AE639" s="22" t="s">
        <v>17</v>
      </c>
      <c r="AF639" s="23"/>
      <c r="AG639" s="24" t="s">
        <v>17</v>
      </c>
      <c r="AH639" s="24" t="s">
        <v>17</v>
      </c>
      <c r="AI639" s="1" t="s">
        <v>17</v>
      </c>
      <c r="AJ639" s="2" t="s">
        <v>17</v>
      </c>
      <c r="AK639" s="2" t="s">
        <v>17</v>
      </c>
      <c r="AL639" s="3"/>
      <c r="AM639" s="2"/>
      <c r="AN639" s="24" t="s">
        <v>17</v>
      </c>
      <c r="AO639" s="24" t="s">
        <v>17</v>
      </c>
      <c r="AP639" s="1" t="s">
        <v>17</v>
      </c>
      <c r="AQ639" s="2" t="s">
        <v>17</v>
      </c>
      <c r="AR639" s="2" t="s">
        <v>17</v>
      </c>
      <c r="AS639" s="3"/>
      <c r="AT639" s="2"/>
      <c r="AU639" s="4"/>
      <c r="AV639" s="2"/>
      <c r="AW639" s="20" t="s">
        <v>17</v>
      </c>
      <c r="AX639" s="20" t="s">
        <v>17</v>
      </c>
      <c r="AY639" s="20" t="s">
        <v>17</v>
      </c>
      <c r="AZ639" s="5"/>
      <c r="BA639" s="6"/>
      <c r="BB639" s="4"/>
      <c r="BC639" s="6"/>
      <c r="BD639" s="6"/>
      <c r="BE639" s="6"/>
      <c r="BF639" s="7"/>
    </row>
    <row r="640" spans="1:58" ht="18" customHeight="1">
      <c r="A640" s="107" t="s">
        <v>15</v>
      </c>
      <c r="B640" s="93" t="s">
        <v>613</v>
      </c>
      <c r="C640" s="42">
        <v>1572.5</v>
      </c>
      <c r="D640" s="42">
        <v>1572.62</v>
      </c>
      <c r="E640" s="42">
        <v>1572.56</v>
      </c>
      <c r="F640" s="42">
        <v>1572.56</v>
      </c>
      <c r="G640" s="43">
        <v>112075.728672978</v>
      </c>
      <c r="H640" s="43">
        <v>108613.06259041101</v>
      </c>
      <c r="I640" s="27">
        <f t="shared" si="27"/>
        <v>2</v>
      </c>
      <c r="J640" s="27">
        <f t="shared" si="29"/>
        <v>2</v>
      </c>
      <c r="K640" s="27">
        <f t="shared" si="28"/>
        <v>2</v>
      </c>
      <c r="L640" s="25">
        <v>625.40624875000003</v>
      </c>
      <c r="M640" s="25">
        <v>629.81210314601685</v>
      </c>
      <c r="N640" s="38">
        <v>0.54526676224675441</v>
      </c>
      <c r="O640" s="38">
        <v>-6.947641348444888</v>
      </c>
      <c r="P640" s="71">
        <v>-9.1287083974319057</v>
      </c>
      <c r="Q640" s="53">
        <v>42409</v>
      </c>
      <c r="R640" s="23">
        <v>8</v>
      </c>
      <c r="S640" s="24">
        <v>626.00505249999992</v>
      </c>
      <c r="T640" s="24">
        <v>630.37682706843452</v>
      </c>
      <c r="U640" s="1">
        <v>0.54052701853501972</v>
      </c>
      <c r="V640" s="2">
        <v>-6.7860253522084024</v>
      </c>
      <c r="W640" s="2">
        <v>-8.9481334263484804</v>
      </c>
      <c r="X640" s="22">
        <v>42409</v>
      </c>
      <c r="Y640" s="23">
        <v>11</v>
      </c>
      <c r="Z640" s="24">
        <v>624.80744500000003</v>
      </c>
      <c r="AA640" s="24">
        <v>629.24737922359918</v>
      </c>
      <c r="AB640" s="1">
        <v>0.5500065059584891</v>
      </c>
      <c r="AC640" s="2">
        <v>-7.1092573446813745</v>
      </c>
      <c r="AD640" s="2">
        <v>-9.3092833685153309</v>
      </c>
      <c r="AE640" s="22" t="s">
        <v>17</v>
      </c>
      <c r="AF640" s="23"/>
      <c r="AG640" s="24" t="s">
        <v>17</v>
      </c>
      <c r="AH640" s="24" t="s">
        <v>17</v>
      </c>
      <c r="AI640" s="1" t="s">
        <v>17</v>
      </c>
      <c r="AJ640" s="2" t="s">
        <v>17</v>
      </c>
      <c r="AK640" s="2" t="s">
        <v>17</v>
      </c>
      <c r="AL640" s="3"/>
      <c r="AM640" s="2"/>
      <c r="AN640" s="24" t="s">
        <v>17</v>
      </c>
      <c r="AO640" s="24" t="s">
        <v>17</v>
      </c>
      <c r="AP640" s="1" t="s">
        <v>17</v>
      </c>
      <c r="AQ640" s="2" t="s">
        <v>17</v>
      </c>
      <c r="AR640" s="2" t="s">
        <v>17</v>
      </c>
      <c r="AS640" s="3"/>
      <c r="AT640" s="2"/>
      <c r="AU640" s="4"/>
      <c r="AV640" s="2"/>
      <c r="AW640" s="20" t="s">
        <v>17</v>
      </c>
      <c r="AX640" s="20" t="s">
        <v>17</v>
      </c>
      <c r="AY640" s="20" t="s">
        <v>17</v>
      </c>
      <c r="AZ640" s="5"/>
      <c r="BA640" s="6"/>
      <c r="BB640" s="4"/>
      <c r="BC640" s="6"/>
      <c r="BD640" s="6"/>
      <c r="BE640" s="6"/>
      <c r="BF640" s="7"/>
    </row>
    <row r="641" spans="1:58" ht="18" customHeight="1">
      <c r="A641" s="107" t="s">
        <v>15</v>
      </c>
      <c r="B641" s="93" t="s">
        <v>614</v>
      </c>
      <c r="C641" s="42">
        <v>1576</v>
      </c>
      <c r="D641" s="42">
        <v>1576.12</v>
      </c>
      <c r="E641" s="42">
        <v>1576.06</v>
      </c>
      <c r="F641" s="42">
        <v>1576.06</v>
      </c>
      <c r="G641" s="43">
        <v>112502.060273258</v>
      </c>
      <c r="H641" s="43">
        <v>108941.080179404</v>
      </c>
      <c r="I641" s="27">
        <f t="shared" si="27"/>
        <v>1</v>
      </c>
      <c r="J641" s="27">
        <f t="shared" si="29"/>
        <v>1</v>
      </c>
      <c r="K641" s="27">
        <f t="shared" si="28"/>
        <v>1</v>
      </c>
      <c r="L641" s="25">
        <v>607.81486999999993</v>
      </c>
      <c r="M641" s="25">
        <v>612.00917000355048</v>
      </c>
      <c r="N641" s="38">
        <v>0.53410378588636398</v>
      </c>
      <c r="O641" s="38">
        <v>-6.0018817050484508</v>
      </c>
      <c r="P641" s="71">
        <v>-8.1382968485939067</v>
      </c>
      <c r="Q641" s="53">
        <v>42572</v>
      </c>
      <c r="R641" s="23">
        <v>10</v>
      </c>
      <c r="S641" s="24">
        <v>607.81486999999993</v>
      </c>
      <c r="T641" s="24">
        <v>612.00917000355048</v>
      </c>
      <c r="U641" s="1">
        <v>0.53410378588636398</v>
      </c>
      <c r="V641" s="2">
        <v>-6.0018817050484508</v>
      </c>
      <c r="W641" s="2">
        <v>-8.1382968485939067</v>
      </c>
      <c r="X641" s="22" t="s">
        <v>17</v>
      </c>
      <c r="Y641" s="23"/>
      <c r="Z641" s="24" t="s">
        <v>17</v>
      </c>
      <c r="AA641" s="24" t="s">
        <v>17</v>
      </c>
      <c r="AB641" s="1" t="s">
        <v>17</v>
      </c>
      <c r="AC641" s="2" t="s">
        <v>17</v>
      </c>
      <c r="AD641" s="2" t="s">
        <v>17</v>
      </c>
      <c r="AE641" s="22" t="s">
        <v>17</v>
      </c>
      <c r="AF641" s="23"/>
      <c r="AG641" s="24" t="s">
        <v>17</v>
      </c>
      <c r="AH641" s="24" t="s">
        <v>17</v>
      </c>
      <c r="AI641" s="1" t="s">
        <v>17</v>
      </c>
      <c r="AJ641" s="2" t="s">
        <v>17</v>
      </c>
      <c r="AK641" s="2" t="s">
        <v>17</v>
      </c>
      <c r="AL641" s="22" t="s">
        <v>17</v>
      </c>
      <c r="AM641" s="4" t="s">
        <v>17</v>
      </c>
      <c r="AN641" s="24" t="s">
        <v>17</v>
      </c>
      <c r="AO641" s="24" t="s">
        <v>17</v>
      </c>
      <c r="AP641" s="1" t="s">
        <v>17</v>
      </c>
      <c r="AQ641" s="2" t="s">
        <v>17</v>
      </c>
      <c r="AR641" s="2" t="s">
        <v>17</v>
      </c>
      <c r="AS641" s="3"/>
      <c r="AT641" s="2"/>
      <c r="AU641" s="4"/>
      <c r="AV641" s="2"/>
      <c r="AW641" s="20" t="s">
        <v>17</v>
      </c>
      <c r="AX641" s="20" t="s">
        <v>17</v>
      </c>
      <c r="AY641" s="20" t="s">
        <v>17</v>
      </c>
      <c r="AZ641" s="5"/>
      <c r="BA641" s="6"/>
      <c r="BB641" s="4"/>
      <c r="BC641" s="6"/>
      <c r="BD641" s="6"/>
      <c r="BE641" s="6"/>
      <c r="BF641" s="7"/>
    </row>
    <row r="642" spans="1:58" ht="18" customHeight="1">
      <c r="A642" s="107" t="s">
        <v>15</v>
      </c>
      <c r="B642" s="93" t="s">
        <v>615</v>
      </c>
      <c r="C642" s="42">
        <v>1579.5</v>
      </c>
      <c r="D642" s="42">
        <v>1579.62</v>
      </c>
      <c r="E642" s="42">
        <v>1579.56</v>
      </c>
      <c r="F642" s="42">
        <v>1579.56</v>
      </c>
      <c r="G642" s="43">
        <v>112906.429071167</v>
      </c>
      <c r="H642" s="43">
        <v>109296.35995393799</v>
      </c>
      <c r="I642" s="27">
        <f t="shared" si="27"/>
        <v>2</v>
      </c>
      <c r="J642" s="27">
        <f t="shared" si="29"/>
        <v>2</v>
      </c>
      <c r="K642" s="27">
        <f t="shared" si="28"/>
        <v>2</v>
      </c>
      <c r="L642" s="25">
        <v>477.30525550000004</v>
      </c>
      <c r="M642" s="25">
        <v>473.1476248674586</v>
      </c>
      <c r="N642" s="38">
        <v>0.52905336043762574</v>
      </c>
      <c r="O642" s="38">
        <v>-8.1209661889566362</v>
      </c>
      <c r="P642" s="71">
        <v>-10.237179630707139</v>
      </c>
      <c r="Q642" s="53">
        <v>42460</v>
      </c>
      <c r="R642" s="23">
        <v>9</v>
      </c>
      <c r="S642" s="24">
        <v>478.44550300000003</v>
      </c>
      <c r="T642" s="24">
        <v>474.37326886736832</v>
      </c>
      <c r="U642" s="1">
        <v>0.54183466248725054</v>
      </c>
      <c r="V642" s="2">
        <v>-8.1508975599089428</v>
      </c>
      <c r="W642" s="2">
        <v>-10.318236209857945</v>
      </c>
      <c r="X642" s="22">
        <v>42461</v>
      </c>
      <c r="Y642" s="23">
        <v>9</v>
      </c>
      <c r="Z642" s="24">
        <v>476.165008</v>
      </c>
      <c r="AA642" s="24">
        <v>471.92198086754894</v>
      </c>
      <c r="AB642" s="1">
        <v>0.51627205838800094</v>
      </c>
      <c r="AC642" s="2">
        <v>-8.0910348180043279</v>
      </c>
      <c r="AD642" s="2">
        <v>-10.156123051556332</v>
      </c>
      <c r="AE642" s="22" t="s">
        <v>17</v>
      </c>
      <c r="AF642" s="23"/>
      <c r="AG642" s="24" t="s">
        <v>17</v>
      </c>
      <c r="AH642" s="24" t="s">
        <v>17</v>
      </c>
      <c r="AI642" s="1" t="s">
        <v>17</v>
      </c>
      <c r="AJ642" s="2" t="s">
        <v>17</v>
      </c>
      <c r="AK642" s="2" t="s">
        <v>17</v>
      </c>
      <c r="AL642" s="22" t="s">
        <v>17</v>
      </c>
      <c r="AM642" s="4" t="s">
        <v>17</v>
      </c>
      <c r="AN642" s="24" t="s">
        <v>17</v>
      </c>
      <c r="AO642" s="24" t="s">
        <v>17</v>
      </c>
      <c r="AP642" s="1" t="s">
        <v>17</v>
      </c>
      <c r="AQ642" s="2" t="s">
        <v>17</v>
      </c>
      <c r="AR642" s="2" t="s">
        <v>17</v>
      </c>
      <c r="AS642" s="3"/>
      <c r="AT642" s="2"/>
      <c r="AU642" s="4"/>
      <c r="AV642" s="2"/>
      <c r="AW642" s="20" t="s">
        <v>17</v>
      </c>
      <c r="AX642" s="20" t="s">
        <v>17</v>
      </c>
      <c r="AY642" s="20" t="s">
        <v>17</v>
      </c>
      <c r="AZ642" s="5"/>
      <c r="BA642" s="6"/>
      <c r="BB642" s="4"/>
      <c r="BC642" s="6"/>
      <c r="BD642" s="6"/>
      <c r="BE642" s="6"/>
      <c r="BF642" s="7"/>
    </row>
    <row r="643" spans="1:58" ht="18" customHeight="1">
      <c r="A643" s="107" t="s">
        <v>15</v>
      </c>
      <c r="B643" s="93" t="s">
        <v>616</v>
      </c>
      <c r="C643" s="42">
        <v>1583</v>
      </c>
      <c r="D643" s="42">
        <v>1583.12</v>
      </c>
      <c r="E643" s="42">
        <v>1583.06</v>
      </c>
      <c r="F643" s="42">
        <v>1583.06</v>
      </c>
      <c r="G643" s="43">
        <v>113339.24065884099</v>
      </c>
      <c r="H643" s="43">
        <v>109699.509112489</v>
      </c>
      <c r="I643" s="27">
        <f t="shared" si="27"/>
        <v>1</v>
      </c>
      <c r="J643" s="27">
        <f t="shared" si="29"/>
        <v>1</v>
      </c>
      <c r="K643" s="27">
        <f t="shared" si="28"/>
        <v>1</v>
      </c>
      <c r="L643" s="25">
        <v>461.99641299999996</v>
      </c>
      <c r="M643" s="25">
        <v>465.19837858866424</v>
      </c>
      <c r="N643" s="38">
        <v>0.53643306949524572</v>
      </c>
      <c r="O643" s="38">
        <v>-6.8169371680802948</v>
      </c>
      <c r="P643" s="71">
        <v>-8.9626694460612768</v>
      </c>
      <c r="Q643" s="53">
        <v>42572</v>
      </c>
      <c r="R643" s="23">
        <v>10</v>
      </c>
      <c r="S643" s="24">
        <v>461.99641299999996</v>
      </c>
      <c r="T643" s="24">
        <v>465.19837858866424</v>
      </c>
      <c r="U643" s="1">
        <v>0.53643306949524572</v>
      </c>
      <c r="V643" s="2">
        <v>-6.8169371680802948</v>
      </c>
      <c r="W643" s="2">
        <v>-8.9626694460612768</v>
      </c>
      <c r="X643" s="22" t="s">
        <v>17</v>
      </c>
      <c r="Y643" s="23"/>
      <c r="Z643" s="24" t="s">
        <v>17</v>
      </c>
      <c r="AA643" s="24" t="s">
        <v>17</v>
      </c>
      <c r="AB643" s="1" t="s">
        <v>17</v>
      </c>
      <c r="AC643" s="2" t="s">
        <v>17</v>
      </c>
      <c r="AD643" s="2" t="s">
        <v>17</v>
      </c>
      <c r="AE643" s="22" t="s">
        <v>17</v>
      </c>
      <c r="AF643" s="23"/>
      <c r="AG643" s="24" t="s">
        <v>17</v>
      </c>
      <c r="AH643" s="24" t="s">
        <v>17</v>
      </c>
      <c r="AI643" s="1" t="s">
        <v>17</v>
      </c>
      <c r="AJ643" s="2" t="s">
        <v>17</v>
      </c>
      <c r="AK643" s="2" t="s">
        <v>17</v>
      </c>
      <c r="AL643" s="22" t="s">
        <v>17</v>
      </c>
      <c r="AM643" s="4" t="s">
        <v>17</v>
      </c>
      <c r="AN643" s="24" t="s">
        <v>17</v>
      </c>
      <c r="AO643" s="24" t="s">
        <v>17</v>
      </c>
      <c r="AP643" s="1" t="s">
        <v>17</v>
      </c>
      <c r="AQ643" s="2" t="s">
        <v>17</v>
      </c>
      <c r="AR643" s="2" t="s">
        <v>17</v>
      </c>
      <c r="AS643" s="3"/>
      <c r="AT643" s="2"/>
      <c r="AU643" s="4"/>
      <c r="AV643" s="2"/>
      <c r="AW643" s="20" t="s">
        <v>17</v>
      </c>
      <c r="AX643" s="20" t="s">
        <v>17</v>
      </c>
      <c r="AY643" s="20" t="s">
        <v>17</v>
      </c>
      <c r="AZ643" s="5"/>
      <c r="BA643" s="6"/>
      <c r="BB643" s="4"/>
      <c r="BC643" s="6"/>
      <c r="BD643" s="6"/>
      <c r="BE643" s="6"/>
      <c r="BF643" s="7"/>
    </row>
    <row r="644" spans="1:58" ht="18" customHeight="1">
      <c r="A644" s="107" t="s">
        <v>15</v>
      </c>
      <c r="B644" s="93" t="s">
        <v>617</v>
      </c>
      <c r="C644" s="42">
        <v>1587</v>
      </c>
      <c r="D644" s="42">
        <v>1587.12</v>
      </c>
      <c r="E644" s="42">
        <v>1587.06</v>
      </c>
      <c r="F644" s="42">
        <v>1587.06</v>
      </c>
      <c r="G644" s="43">
        <v>113812.66768101</v>
      </c>
      <c r="H644" s="43">
        <v>110187.43282356999</v>
      </c>
      <c r="I644" s="27">
        <f t="shared" si="27"/>
        <v>3</v>
      </c>
      <c r="J644" s="27">
        <f t="shared" si="29"/>
        <v>3</v>
      </c>
      <c r="K644" s="27">
        <f t="shared" si="28"/>
        <v>2</v>
      </c>
      <c r="L644" s="25">
        <v>469.96836316666668</v>
      </c>
      <c r="M644" s="25">
        <v>468.24435403065377</v>
      </c>
      <c r="N644" s="38">
        <v>0.53081361813071359</v>
      </c>
      <c r="O644" s="38">
        <v>-6.5343398921831053</v>
      </c>
      <c r="P644" s="71">
        <v>-8.6664474899666999</v>
      </c>
      <c r="Q644" s="53">
        <v>42472</v>
      </c>
      <c r="R644" s="23">
        <v>10</v>
      </c>
      <c r="S644" s="24">
        <v>468.85954349999997</v>
      </c>
      <c r="T644" s="24">
        <v>464.67625677994562</v>
      </c>
      <c r="U644" s="1">
        <v>0.53446418915603644</v>
      </c>
      <c r="V644" s="2">
        <v>-6.4721678785102377</v>
      </c>
      <c r="W644" s="2">
        <v>-8.6100246351343834</v>
      </c>
      <c r="X644" s="22">
        <v>42472</v>
      </c>
      <c r="Y644" s="23">
        <v>10</v>
      </c>
      <c r="Z644" s="24">
        <v>474.60166049999998</v>
      </c>
      <c r="AA644" s="24">
        <v>470.44067190911306</v>
      </c>
      <c r="AB644" s="1">
        <v>0.53158960973576086</v>
      </c>
      <c r="AC644" s="2">
        <v>-6.5965119058559729</v>
      </c>
      <c r="AD644" s="2">
        <v>-8.7228703447990164</v>
      </c>
      <c r="AE644" s="22">
        <v>44061</v>
      </c>
      <c r="AF644" s="23" t="s">
        <v>88</v>
      </c>
      <c r="AG644" s="24">
        <v>466.44388549999996</v>
      </c>
      <c r="AH644" s="24">
        <v>469.61613340290268</v>
      </c>
      <c r="AI644" s="1">
        <v>0.52638705550034359</v>
      </c>
      <c r="AJ644" s="2"/>
      <c r="AK644" s="2"/>
      <c r="AL644" s="22" t="s">
        <v>17</v>
      </c>
      <c r="AM644" s="4" t="s">
        <v>17</v>
      </c>
      <c r="AN644" s="24" t="s">
        <v>17</v>
      </c>
      <c r="AO644" s="24" t="s">
        <v>17</v>
      </c>
      <c r="AP644" s="1" t="s">
        <v>17</v>
      </c>
      <c r="AQ644" s="2" t="s">
        <v>17</v>
      </c>
      <c r="AR644" s="2" t="s">
        <v>17</v>
      </c>
      <c r="AS644" s="3"/>
      <c r="AT644" s="2"/>
      <c r="AU644" s="4"/>
      <c r="AV644" s="2"/>
      <c r="AW644" s="20" t="s">
        <v>17</v>
      </c>
      <c r="AX644" s="20" t="s">
        <v>17</v>
      </c>
      <c r="AY644" s="20" t="s">
        <v>17</v>
      </c>
      <c r="AZ644" s="5"/>
      <c r="BA644" s="6"/>
      <c r="BB644" s="4"/>
      <c r="BC644" s="6"/>
      <c r="BD644" s="6"/>
      <c r="BE644" s="6"/>
      <c r="BF644" s="7"/>
    </row>
    <row r="645" spans="1:58" ht="18" customHeight="1">
      <c r="A645" s="107" t="s">
        <v>15</v>
      </c>
      <c r="B645" s="93" t="s">
        <v>618</v>
      </c>
      <c r="C645" s="42">
        <v>1591.5</v>
      </c>
      <c r="D645" s="42">
        <v>1591.62</v>
      </c>
      <c r="E645" s="42">
        <v>1591.56</v>
      </c>
      <c r="F645" s="42">
        <v>1591.56</v>
      </c>
      <c r="G645" s="43">
        <v>114301.370203916</v>
      </c>
      <c r="H645" s="43">
        <v>110759.05434423299</v>
      </c>
      <c r="I645" s="27">
        <f t="shared" si="27"/>
        <v>1</v>
      </c>
      <c r="J645" s="27">
        <f t="shared" si="29"/>
        <v>2</v>
      </c>
      <c r="K645" s="27">
        <f t="shared" si="28"/>
        <v>1</v>
      </c>
      <c r="L645" s="25">
        <v>481.84803699999998</v>
      </c>
      <c r="M645" s="25">
        <v>485.02108161680417</v>
      </c>
      <c r="N645" s="38">
        <v>0.51469507144619175</v>
      </c>
      <c r="O645" s="38">
        <v>-7.7593919138998491</v>
      </c>
      <c r="P645" s="71">
        <v>-9.7981399817446135</v>
      </c>
      <c r="Q645" s="53">
        <v>42537</v>
      </c>
      <c r="R645" s="23">
        <v>10</v>
      </c>
      <c r="S645" s="24">
        <v>481.84803699999998</v>
      </c>
      <c r="T645" s="24">
        <v>485.02108161680417</v>
      </c>
      <c r="U645" s="1">
        <v>0.50968701696119112</v>
      </c>
      <c r="V645" s="2">
        <v>-7.7593919138998491</v>
      </c>
      <c r="W645" s="2">
        <v>-9.7981399817446135</v>
      </c>
      <c r="X645" s="22">
        <v>44042</v>
      </c>
      <c r="Y645" s="23" t="s">
        <v>88</v>
      </c>
      <c r="Z645" s="24"/>
      <c r="AA645" s="24"/>
      <c r="AB645" s="1">
        <v>0.51970312593119239</v>
      </c>
      <c r="AC645" s="2"/>
      <c r="AD645" s="2"/>
      <c r="AE645" s="22" t="s">
        <v>17</v>
      </c>
      <c r="AF645" s="23"/>
      <c r="AG645" s="24" t="s">
        <v>17</v>
      </c>
      <c r="AH645" s="24" t="s">
        <v>17</v>
      </c>
      <c r="AI645" s="1" t="s">
        <v>17</v>
      </c>
      <c r="AJ645" s="2" t="s">
        <v>17</v>
      </c>
      <c r="AK645" s="2" t="s">
        <v>17</v>
      </c>
      <c r="AL645" s="22" t="s">
        <v>17</v>
      </c>
      <c r="AM645" s="4" t="s">
        <v>17</v>
      </c>
      <c r="AN645" s="24" t="s">
        <v>17</v>
      </c>
      <c r="AO645" s="24" t="s">
        <v>17</v>
      </c>
      <c r="AP645" s="1" t="s">
        <v>17</v>
      </c>
      <c r="AQ645" s="2" t="s">
        <v>17</v>
      </c>
      <c r="AR645" s="2" t="s">
        <v>17</v>
      </c>
      <c r="AS645" s="3"/>
      <c r="AT645" s="2"/>
      <c r="AU645" s="4"/>
      <c r="AV645" s="2"/>
      <c r="AW645" s="20" t="s">
        <v>17</v>
      </c>
      <c r="AX645" s="20" t="s">
        <v>17</v>
      </c>
      <c r="AY645" s="20" t="s">
        <v>17</v>
      </c>
      <c r="AZ645" s="5"/>
      <c r="BA645" s="6"/>
      <c r="BB645" s="4"/>
      <c r="BC645" s="6"/>
      <c r="BD645" s="6"/>
      <c r="BE645" s="6"/>
      <c r="BF645" s="7"/>
    </row>
    <row r="646" spans="1:58" ht="18" customHeight="1">
      <c r="A646" s="107" t="s">
        <v>15</v>
      </c>
      <c r="B646" s="93" t="s">
        <v>619</v>
      </c>
      <c r="C646" s="42">
        <v>1595.5</v>
      </c>
      <c r="D646" s="42">
        <v>1595.62</v>
      </c>
      <c r="E646" s="42">
        <v>1595.56</v>
      </c>
      <c r="F646" s="42">
        <v>1595.56</v>
      </c>
      <c r="G646" s="43">
        <v>114788.616575423</v>
      </c>
      <c r="H646" s="43">
        <v>111324.176522216</v>
      </c>
      <c r="I646" s="27">
        <f t="shared" si="27"/>
        <v>2</v>
      </c>
      <c r="J646" s="27">
        <f t="shared" si="29"/>
        <v>1</v>
      </c>
      <c r="K646" s="27">
        <f t="shared" si="28"/>
        <v>1</v>
      </c>
      <c r="L646" s="25">
        <v>516.73775749999993</v>
      </c>
      <c r="M646" s="25">
        <v>512.72229357908805</v>
      </c>
      <c r="N646" s="38">
        <v>0.50972801396698131</v>
      </c>
      <c r="O646" s="38">
        <v>-8.3440052447200088</v>
      </c>
      <c r="P646" s="71">
        <v>-10.382917300587934</v>
      </c>
      <c r="Q646" s="53">
        <v>42430</v>
      </c>
      <c r="R646" s="23">
        <v>9</v>
      </c>
      <c r="S646" s="24">
        <v>516.76571949999993</v>
      </c>
      <c r="T646" s="24">
        <v>512.75043972803826</v>
      </c>
      <c r="U646" s="1">
        <v>0.50972801396698131</v>
      </c>
      <c r="V646" s="2">
        <v>-8.3440052447200088</v>
      </c>
      <c r="W646" s="2">
        <v>-10.382917300587934</v>
      </c>
      <c r="X646" s="22">
        <v>42430</v>
      </c>
      <c r="Y646" s="23">
        <v>9</v>
      </c>
      <c r="Z646" s="24">
        <v>516.70979549999993</v>
      </c>
      <c r="AA646" s="24">
        <v>512.69414743013772</v>
      </c>
      <c r="AB646" s="1"/>
      <c r="AC646" s="2"/>
      <c r="AD646" s="2"/>
      <c r="AE646" s="22" t="s">
        <v>17</v>
      </c>
      <c r="AF646" s="23"/>
      <c r="AG646" s="24" t="s">
        <v>17</v>
      </c>
      <c r="AH646" s="24" t="s">
        <v>17</v>
      </c>
      <c r="AI646" s="1" t="s">
        <v>17</v>
      </c>
      <c r="AJ646" s="2" t="s">
        <v>17</v>
      </c>
      <c r="AK646" s="2" t="s">
        <v>17</v>
      </c>
      <c r="AL646" s="22" t="s">
        <v>17</v>
      </c>
      <c r="AM646" s="4" t="s">
        <v>17</v>
      </c>
      <c r="AN646" s="24" t="s">
        <v>17</v>
      </c>
      <c r="AO646" s="24" t="s">
        <v>17</v>
      </c>
      <c r="AP646" s="1" t="s">
        <v>17</v>
      </c>
      <c r="AQ646" s="2" t="s">
        <v>17</v>
      </c>
      <c r="AR646" s="2" t="s">
        <v>17</v>
      </c>
      <c r="AS646" s="3"/>
      <c r="AT646" s="2"/>
      <c r="AU646" s="4"/>
      <c r="AV646" s="2"/>
      <c r="AW646" s="20" t="s">
        <v>17</v>
      </c>
      <c r="AX646" s="20" t="s">
        <v>17</v>
      </c>
      <c r="AY646" s="20" t="s">
        <v>17</v>
      </c>
      <c r="AZ646" s="5"/>
      <c r="BA646" s="6"/>
      <c r="BB646" s="4"/>
      <c r="BC646" s="6"/>
      <c r="BD646" s="6"/>
      <c r="BE646" s="6"/>
      <c r="BF646" s="7"/>
    </row>
    <row r="647" spans="1:58" ht="18" customHeight="1">
      <c r="A647" s="107" t="s">
        <v>15</v>
      </c>
      <c r="B647" s="93" t="s">
        <v>620</v>
      </c>
      <c r="C647" s="42">
        <v>1599</v>
      </c>
      <c r="D647" s="42">
        <v>1599.12</v>
      </c>
      <c r="E647" s="42">
        <v>1599.06</v>
      </c>
      <c r="F647" s="42">
        <v>1599.06</v>
      </c>
      <c r="G647" s="43">
        <v>115220.528333382</v>
      </c>
      <c r="H647" s="43">
        <v>111807.05200985201</v>
      </c>
      <c r="I647" s="27">
        <f t="shared" si="27"/>
        <v>1</v>
      </c>
      <c r="J647" s="27">
        <f t="shared" si="29"/>
        <v>1</v>
      </c>
      <c r="K647" s="27">
        <f t="shared" si="28"/>
        <v>1</v>
      </c>
      <c r="L647" s="25">
        <v>498.47655050000003</v>
      </c>
      <c r="M647" s="25">
        <v>501.70066123821209</v>
      </c>
      <c r="N647" s="38">
        <v>0.50061366885545411</v>
      </c>
      <c r="O647" s="38">
        <v>-8.9930662584727372</v>
      </c>
      <c r="P647" s="71">
        <v>-10.995520933894554</v>
      </c>
      <c r="Q647" s="53">
        <v>42572</v>
      </c>
      <c r="R647" s="23">
        <v>10</v>
      </c>
      <c r="S647" s="24">
        <v>498.47655050000003</v>
      </c>
      <c r="T647" s="24">
        <v>501.70066123821209</v>
      </c>
      <c r="U647" s="1">
        <v>0.50061366885545411</v>
      </c>
      <c r="V647" s="2">
        <v>-8.9930662584727372</v>
      </c>
      <c r="W647" s="2">
        <v>-10.995520933894554</v>
      </c>
      <c r="X647" s="22" t="s">
        <v>17</v>
      </c>
      <c r="Y647" s="23"/>
      <c r="Z647" s="24" t="s">
        <v>17</v>
      </c>
      <c r="AA647" s="24" t="s">
        <v>17</v>
      </c>
      <c r="AB647" s="1" t="s">
        <v>17</v>
      </c>
      <c r="AC647" s="2" t="s">
        <v>17</v>
      </c>
      <c r="AD647" s="2" t="s">
        <v>17</v>
      </c>
      <c r="AE647" s="22" t="s">
        <v>17</v>
      </c>
      <c r="AF647" s="23"/>
      <c r="AG647" s="24" t="s">
        <v>17</v>
      </c>
      <c r="AH647" s="24" t="s">
        <v>17</v>
      </c>
      <c r="AI647" s="1" t="s">
        <v>17</v>
      </c>
      <c r="AJ647" s="2" t="s">
        <v>17</v>
      </c>
      <c r="AK647" s="2" t="s">
        <v>17</v>
      </c>
      <c r="AL647" s="22" t="s">
        <v>17</v>
      </c>
      <c r="AM647" s="4" t="s">
        <v>17</v>
      </c>
      <c r="AN647" s="24" t="s">
        <v>17</v>
      </c>
      <c r="AO647" s="24" t="s">
        <v>17</v>
      </c>
      <c r="AP647" s="1" t="s">
        <v>17</v>
      </c>
      <c r="AQ647" s="2" t="s">
        <v>17</v>
      </c>
      <c r="AR647" s="2" t="s">
        <v>17</v>
      </c>
      <c r="AS647" s="3"/>
      <c r="AT647" s="2"/>
      <c r="AU647" s="4"/>
      <c r="AV647" s="2"/>
      <c r="AW647" s="20" t="s">
        <v>17</v>
      </c>
      <c r="AX647" s="20" t="s">
        <v>17</v>
      </c>
      <c r="AY647" s="20" t="s">
        <v>17</v>
      </c>
      <c r="AZ647" s="5"/>
      <c r="BA647" s="6"/>
      <c r="BB647" s="4"/>
      <c r="BC647" s="6"/>
      <c r="BD647" s="6"/>
      <c r="BE647" s="6"/>
      <c r="BF647" s="7"/>
    </row>
    <row r="648" spans="1:58" ht="18" customHeight="1">
      <c r="A648" s="107" t="s">
        <v>15</v>
      </c>
      <c r="B648" s="93" t="s">
        <v>621</v>
      </c>
      <c r="C648" s="42">
        <v>1604</v>
      </c>
      <c r="D648" s="42">
        <v>1604.08</v>
      </c>
      <c r="E648" s="42">
        <v>1604.04</v>
      </c>
      <c r="F648" s="42">
        <v>1604.04</v>
      </c>
      <c r="G648" s="43">
        <v>115797.643471569</v>
      </c>
      <c r="H648" s="43">
        <v>112449.369127568</v>
      </c>
      <c r="I648" s="27">
        <f t="shared" si="27"/>
        <v>1</v>
      </c>
      <c r="J648" s="27">
        <f t="shared" si="29"/>
        <v>1</v>
      </c>
      <c r="K648" s="27">
        <f t="shared" si="28"/>
        <v>1</v>
      </c>
      <c r="L648" s="25">
        <v>516.14112699999998</v>
      </c>
      <c r="M648" s="25">
        <v>512.14439068027707</v>
      </c>
      <c r="N648" s="38">
        <v>0.5131747976439005</v>
      </c>
      <c r="O648" s="38">
        <v>-9.2799019707372477</v>
      </c>
      <c r="P648" s="71">
        <v>-11.33260116131285</v>
      </c>
      <c r="Q648" s="53">
        <v>42472</v>
      </c>
      <c r="R648" s="23">
        <v>9</v>
      </c>
      <c r="S648" s="24">
        <v>516.14112699999998</v>
      </c>
      <c r="T648" s="24">
        <v>512.14439068027707</v>
      </c>
      <c r="U648" s="1">
        <v>0.5131747976439005</v>
      </c>
      <c r="V648" s="2">
        <v>-9.2799019707372477</v>
      </c>
      <c r="W648" s="2">
        <v>-11.33260116131285</v>
      </c>
      <c r="X648" s="22" t="s">
        <v>17</v>
      </c>
      <c r="Y648" s="23"/>
      <c r="Z648" s="24" t="s">
        <v>17</v>
      </c>
      <c r="AA648" s="24" t="s">
        <v>17</v>
      </c>
      <c r="AB648" s="1" t="s">
        <v>17</v>
      </c>
      <c r="AC648" s="2" t="s">
        <v>17</v>
      </c>
      <c r="AD648" s="2" t="s">
        <v>17</v>
      </c>
      <c r="AE648" s="22" t="s">
        <v>17</v>
      </c>
      <c r="AF648" s="23"/>
      <c r="AG648" s="24" t="s">
        <v>17</v>
      </c>
      <c r="AH648" s="24" t="s">
        <v>17</v>
      </c>
      <c r="AI648" s="1" t="s">
        <v>17</v>
      </c>
      <c r="AJ648" s="2" t="s">
        <v>17</v>
      </c>
      <c r="AK648" s="2" t="s">
        <v>17</v>
      </c>
      <c r="AL648" s="22" t="s">
        <v>17</v>
      </c>
      <c r="AM648" s="4" t="s">
        <v>17</v>
      </c>
      <c r="AN648" s="24" t="s">
        <v>17</v>
      </c>
      <c r="AO648" s="24" t="s">
        <v>17</v>
      </c>
      <c r="AP648" s="1" t="s">
        <v>17</v>
      </c>
      <c r="AQ648" s="2" t="s">
        <v>17</v>
      </c>
      <c r="AR648" s="2" t="s">
        <v>17</v>
      </c>
      <c r="AS648" s="3"/>
      <c r="AT648" s="2"/>
      <c r="AU648" s="4"/>
      <c r="AV648" s="2"/>
      <c r="AW648" s="20" t="s">
        <v>17</v>
      </c>
      <c r="AX648" s="20" t="s">
        <v>17</v>
      </c>
      <c r="AY648" s="20" t="s">
        <v>17</v>
      </c>
      <c r="AZ648" s="5"/>
      <c r="BA648" s="6"/>
      <c r="BB648" s="4"/>
      <c r="BC648" s="6"/>
      <c r="BD648" s="6"/>
      <c r="BE648" s="6"/>
      <c r="BF648" s="7"/>
    </row>
    <row r="649" spans="1:58" ht="18" customHeight="1">
      <c r="A649" s="107" t="s">
        <v>15</v>
      </c>
      <c r="B649" s="93" t="s">
        <v>622</v>
      </c>
      <c r="C649" s="42">
        <v>1606.5</v>
      </c>
      <c r="D649" s="42">
        <v>1606.59</v>
      </c>
      <c r="E649" s="42">
        <v>1606.5450000000001</v>
      </c>
      <c r="F649" s="42">
        <v>1606.5450000000001</v>
      </c>
      <c r="G649" s="43">
        <v>116091.118701905</v>
      </c>
      <c r="H649" s="43">
        <v>112748.732011363</v>
      </c>
      <c r="I649" s="27">
        <f t="shared" si="27"/>
        <v>1</v>
      </c>
      <c r="J649" s="27">
        <f t="shared" si="29"/>
        <v>1</v>
      </c>
      <c r="K649" s="27">
        <f t="shared" si="28"/>
        <v>1</v>
      </c>
      <c r="L649" s="25">
        <v>516.76205950000008</v>
      </c>
      <c r="M649" s="25">
        <v>520.24103425418593</v>
      </c>
      <c r="N649" s="38">
        <v>0.5210724875401862</v>
      </c>
      <c r="O649" s="38">
        <v>-10.211392501799367</v>
      </c>
      <c r="P649" s="71">
        <v>-12.295682451960111</v>
      </c>
      <c r="Q649" s="53">
        <v>42573</v>
      </c>
      <c r="R649" s="23">
        <v>10</v>
      </c>
      <c r="S649" s="24">
        <v>516.76205950000008</v>
      </c>
      <c r="T649" s="24">
        <v>520.24103425418593</v>
      </c>
      <c r="U649" s="1">
        <v>0.5210724875401862</v>
      </c>
      <c r="V649" s="2">
        <v>-10.211392501799367</v>
      </c>
      <c r="W649" s="2">
        <v>-12.295682451960111</v>
      </c>
      <c r="X649" s="22" t="s">
        <v>17</v>
      </c>
      <c r="Y649" s="23"/>
      <c r="Z649" s="24" t="s">
        <v>17</v>
      </c>
      <c r="AA649" s="24" t="s">
        <v>17</v>
      </c>
      <c r="AB649" s="1" t="s">
        <v>17</v>
      </c>
      <c r="AC649" s="2" t="s">
        <v>17</v>
      </c>
      <c r="AD649" s="2" t="s">
        <v>17</v>
      </c>
      <c r="AE649" s="22" t="s">
        <v>17</v>
      </c>
      <c r="AF649" s="23"/>
      <c r="AG649" s="24" t="s">
        <v>17</v>
      </c>
      <c r="AH649" s="24" t="s">
        <v>17</v>
      </c>
      <c r="AI649" s="1" t="s">
        <v>17</v>
      </c>
      <c r="AJ649" s="2" t="s">
        <v>17</v>
      </c>
      <c r="AK649" s="2" t="s">
        <v>17</v>
      </c>
      <c r="AL649" s="22" t="s">
        <v>17</v>
      </c>
      <c r="AM649" s="4" t="s">
        <v>17</v>
      </c>
      <c r="AN649" s="24" t="s">
        <v>17</v>
      </c>
      <c r="AO649" s="24" t="s">
        <v>17</v>
      </c>
      <c r="AP649" s="1" t="s">
        <v>17</v>
      </c>
      <c r="AQ649" s="2" t="s">
        <v>17</v>
      </c>
      <c r="AR649" s="2" t="s">
        <v>17</v>
      </c>
      <c r="AS649" s="3"/>
      <c r="AT649" s="2"/>
      <c r="AU649" s="4"/>
      <c r="AV649" s="2"/>
      <c r="AW649" s="20" t="s">
        <v>17</v>
      </c>
      <c r="AX649" s="20" t="s">
        <v>17</v>
      </c>
      <c r="AY649" s="20" t="s">
        <v>17</v>
      </c>
      <c r="AZ649" s="5"/>
      <c r="BA649" s="6"/>
      <c r="BB649" s="4"/>
      <c r="BC649" s="6"/>
      <c r="BD649" s="6"/>
      <c r="BE649" s="6"/>
      <c r="BF649" s="7"/>
    </row>
    <row r="650" spans="1:58" ht="18" customHeight="1">
      <c r="A650" s="107" t="s">
        <v>15</v>
      </c>
      <c r="B650" s="93" t="s">
        <v>623</v>
      </c>
      <c r="C650" s="42">
        <v>1609.5</v>
      </c>
      <c r="D650" s="42">
        <v>1609.62</v>
      </c>
      <c r="E650" s="42">
        <v>1609.56</v>
      </c>
      <c r="F650" s="42">
        <v>1609.56</v>
      </c>
      <c r="G650" s="43">
        <v>116428.535344755</v>
      </c>
      <c r="H650" s="43">
        <v>113121.255320385</v>
      </c>
      <c r="I650" s="27">
        <f t="shared" si="27"/>
        <v>3</v>
      </c>
      <c r="J650" s="27">
        <f t="shared" si="29"/>
        <v>2</v>
      </c>
      <c r="K650" s="27">
        <f t="shared" si="28"/>
        <v>2</v>
      </c>
      <c r="L650" s="25">
        <v>518.21027966666668</v>
      </c>
      <c r="M650" s="25">
        <v>516.76493179476824</v>
      </c>
      <c r="N650" s="38">
        <v>0.52640155053806925</v>
      </c>
      <c r="O650" s="38">
        <v>-10.890898718702079</v>
      </c>
      <c r="P650" s="71">
        <v>-12.996504920854356</v>
      </c>
      <c r="Q650" s="53">
        <v>42465</v>
      </c>
      <c r="R650" s="23">
        <v>9</v>
      </c>
      <c r="S650" s="24">
        <v>518.8603865</v>
      </c>
      <c r="T650" s="24">
        <v>514.97210380884633</v>
      </c>
      <c r="U650" s="1">
        <v>0.5268579253006056</v>
      </c>
      <c r="V650" s="2">
        <v>-10.860530087049236</v>
      </c>
      <c r="W650" s="2">
        <v>-12.967961788251658</v>
      </c>
      <c r="X650" s="22">
        <v>42465</v>
      </c>
      <c r="Y650" s="23">
        <v>9</v>
      </c>
      <c r="Z650" s="24">
        <v>522.90129449999995</v>
      </c>
      <c r="AA650" s="24">
        <v>519.03443876916231</v>
      </c>
      <c r="AB650" s="1">
        <v>0.5259451757755329</v>
      </c>
      <c r="AC650" s="2">
        <v>-10.921267350354924</v>
      </c>
      <c r="AD650" s="2">
        <v>-13.025048053457056</v>
      </c>
      <c r="AE650" s="22">
        <v>44063</v>
      </c>
      <c r="AF650" s="23" t="s">
        <v>88</v>
      </c>
      <c r="AG650" s="24">
        <v>512.86915799999997</v>
      </c>
      <c r="AH650" s="24">
        <v>516.28825280629621</v>
      </c>
      <c r="AI650" s="1"/>
      <c r="AJ650" s="2"/>
      <c r="AK650" s="2"/>
      <c r="AL650" s="22" t="s">
        <v>17</v>
      </c>
      <c r="AM650" s="4" t="s">
        <v>17</v>
      </c>
      <c r="AN650" s="24" t="s">
        <v>17</v>
      </c>
      <c r="AO650" s="24" t="s">
        <v>17</v>
      </c>
      <c r="AP650" s="1" t="s">
        <v>17</v>
      </c>
      <c r="AQ650" s="2" t="s">
        <v>17</v>
      </c>
      <c r="AR650" s="2" t="s">
        <v>17</v>
      </c>
      <c r="AS650" s="3"/>
      <c r="AT650" s="2"/>
      <c r="AU650" s="4"/>
      <c r="AV650" s="2"/>
      <c r="AW650" s="20" t="s">
        <v>17</v>
      </c>
      <c r="AX650" s="20" t="s">
        <v>17</v>
      </c>
      <c r="AY650" s="20" t="s">
        <v>17</v>
      </c>
      <c r="AZ650" s="5"/>
      <c r="BA650" s="6"/>
      <c r="BB650" s="4"/>
      <c r="BC650" s="6"/>
      <c r="BD650" s="6"/>
      <c r="BE650" s="6"/>
      <c r="BF650" s="7"/>
    </row>
    <row r="651" spans="1:58" ht="18" customHeight="1">
      <c r="A651" s="107" t="s">
        <v>15</v>
      </c>
      <c r="B651" s="93" t="s">
        <v>624</v>
      </c>
      <c r="C651" s="42">
        <v>1613</v>
      </c>
      <c r="D651" s="42">
        <v>1613.12</v>
      </c>
      <c r="E651" s="42">
        <v>1613.06</v>
      </c>
      <c r="F651" s="42">
        <v>1613.06</v>
      </c>
      <c r="G651" s="43">
        <v>116828.704093165</v>
      </c>
      <c r="H651" s="43">
        <v>113584.858367496</v>
      </c>
      <c r="I651" s="27">
        <f t="shared" si="27"/>
        <v>2</v>
      </c>
      <c r="J651" s="27">
        <f t="shared" si="29"/>
        <v>2</v>
      </c>
      <c r="K651" s="27">
        <f t="shared" si="28"/>
        <v>2</v>
      </c>
      <c r="L651" s="25">
        <v>499.23208225000002</v>
      </c>
      <c r="M651" s="25">
        <v>502.5900611803138</v>
      </c>
      <c r="N651" s="38">
        <v>0.52062432382737889</v>
      </c>
      <c r="O651" s="38">
        <v>-8.4760009578135342</v>
      </c>
      <c r="P651" s="71">
        <v>-10.55849825312305</v>
      </c>
      <c r="Q651" s="53">
        <v>42523</v>
      </c>
      <c r="R651" s="23">
        <v>9</v>
      </c>
      <c r="S651" s="24">
        <v>501.83383800000001</v>
      </c>
      <c r="T651" s="24">
        <v>505.19227284232585</v>
      </c>
      <c r="U651" s="1">
        <v>0.51798176525075235</v>
      </c>
      <c r="V651" s="2">
        <v>-8.4459791888438218</v>
      </c>
      <c r="W651" s="2">
        <v>-10.517906249846831</v>
      </c>
      <c r="X651" s="22">
        <v>42523</v>
      </c>
      <c r="Y651" s="23">
        <v>9</v>
      </c>
      <c r="Z651" s="24">
        <v>496.63032650000002</v>
      </c>
      <c r="AA651" s="24">
        <v>499.9878495183018</v>
      </c>
      <c r="AB651" s="1">
        <v>0.52326688240400543</v>
      </c>
      <c r="AC651" s="2">
        <v>-8.5060227267832467</v>
      </c>
      <c r="AD651" s="2">
        <v>-10.599090256399268</v>
      </c>
      <c r="AE651" s="22" t="s">
        <v>17</v>
      </c>
      <c r="AF651" s="23"/>
      <c r="AG651" s="24" t="s">
        <v>17</v>
      </c>
      <c r="AH651" s="24" t="s">
        <v>17</v>
      </c>
      <c r="AI651" s="1" t="s">
        <v>17</v>
      </c>
      <c r="AJ651" s="2" t="s">
        <v>17</v>
      </c>
      <c r="AK651" s="2" t="s">
        <v>17</v>
      </c>
      <c r="AL651" s="22" t="s">
        <v>17</v>
      </c>
      <c r="AM651" s="4" t="s">
        <v>17</v>
      </c>
      <c r="AN651" s="24" t="s">
        <v>17</v>
      </c>
      <c r="AO651" s="24" t="s">
        <v>17</v>
      </c>
      <c r="AP651" s="1" t="s">
        <v>17</v>
      </c>
      <c r="AQ651" s="2" t="s">
        <v>17</v>
      </c>
      <c r="AR651" s="2" t="s">
        <v>17</v>
      </c>
      <c r="AS651" s="3"/>
      <c r="AT651" s="2"/>
      <c r="AU651" s="4"/>
      <c r="AV651" s="2"/>
      <c r="AW651" s="20" t="s">
        <v>17</v>
      </c>
      <c r="AX651" s="20" t="s">
        <v>17</v>
      </c>
      <c r="AY651" s="20" t="s">
        <v>17</v>
      </c>
      <c r="AZ651" s="5"/>
      <c r="BA651" s="6"/>
      <c r="BB651" s="4"/>
      <c r="BC651" s="6"/>
      <c r="BD651" s="6"/>
      <c r="BE651" s="6"/>
      <c r="BF651" s="7"/>
    </row>
    <row r="652" spans="1:58" ht="18" customHeight="1">
      <c r="A652" s="107" t="s">
        <v>15</v>
      </c>
      <c r="B652" s="93" t="s">
        <v>625</v>
      </c>
      <c r="C652" s="42">
        <v>1617.5</v>
      </c>
      <c r="D652" s="42">
        <v>1617.62</v>
      </c>
      <c r="E652" s="42">
        <v>1617.56</v>
      </c>
      <c r="F652" s="42">
        <v>1617.56</v>
      </c>
      <c r="G652" s="43">
        <v>117358.76689960901</v>
      </c>
      <c r="H652" s="43">
        <v>114114.342649538</v>
      </c>
      <c r="I652" s="27">
        <f t="shared" si="27"/>
        <v>2</v>
      </c>
      <c r="J652" s="27">
        <f t="shared" si="29"/>
        <v>2</v>
      </c>
      <c r="K652" s="27">
        <f t="shared" si="28"/>
        <v>2</v>
      </c>
      <c r="L652" s="25">
        <v>491.53402125000002</v>
      </c>
      <c r="M652" s="25">
        <v>494.74269374272251</v>
      </c>
      <c r="N652" s="38">
        <v>0.50522973350086708</v>
      </c>
      <c r="O652" s="38">
        <v>-9.2632379133170133</v>
      </c>
      <c r="P652" s="71">
        <v>-11.284156847320482</v>
      </c>
      <c r="Q652" s="53">
        <v>42426</v>
      </c>
      <c r="R652" s="23">
        <v>9</v>
      </c>
      <c r="S652" s="24">
        <v>488.15607499999999</v>
      </c>
      <c r="T652" s="24">
        <v>491.32077366994037</v>
      </c>
      <c r="U652" s="1">
        <v>0.5017774642825934</v>
      </c>
      <c r="V652" s="2">
        <v>-9.3872953408918889</v>
      </c>
      <c r="W652" s="2">
        <v>-11.394405198022262</v>
      </c>
      <c r="X652" s="22">
        <v>42426</v>
      </c>
      <c r="Y652" s="23">
        <v>9</v>
      </c>
      <c r="Z652" s="24">
        <v>494.9119675</v>
      </c>
      <c r="AA652" s="24">
        <v>498.16461381550459</v>
      </c>
      <c r="AB652" s="1">
        <v>0.50868200271914077</v>
      </c>
      <c r="AC652" s="2">
        <v>-9.1391804857421377</v>
      </c>
      <c r="AD652" s="2">
        <v>-11.173908496618701</v>
      </c>
      <c r="AE652" s="22" t="s">
        <v>17</v>
      </c>
      <c r="AF652" s="23"/>
      <c r="AG652" s="24" t="s">
        <v>17</v>
      </c>
      <c r="AH652" s="24" t="s">
        <v>17</v>
      </c>
      <c r="AI652" s="1" t="s">
        <v>17</v>
      </c>
      <c r="AJ652" s="2" t="s">
        <v>17</v>
      </c>
      <c r="AK652" s="2" t="s">
        <v>17</v>
      </c>
      <c r="AL652" s="22" t="s">
        <v>17</v>
      </c>
      <c r="AM652" s="4" t="s">
        <v>17</v>
      </c>
      <c r="AN652" s="24" t="s">
        <v>17</v>
      </c>
      <c r="AO652" s="24" t="s">
        <v>17</v>
      </c>
      <c r="AP652" s="1" t="s">
        <v>17</v>
      </c>
      <c r="AQ652" s="2" t="s">
        <v>17</v>
      </c>
      <c r="AR652" s="2" t="s">
        <v>17</v>
      </c>
      <c r="AS652" s="3"/>
      <c r="AT652" s="2"/>
      <c r="AU652" s="4"/>
      <c r="AV652" s="2"/>
      <c r="AW652" s="20" t="s">
        <v>17</v>
      </c>
      <c r="AX652" s="20" t="s">
        <v>17</v>
      </c>
      <c r="AY652" s="20" t="s">
        <v>17</v>
      </c>
      <c r="AZ652" s="5"/>
      <c r="BA652" s="6"/>
      <c r="BB652" s="4"/>
      <c r="BC652" s="6"/>
      <c r="BD652" s="6"/>
      <c r="BE652" s="6"/>
      <c r="BF652" s="7"/>
    </row>
    <row r="653" spans="1:58" ht="18" customHeight="1">
      <c r="A653" s="107" t="s">
        <v>15</v>
      </c>
      <c r="B653" s="93" t="s">
        <v>626</v>
      </c>
      <c r="C653" s="42">
        <v>1622.02</v>
      </c>
      <c r="D653" s="42">
        <v>1622.105</v>
      </c>
      <c r="E653" s="42">
        <v>1622.0625</v>
      </c>
      <c r="F653" s="42">
        <v>1622.0625</v>
      </c>
      <c r="G653" s="43">
        <v>117856.91253267501</v>
      </c>
      <c r="H653" s="43">
        <v>114659.016508589</v>
      </c>
      <c r="I653" s="27">
        <f t="shared" si="27"/>
        <v>1</v>
      </c>
      <c r="J653" s="27">
        <f t="shared" si="29"/>
        <v>1</v>
      </c>
      <c r="K653" s="27">
        <f t="shared" si="28"/>
        <v>1</v>
      </c>
      <c r="L653" s="25">
        <v>461.23944599999999</v>
      </c>
      <c r="M653" s="25">
        <v>464.29727992215408</v>
      </c>
      <c r="N653" s="38">
        <v>0.51312708449291478</v>
      </c>
      <c r="O653" s="38">
        <v>-9.9538599685521376</v>
      </c>
      <c r="P653" s="71">
        <v>-12.006368306523797</v>
      </c>
      <c r="Q653" s="53">
        <v>42573</v>
      </c>
      <c r="R653" s="23">
        <v>10</v>
      </c>
      <c r="S653" s="24">
        <v>461.23944599999999</v>
      </c>
      <c r="T653" s="24">
        <v>464.29727992215408</v>
      </c>
      <c r="U653" s="1">
        <v>0.51312708449291478</v>
      </c>
      <c r="V653" s="2">
        <v>-9.9538599685521376</v>
      </c>
      <c r="W653" s="2">
        <v>-12.006368306523797</v>
      </c>
      <c r="X653" s="22" t="s">
        <v>17</v>
      </c>
      <c r="Y653" s="23"/>
      <c r="Z653" s="24" t="s">
        <v>17</v>
      </c>
      <c r="AA653" s="24" t="s">
        <v>17</v>
      </c>
      <c r="AB653" s="1" t="s">
        <v>17</v>
      </c>
      <c r="AC653" s="2" t="s">
        <v>17</v>
      </c>
      <c r="AD653" s="2" t="s">
        <v>17</v>
      </c>
      <c r="AE653" s="22" t="s">
        <v>17</v>
      </c>
      <c r="AF653" s="23"/>
      <c r="AG653" s="24" t="s">
        <v>17</v>
      </c>
      <c r="AH653" s="24" t="s">
        <v>17</v>
      </c>
      <c r="AI653" s="1" t="s">
        <v>17</v>
      </c>
      <c r="AJ653" s="2" t="s">
        <v>17</v>
      </c>
      <c r="AK653" s="2" t="s">
        <v>17</v>
      </c>
      <c r="AL653" s="22" t="s">
        <v>17</v>
      </c>
      <c r="AM653" s="4" t="s">
        <v>17</v>
      </c>
      <c r="AN653" s="24" t="s">
        <v>17</v>
      </c>
      <c r="AO653" s="24" t="s">
        <v>17</v>
      </c>
      <c r="AP653" s="1" t="s">
        <v>17</v>
      </c>
      <c r="AQ653" s="2" t="s">
        <v>17</v>
      </c>
      <c r="AR653" s="2" t="s">
        <v>17</v>
      </c>
      <c r="AS653" s="3"/>
      <c r="AT653" s="2"/>
      <c r="AU653" s="4"/>
      <c r="AV653" s="2"/>
      <c r="AW653" s="20" t="s">
        <v>17</v>
      </c>
      <c r="AX653" s="20" t="s">
        <v>17</v>
      </c>
      <c r="AY653" s="20" t="s">
        <v>17</v>
      </c>
      <c r="AZ653" s="5"/>
      <c r="BA653" s="6"/>
      <c r="BB653" s="4"/>
      <c r="BC653" s="6"/>
      <c r="BD653" s="6"/>
      <c r="BE653" s="6"/>
      <c r="BF653" s="7"/>
    </row>
    <row r="654" spans="1:58" ht="18" customHeight="1">
      <c r="A654" s="107" t="s">
        <v>15</v>
      </c>
      <c r="B654" s="93" t="s">
        <v>627</v>
      </c>
      <c r="C654" s="42">
        <v>1626.5</v>
      </c>
      <c r="D654" s="42">
        <v>1626.62</v>
      </c>
      <c r="E654" s="42">
        <v>1626.56</v>
      </c>
      <c r="F654" s="42">
        <v>1626.56</v>
      </c>
      <c r="G654" s="43">
        <v>118343.57779049499</v>
      </c>
      <c r="H654" s="43">
        <v>115225.573718846</v>
      </c>
      <c r="I654" s="27">
        <f t="shared" si="27"/>
        <v>2</v>
      </c>
      <c r="J654" s="27">
        <f t="shared" si="29"/>
        <v>1</v>
      </c>
      <c r="K654" s="27">
        <f t="shared" si="28"/>
        <v>1</v>
      </c>
      <c r="L654" s="25">
        <v>469.81061849999998</v>
      </c>
      <c r="M654" s="25">
        <v>465.54977463262452</v>
      </c>
      <c r="N654" s="38">
        <v>0.52038413120292226</v>
      </c>
      <c r="O654" s="38">
        <v>-8.3436358107380482</v>
      </c>
      <c r="P654" s="71">
        <v>-10.425172335549737</v>
      </c>
      <c r="Q654" s="53">
        <v>42472</v>
      </c>
      <c r="R654" s="23">
        <v>9</v>
      </c>
      <c r="S654" s="24">
        <v>469.46203049999997</v>
      </c>
      <c r="T654" s="24">
        <v>465.19884294897173</v>
      </c>
      <c r="U654" s="1"/>
      <c r="V654" s="2"/>
      <c r="W654" s="2"/>
      <c r="X654" s="22">
        <v>42472</v>
      </c>
      <c r="Y654" s="23">
        <v>9</v>
      </c>
      <c r="Z654" s="24">
        <v>470.15920649999998</v>
      </c>
      <c r="AA654" s="24">
        <v>465.90070631627731</v>
      </c>
      <c r="AB654" s="1">
        <v>0.52038413120292226</v>
      </c>
      <c r="AC654" s="2">
        <v>-8.3436358107380482</v>
      </c>
      <c r="AD654" s="2">
        <v>-10.425172335549737</v>
      </c>
      <c r="AE654" s="22"/>
      <c r="AF654" s="23"/>
      <c r="AG654" s="24"/>
      <c r="AH654" s="24"/>
      <c r="AI654" s="1"/>
      <c r="AJ654" s="2"/>
      <c r="AK654" s="2"/>
      <c r="AL654" s="22" t="s">
        <v>17</v>
      </c>
      <c r="AM654" s="4" t="s">
        <v>17</v>
      </c>
      <c r="AN654" s="24" t="s">
        <v>17</v>
      </c>
      <c r="AO654" s="24" t="s">
        <v>17</v>
      </c>
      <c r="AP654" s="1" t="s">
        <v>17</v>
      </c>
      <c r="AQ654" s="2" t="s">
        <v>17</v>
      </c>
      <c r="AR654" s="2" t="s">
        <v>17</v>
      </c>
      <c r="AS654" s="3"/>
      <c r="AT654" s="2"/>
      <c r="AU654" s="4"/>
      <c r="AV654" s="2"/>
      <c r="AW654" s="20" t="s">
        <v>17</v>
      </c>
      <c r="AX654" s="20" t="s">
        <v>17</v>
      </c>
      <c r="AY654" s="20" t="s">
        <v>17</v>
      </c>
      <c r="AZ654" s="5"/>
      <c r="BA654" s="6"/>
      <c r="BB654" s="4"/>
      <c r="BC654" s="6"/>
      <c r="BD654" s="6"/>
      <c r="BE654" s="6"/>
      <c r="BF654" s="7"/>
    </row>
    <row r="655" spans="1:58" ht="18" customHeight="1">
      <c r="A655" s="107" t="s">
        <v>15</v>
      </c>
      <c r="B655" s="93" t="s">
        <v>628</v>
      </c>
      <c r="C655" s="42">
        <v>1631.5</v>
      </c>
      <c r="D655" s="42">
        <v>1631.62</v>
      </c>
      <c r="E655" s="42">
        <v>1631.56</v>
      </c>
      <c r="F655" s="42">
        <v>1631.56</v>
      </c>
      <c r="G655" s="43">
        <v>118859.765131227</v>
      </c>
      <c r="H655" s="43">
        <v>115792.481887901</v>
      </c>
      <c r="I655" s="27">
        <f t="shared" si="27"/>
        <v>1</v>
      </c>
      <c r="J655" s="27">
        <f t="shared" si="29"/>
        <v>1</v>
      </c>
      <c r="K655" s="27">
        <f t="shared" si="28"/>
        <v>1</v>
      </c>
      <c r="L655" s="25">
        <v>469.629077</v>
      </c>
      <c r="M655" s="25">
        <v>472.77465431381091</v>
      </c>
      <c r="N655" s="38">
        <v>0.51842134204793666</v>
      </c>
      <c r="O655" s="38">
        <v>-9.9663314043876294</v>
      </c>
      <c r="P655" s="71">
        <v>-12.040016772579376</v>
      </c>
      <c r="Q655" s="53">
        <v>42566</v>
      </c>
      <c r="R655" s="23">
        <v>10</v>
      </c>
      <c r="S655" s="24">
        <v>469.629077</v>
      </c>
      <c r="T655" s="24">
        <v>472.77465431381091</v>
      </c>
      <c r="U655" s="1">
        <v>0.51842134204793666</v>
      </c>
      <c r="V655" s="2">
        <v>-9.9663314043876294</v>
      </c>
      <c r="W655" s="2">
        <v>-12.040016772579376</v>
      </c>
      <c r="X655" s="22" t="s">
        <v>17</v>
      </c>
      <c r="Y655" s="23"/>
      <c r="Z655" s="24" t="s">
        <v>17</v>
      </c>
      <c r="AA655" s="24" t="s">
        <v>17</v>
      </c>
      <c r="AB655" s="1" t="s">
        <v>17</v>
      </c>
      <c r="AC655" s="2" t="s">
        <v>17</v>
      </c>
      <c r="AD655" s="2" t="s">
        <v>17</v>
      </c>
      <c r="AE655" s="22" t="s">
        <v>17</v>
      </c>
      <c r="AF655" s="23"/>
      <c r="AG655" s="24" t="s">
        <v>17</v>
      </c>
      <c r="AH655" s="24" t="s">
        <v>17</v>
      </c>
      <c r="AI655" s="1" t="s">
        <v>17</v>
      </c>
      <c r="AJ655" s="2" t="s">
        <v>17</v>
      </c>
      <c r="AK655" s="2" t="s">
        <v>17</v>
      </c>
      <c r="AL655" s="22" t="s">
        <v>17</v>
      </c>
      <c r="AM655" s="4" t="s">
        <v>17</v>
      </c>
      <c r="AN655" s="24" t="s">
        <v>17</v>
      </c>
      <c r="AO655" s="24" t="s">
        <v>17</v>
      </c>
      <c r="AP655" s="1" t="s">
        <v>17</v>
      </c>
      <c r="AQ655" s="2" t="s">
        <v>17</v>
      </c>
      <c r="AR655" s="2" t="s">
        <v>17</v>
      </c>
      <c r="AS655" s="3"/>
      <c r="AT655" s="2"/>
      <c r="AU655" s="4"/>
      <c r="AV655" s="2"/>
      <c r="AW655" s="20" t="s">
        <v>17</v>
      </c>
      <c r="AX655" s="20" t="s">
        <v>17</v>
      </c>
      <c r="AY655" s="20" t="s">
        <v>17</v>
      </c>
      <c r="AZ655" s="5"/>
      <c r="BA655" s="6"/>
      <c r="BB655" s="4"/>
      <c r="BC655" s="6"/>
      <c r="BD655" s="6"/>
      <c r="BE655" s="6"/>
      <c r="BF655" s="7"/>
    </row>
    <row r="656" spans="1:58" ht="18" customHeight="1">
      <c r="A656" s="107" t="s">
        <v>15</v>
      </c>
      <c r="B656" s="93" t="s">
        <v>629</v>
      </c>
      <c r="C656" s="42">
        <v>1636</v>
      </c>
      <c r="D656" s="42">
        <v>1636.08</v>
      </c>
      <c r="E656" s="42">
        <v>1636.04</v>
      </c>
      <c r="F656" s="42">
        <v>1636.04</v>
      </c>
      <c r="G656" s="43">
        <v>119304.975176614</v>
      </c>
      <c r="H656" s="43">
        <v>116314.96391379301</v>
      </c>
      <c r="I656" s="27">
        <f t="shared" si="27"/>
        <v>1</v>
      </c>
      <c r="J656" s="27">
        <f t="shared" si="29"/>
        <v>1</v>
      </c>
      <c r="K656" s="27">
        <f t="shared" si="28"/>
        <v>1</v>
      </c>
      <c r="L656" s="25">
        <v>485.3144125</v>
      </c>
      <c r="M656" s="25">
        <v>481.17738959791751</v>
      </c>
      <c r="N656" s="38">
        <v>0.52355549932370238</v>
      </c>
      <c r="O656" s="38">
        <v>-8.9904038608780148</v>
      </c>
      <c r="P656" s="71">
        <v>-11.084625858172824</v>
      </c>
      <c r="Q656" s="53">
        <v>42459</v>
      </c>
      <c r="R656" s="23">
        <v>9</v>
      </c>
      <c r="S656" s="24">
        <v>485.3144125</v>
      </c>
      <c r="T656" s="24">
        <v>481.17738959791751</v>
      </c>
      <c r="U656" s="1">
        <v>0.52355549932370238</v>
      </c>
      <c r="V656" s="2">
        <v>-8.9904038608780148</v>
      </c>
      <c r="W656" s="2">
        <v>-11.084625858172824</v>
      </c>
      <c r="X656" s="22" t="s">
        <v>17</v>
      </c>
      <c r="Y656" s="23"/>
      <c r="Z656" s="24" t="s">
        <v>17</v>
      </c>
      <c r="AA656" s="24" t="s">
        <v>17</v>
      </c>
      <c r="AB656" s="1" t="s">
        <v>17</v>
      </c>
      <c r="AC656" s="2" t="s">
        <v>17</v>
      </c>
      <c r="AD656" s="2" t="s">
        <v>17</v>
      </c>
      <c r="AE656" s="22" t="s">
        <v>17</v>
      </c>
      <c r="AF656" s="23"/>
      <c r="AG656" s="24" t="s">
        <v>17</v>
      </c>
      <c r="AH656" s="24" t="s">
        <v>17</v>
      </c>
      <c r="AI656" s="1" t="s">
        <v>17</v>
      </c>
      <c r="AJ656" s="2" t="s">
        <v>17</v>
      </c>
      <c r="AK656" s="2" t="s">
        <v>17</v>
      </c>
      <c r="AL656" s="22" t="s">
        <v>17</v>
      </c>
      <c r="AM656" s="4" t="s">
        <v>17</v>
      </c>
      <c r="AN656" s="24" t="s">
        <v>17</v>
      </c>
      <c r="AO656" s="24" t="s">
        <v>17</v>
      </c>
      <c r="AP656" s="1" t="s">
        <v>17</v>
      </c>
      <c r="AQ656" s="2" t="s">
        <v>17</v>
      </c>
      <c r="AR656" s="2" t="s">
        <v>17</v>
      </c>
      <c r="AS656" s="3"/>
      <c r="AT656" s="2"/>
      <c r="AU656" s="4"/>
      <c r="AV656" s="2"/>
      <c r="AW656" s="20" t="s">
        <v>17</v>
      </c>
      <c r="AX656" s="20" t="s">
        <v>17</v>
      </c>
      <c r="AY656" s="20" t="s">
        <v>17</v>
      </c>
      <c r="AZ656" s="5"/>
      <c r="BA656" s="6"/>
      <c r="BB656" s="4"/>
      <c r="BC656" s="6"/>
      <c r="BD656" s="6"/>
      <c r="BE656" s="6"/>
      <c r="BF656" s="7"/>
    </row>
    <row r="657" spans="1:58" ht="18" customHeight="1">
      <c r="A657" s="107" t="s">
        <v>15</v>
      </c>
      <c r="B657" s="93" t="s">
        <v>630</v>
      </c>
      <c r="C657" s="42">
        <v>1641</v>
      </c>
      <c r="D657" s="42">
        <v>1641.12</v>
      </c>
      <c r="E657" s="42">
        <v>1641.06</v>
      </c>
      <c r="F657" s="42">
        <v>1641.06</v>
      </c>
      <c r="G657" s="43">
        <v>119781.125690361</v>
      </c>
      <c r="H657" s="43">
        <v>116897.550535779</v>
      </c>
      <c r="I657" s="27">
        <f t="shared" si="27"/>
        <v>1</v>
      </c>
      <c r="J657" s="27">
        <f t="shared" si="29"/>
        <v>2</v>
      </c>
      <c r="K657" s="27">
        <f t="shared" si="28"/>
        <v>1</v>
      </c>
      <c r="L657" s="25">
        <v>481.20698249999998</v>
      </c>
      <c r="M657" s="25">
        <v>484.63230248344843</v>
      </c>
      <c r="N657" s="38">
        <v>0.53655192435519972</v>
      </c>
      <c r="O657" s="38">
        <v>-8.6100105662253448</v>
      </c>
      <c r="P657" s="71">
        <v>-10.813782792475134</v>
      </c>
      <c r="Q657" s="53">
        <v>42537</v>
      </c>
      <c r="R657" s="23">
        <v>10</v>
      </c>
      <c r="S657" s="24">
        <v>481.20698249999998</v>
      </c>
      <c r="T657" s="24">
        <v>484.63230248344843</v>
      </c>
      <c r="U657" s="1">
        <v>0.55094305656244735</v>
      </c>
      <c r="V657" s="2">
        <v>-8.6100105662253448</v>
      </c>
      <c r="W657" s="2">
        <v>-10.813782792475134</v>
      </c>
      <c r="X657" s="22">
        <v>42585</v>
      </c>
      <c r="Y657" s="23" t="s">
        <v>88</v>
      </c>
      <c r="Z657" s="24"/>
      <c r="AA657" s="24"/>
      <c r="AB657" s="1">
        <v>0.52216079214795208</v>
      </c>
      <c r="AC657" s="2"/>
      <c r="AD657" s="2"/>
      <c r="AE657" s="22" t="s">
        <v>17</v>
      </c>
      <c r="AF657" s="23"/>
      <c r="AG657" s="24" t="s">
        <v>17</v>
      </c>
      <c r="AH657" s="24" t="s">
        <v>17</v>
      </c>
      <c r="AI657" s="1" t="s">
        <v>17</v>
      </c>
      <c r="AJ657" s="2" t="s">
        <v>17</v>
      </c>
      <c r="AK657" s="2" t="s">
        <v>17</v>
      </c>
      <c r="AL657" s="22" t="s">
        <v>17</v>
      </c>
      <c r="AM657" s="4" t="s">
        <v>17</v>
      </c>
      <c r="AN657" s="24" t="s">
        <v>17</v>
      </c>
      <c r="AO657" s="24" t="s">
        <v>17</v>
      </c>
      <c r="AP657" s="1" t="s">
        <v>17</v>
      </c>
      <c r="AQ657" s="2" t="s">
        <v>17</v>
      </c>
      <c r="AR657" s="2" t="s">
        <v>17</v>
      </c>
      <c r="AS657" s="3"/>
      <c r="AT657" s="2"/>
      <c r="AU657" s="4"/>
      <c r="AV657" s="2"/>
      <c r="AW657" s="20" t="s">
        <v>17</v>
      </c>
      <c r="AX657" s="20" t="s">
        <v>17</v>
      </c>
      <c r="AY657" s="20" t="s">
        <v>17</v>
      </c>
      <c r="AZ657" s="5"/>
      <c r="BA657" s="6"/>
      <c r="BB657" s="4"/>
      <c r="BC657" s="6"/>
      <c r="BD657" s="6"/>
      <c r="BE657" s="6"/>
      <c r="BF657" s="7"/>
    </row>
    <row r="658" spans="1:58" ht="18" customHeight="1">
      <c r="A658" s="107" t="s">
        <v>15</v>
      </c>
      <c r="B658" s="93" t="s">
        <v>631</v>
      </c>
      <c r="C658" s="42">
        <v>1646</v>
      </c>
      <c r="D658" s="42">
        <v>1646.12</v>
      </c>
      <c r="E658" s="42">
        <v>1646.06</v>
      </c>
      <c r="F658" s="42">
        <v>1646.06</v>
      </c>
      <c r="G658" s="43">
        <v>120236.840987348</v>
      </c>
      <c r="H658" s="43">
        <v>117496.77934777</v>
      </c>
      <c r="I658" s="27">
        <f t="shared" si="27"/>
        <v>2</v>
      </c>
      <c r="J658" s="27">
        <f t="shared" si="29"/>
        <v>2</v>
      </c>
      <c r="K658" s="27">
        <f t="shared" si="28"/>
        <v>1</v>
      </c>
      <c r="L658" s="25">
        <v>504.37734975000001</v>
      </c>
      <c r="M658" s="25">
        <v>507.77607443743398</v>
      </c>
      <c r="N658" s="38">
        <v>0.52155724700042594</v>
      </c>
      <c r="O658" s="38">
        <v>-7.5203945151681717</v>
      </c>
      <c r="P658" s="71">
        <v>-9.6191377137412317</v>
      </c>
      <c r="Q658" s="53">
        <v>42403</v>
      </c>
      <c r="R658" s="23">
        <v>5</v>
      </c>
      <c r="S658" s="24">
        <v>505.16865849999999</v>
      </c>
      <c r="T658" s="24">
        <v>508.55232805049036</v>
      </c>
      <c r="U658" s="1">
        <v>0.51842869435758665</v>
      </c>
      <c r="V658" s="2"/>
      <c r="W658" s="2"/>
      <c r="X658" s="22">
        <v>42403</v>
      </c>
      <c r="Y658" s="23">
        <v>8</v>
      </c>
      <c r="Z658" s="24">
        <v>503.58604100000002</v>
      </c>
      <c r="AA658" s="24">
        <v>506.99982082437765</v>
      </c>
      <c r="AB658" s="1">
        <v>0.52468579964326523</v>
      </c>
      <c r="AC658" s="2">
        <v>-7.5203945151681717</v>
      </c>
      <c r="AD658" s="2">
        <v>-9.6191377137412317</v>
      </c>
      <c r="AE658" s="22" t="s">
        <v>17</v>
      </c>
      <c r="AF658" s="23"/>
      <c r="AG658" s="24" t="s">
        <v>17</v>
      </c>
      <c r="AH658" s="24" t="s">
        <v>17</v>
      </c>
      <c r="AI658" s="1" t="s">
        <v>17</v>
      </c>
      <c r="AJ658" s="2" t="s">
        <v>17</v>
      </c>
      <c r="AK658" s="2" t="s">
        <v>17</v>
      </c>
      <c r="AL658" s="22" t="s">
        <v>17</v>
      </c>
      <c r="AM658" s="4" t="s">
        <v>17</v>
      </c>
      <c r="AN658" s="24" t="s">
        <v>17</v>
      </c>
      <c r="AO658" s="24" t="s">
        <v>17</v>
      </c>
      <c r="AP658" s="1" t="s">
        <v>17</v>
      </c>
      <c r="AQ658" s="2" t="s">
        <v>17</v>
      </c>
      <c r="AR658" s="2" t="s">
        <v>17</v>
      </c>
      <c r="AS658" s="3"/>
      <c r="AT658" s="2"/>
      <c r="AU658" s="4"/>
      <c r="AV658" s="2"/>
      <c r="AW658" s="20" t="s">
        <v>17</v>
      </c>
      <c r="AX658" s="20" t="s">
        <v>17</v>
      </c>
      <c r="AY658" s="20" t="s">
        <v>17</v>
      </c>
      <c r="AZ658" s="5"/>
      <c r="BA658" s="6"/>
      <c r="BB658" s="4"/>
      <c r="BC658" s="6"/>
      <c r="BD658" s="6"/>
      <c r="BE658" s="6"/>
      <c r="BF658" s="7"/>
    </row>
    <row r="659" spans="1:58" ht="18" customHeight="1">
      <c r="A659" s="107" t="s">
        <v>15</v>
      </c>
      <c r="B659" s="93" t="s">
        <v>632</v>
      </c>
      <c r="C659" s="42">
        <v>1651.5</v>
      </c>
      <c r="D659" s="42">
        <v>1651.62</v>
      </c>
      <c r="E659" s="42">
        <v>1651.56</v>
      </c>
      <c r="F659" s="42">
        <v>1651.56</v>
      </c>
      <c r="G659" s="43">
        <v>120774.40480735</v>
      </c>
      <c r="H659" s="43">
        <v>118132.257376319</v>
      </c>
      <c r="I659" s="27">
        <f t="shared" si="27"/>
        <v>1</v>
      </c>
      <c r="J659" s="27">
        <f t="shared" si="29"/>
        <v>1</v>
      </c>
      <c r="K659" s="27">
        <f t="shared" si="28"/>
        <v>1</v>
      </c>
      <c r="L659" s="25">
        <v>512.79592099999991</v>
      </c>
      <c r="M659" s="25">
        <v>516.21698404453218</v>
      </c>
      <c r="N659" s="38">
        <v>0.51636167624957707</v>
      </c>
      <c r="O659" s="38">
        <v>-6.1512706245745452</v>
      </c>
      <c r="P659" s="71">
        <v>-8.2167173295728535</v>
      </c>
      <c r="Q659" s="53">
        <v>42566</v>
      </c>
      <c r="R659" s="23">
        <v>10</v>
      </c>
      <c r="S659" s="24">
        <v>512.79592099999991</v>
      </c>
      <c r="T659" s="24">
        <v>516.21698404453218</v>
      </c>
      <c r="U659" s="1">
        <v>0.51636167624957707</v>
      </c>
      <c r="V659" s="2">
        <v>-6.1512706245745452</v>
      </c>
      <c r="W659" s="2">
        <v>-8.2167173295728535</v>
      </c>
      <c r="X659" s="22" t="s">
        <v>17</v>
      </c>
      <c r="Y659" s="23"/>
      <c r="Z659" s="24" t="s">
        <v>17</v>
      </c>
      <c r="AA659" s="24" t="s">
        <v>17</v>
      </c>
      <c r="AB659" s="1" t="s">
        <v>17</v>
      </c>
      <c r="AC659" s="2" t="s">
        <v>17</v>
      </c>
      <c r="AD659" s="2" t="s">
        <v>17</v>
      </c>
      <c r="AE659" s="22" t="s">
        <v>17</v>
      </c>
      <c r="AF659" s="23"/>
      <c r="AG659" s="24" t="s">
        <v>17</v>
      </c>
      <c r="AH659" s="24" t="s">
        <v>17</v>
      </c>
      <c r="AI659" s="1" t="s">
        <v>17</v>
      </c>
      <c r="AJ659" s="2" t="s">
        <v>17</v>
      </c>
      <c r="AK659" s="2" t="s">
        <v>17</v>
      </c>
      <c r="AL659" s="22" t="s">
        <v>17</v>
      </c>
      <c r="AM659" s="4" t="s">
        <v>17</v>
      </c>
      <c r="AN659" s="24" t="s">
        <v>17</v>
      </c>
      <c r="AO659" s="24" t="s">
        <v>17</v>
      </c>
      <c r="AP659" s="1" t="s">
        <v>17</v>
      </c>
      <c r="AQ659" s="2" t="s">
        <v>17</v>
      </c>
      <c r="AR659" s="2" t="s">
        <v>17</v>
      </c>
      <c r="AS659" s="3"/>
      <c r="AT659" s="2"/>
      <c r="AU659" s="4"/>
      <c r="AV659" s="2"/>
      <c r="AW659" s="20" t="s">
        <v>17</v>
      </c>
      <c r="AX659" s="20" t="s">
        <v>17</v>
      </c>
      <c r="AY659" s="20" t="s">
        <v>17</v>
      </c>
      <c r="AZ659" s="5"/>
      <c r="BA659" s="6"/>
      <c r="BB659" s="4"/>
      <c r="BC659" s="6"/>
      <c r="BD659" s="6"/>
      <c r="BE659" s="6"/>
      <c r="BF659" s="7"/>
    </row>
    <row r="660" spans="1:58" ht="18" customHeight="1">
      <c r="A660" s="107" t="s">
        <v>15</v>
      </c>
      <c r="B660" s="93" t="s">
        <v>633</v>
      </c>
      <c r="C660" s="42">
        <v>1655.5</v>
      </c>
      <c r="D660" s="42">
        <v>1655.58</v>
      </c>
      <c r="E660" s="42">
        <v>1655.54</v>
      </c>
      <c r="F660" s="42">
        <v>1655.54</v>
      </c>
      <c r="G660" s="43">
        <v>121132.972365578</v>
      </c>
      <c r="H660" s="43">
        <v>118589.196206325</v>
      </c>
      <c r="I660" s="27">
        <f t="shared" si="27"/>
        <v>1</v>
      </c>
      <c r="J660" s="27">
        <f t="shared" si="29"/>
        <v>1</v>
      </c>
      <c r="K660" s="27">
        <f t="shared" si="28"/>
        <v>1</v>
      </c>
      <c r="L660" s="25">
        <v>512.32043799999997</v>
      </c>
      <c r="M660" s="25">
        <v>508.43103211799564</v>
      </c>
      <c r="N660" s="38">
        <v>0.53350944824059887</v>
      </c>
      <c r="O660" s="38">
        <v>-6.3937483394019834</v>
      </c>
      <c r="P660" s="71">
        <v>-8.5277861323643798</v>
      </c>
      <c r="Q660" s="53">
        <v>42468</v>
      </c>
      <c r="R660" s="23">
        <v>9</v>
      </c>
      <c r="S660" s="24">
        <v>512.32043799999997</v>
      </c>
      <c r="T660" s="24">
        <v>508.43103211799564</v>
      </c>
      <c r="U660" s="1">
        <v>0.53350944824059887</v>
      </c>
      <c r="V660" s="2">
        <v>-6.3937483394019834</v>
      </c>
      <c r="W660" s="2">
        <v>-8.5277861323643798</v>
      </c>
      <c r="X660" s="22" t="s">
        <v>17</v>
      </c>
      <c r="Y660" s="23"/>
      <c r="Z660" s="24" t="s">
        <v>17</v>
      </c>
      <c r="AA660" s="24" t="s">
        <v>17</v>
      </c>
      <c r="AB660" s="1" t="s">
        <v>17</v>
      </c>
      <c r="AC660" s="2" t="s">
        <v>17</v>
      </c>
      <c r="AD660" s="2" t="s">
        <v>17</v>
      </c>
      <c r="AE660" s="22" t="s">
        <v>17</v>
      </c>
      <c r="AF660" s="23"/>
      <c r="AG660" s="24" t="s">
        <v>17</v>
      </c>
      <c r="AH660" s="24" t="s">
        <v>17</v>
      </c>
      <c r="AI660" s="1" t="s">
        <v>17</v>
      </c>
      <c r="AJ660" s="2" t="s">
        <v>17</v>
      </c>
      <c r="AK660" s="2" t="s">
        <v>17</v>
      </c>
      <c r="AL660" s="22" t="s">
        <v>17</v>
      </c>
      <c r="AM660" s="4" t="s">
        <v>17</v>
      </c>
      <c r="AN660" s="24" t="s">
        <v>17</v>
      </c>
      <c r="AO660" s="24" t="s">
        <v>17</v>
      </c>
      <c r="AP660" s="1" t="s">
        <v>17</v>
      </c>
      <c r="AQ660" s="2" t="s">
        <v>17</v>
      </c>
      <c r="AR660" s="2" t="s">
        <v>17</v>
      </c>
      <c r="AS660" s="3"/>
      <c r="AT660" s="2"/>
      <c r="AU660" s="4"/>
      <c r="AV660" s="2"/>
      <c r="AW660" s="20" t="s">
        <v>17</v>
      </c>
      <c r="AX660" s="20" t="s">
        <v>17</v>
      </c>
      <c r="AY660" s="20" t="s">
        <v>17</v>
      </c>
      <c r="AZ660" s="5"/>
      <c r="BA660" s="6"/>
      <c r="BB660" s="4"/>
      <c r="BC660" s="6"/>
      <c r="BD660" s="6"/>
      <c r="BE660" s="6"/>
      <c r="BF660" s="7"/>
    </row>
    <row r="661" spans="1:58" ht="18" customHeight="1">
      <c r="A661" s="107" t="s">
        <v>15</v>
      </c>
      <c r="B661" s="93" t="s">
        <v>634</v>
      </c>
      <c r="C661" s="42">
        <v>1660.5</v>
      </c>
      <c r="D661" s="42">
        <v>1660.62</v>
      </c>
      <c r="E661" s="42">
        <v>1660.56</v>
      </c>
      <c r="F661" s="42">
        <v>1660.56</v>
      </c>
      <c r="G661" s="43">
        <v>121599.915069237</v>
      </c>
      <c r="H661" s="43">
        <v>119104.90935066799</v>
      </c>
      <c r="I661" s="27">
        <f t="shared" si="27"/>
        <v>1</v>
      </c>
      <c r="J661" s="27">
        <f t="shared" si="29"/>
        <v>1</v>
      </c>
      <c r="K661" s="27">
        <f t="shared" si="28"/>
        <v>1</v>
      </c>
      <c r="L661" s="25">
        <v>548.28562899999997</v>
      </c>
      <c r="M661" s="25">
        <v>551.82413051689127</v>
      </c>
      <c r="N661" s="38">
        <v>0.49951669695280643</v>
      </c>
      <c r="O661" s="38">
        <v>-6.0492617084659805</v>
      </c>
      <c r="P661" s="71">
        <v>-8.0473284962772063</v>
      </c>
      <c r="Q661" s="53">
        <v>42565</v>
      </c>
      <c r="R661" s="23">
        <v>10</v>
      </c>
      <c r="S661" s="24">
        <v>548.28562899999997</v>
      </c>
      <c r="T661" s="24">
        <v>551.82413051689127</v>
      </c>
      <c r="U661" s="1">
        <v>0.49951669695280643</v>
      </c>
      <c r="V661" s="2">
        <v>-6.0492617084659805</v>
      </c>
      <c r="W661" s="2">
        <v>-8.0473284962772063</v>
      </c>
      <c r="X661" s="22" t="s">
        <v>17</v>
      </c>
      <c r="Y661" s="23"/>
      <c r="Z661" s="24" t="s">
        <v>17</v>
      </c>
      <c r="AA661" s="24" t="s">
        <v>17</v>
      </c>
      <c r="AB661" s="1" t="s">
        <v>17</v>
      </c>
      <c r="AC661" s="2" t="s">
        <v>17</v>
      </c>
      <c r="AD661" s="2" t="s">
        <v>17</v>
      </c>
      <c r="AE661" s="22" t="s">
        <v>17</v>
      </c>
      <c r="AF661" s="23"/>
      <c r="AG661" s="24" t="s">
        <v>17</v>
      </c>
      <c r="AH661" s="24" t="s">
        <v>17</v>
      </c>
      <c r="AI661" s="1" t="s">
        <v>17</v>
      </c>
      <c r="AJ661" s="2" t="s">
        <v>17</v>
      </c>
      <c r="AK661" s="2" t="s">
        <v>17</v>
      </c>
      <c r="AL661" s="22" t="s">
        <v>17</v>
      </c>
      <c r="AM661" s="4" t="s">
        <v>17</v>
      </c>
      <c r="AN661" s="24" t="s">
        <v>17</v>
      </c>
      <c r="AO661" s="24" t="s">
        <v>17</v>
      </c>
      <c r="AP661" s="1" t="s">
        <v>17</v>
      </c>
      <c r="AQ661" s="2" t="s">
        <v>17</v>
      </c>
      <c r="AR661" s="2" t="s">
        <v>17</v>
      </c>
      <c r="AS661" s="3"/>
      <c r="AT661" s="2"/>
      <c r="AU661" s="4"/>
      <c r="AV661" s="2"/>
      <c r="AW661" s="20" t="s">
        <v>17</v>
      </c>
      <c r="AX661" s="20" t="s">
        <v>17</v>
      </c>
      <c r="AY661" s="20" t="s">
        <v>17</v>
      </c>
      <c r="AZ661" s="5"/>
      <c r="BA661" s="6"/>
      <c r="BB661" s="4"/>
      <c r="BC661" s="6"/>
      <c r="BD661" s="6"/>
      <c r="BE661" s="6"/>
      <c r="BF661" s="7"/>
    </row>
    <row r="662" spans="1:58" ht="18" customHeight="1">
      <c r="A662" s="107" t="s">
        <v>15</v>
      </c>
      <c r="B662" s="93" t="s">
        <v>635</v>
      </c>
      <c r="C662" s="42">
        <v>1665.5</v>
      </c>
      <c r="D662" s="42">
        <v>1665.62</v>
      </c>
      <c r="E662" s="42">
        <v>1665.56</v>
      </c>
      <c r="F662" s="42">
        <v>1665.56</v>
      </c>
      <c r="G662" s="43">
        <v>122069.44871115001</v>
      </c>
      <c r="H662" s="43">
        <v>119607.871124884</v>
      </c>
      <c r="I662" s="27">
        <f t="shared" si="27"/>
        <v>2</v>
      </c>
      <c r="J662" s="27">
        <f t="shared" si="29"/>
        <v>2</v>
      </c>
      <c r="K662" s="27">
        <f t="shared" si="28"/>
        <v>2</v>
      </c>
      <c r="L662" s="25">
        <v>560.70835499999998</v>
      </c>
      <c r="M662" s="25">
        <v>564.52684460733235</v>
      </c>
      <c r="N662" s="38">
        <v>0.52708592355477091</v>
      </c>
      <c r="O662" s="38">
        <v>-6.3145504906806371</v>
      </c>
      <c r="P662" s="71">
        <v>-8.4228941848997216</v>
      </c>
      <c r="Q662" s="53">
        <v>42417</v>
      </c>
      <c r="R662" s="23">
        <v>9</v>
      </c>
      <c r="S662" s="24">
        <v>559.56656150000003</v>
      </c>
      <c r="T662" s="24">
        <v>563.33127588950424</v>
      </c>
      <c r="U662" s="1">
        <v>0.52073619601933352</v>
      </c>
      <c r="V662" s="2">
        <v>-6.3552139246683126</v>
      </c>
      <c r="W662" s="2">
        <v>-8.4381587087456467</v>
      </c>
      <c r="X662" s="22">
        <v>42417</v>
      </c>
      <c r="Y662" s="23">
        <v>9</v>
      </c>
      <c r="Z662" s="24">
        <v>561.85014849999993</v>
      </c>
      <c r="AA662" s="24">
        <v>565.72241332516046</v>
      </c>
      <c r="AB662" s="1">
        <v>0.5334356510902083</v>
      </c>
      <c r="AC662" s="2">
        <v>-6.2738870566929617</v>
      </c>
      <c r="AD662" s="2">
        <v>-8.4076296610537948</v>
      </c>
      <c r="AE662" s="22" t="s">
        <v>17</v>
      </c>
      <c r="AF662" s="23"/>
      <c r="AG662" s="24" t="s">
        <v>17</v>
      </c>
      <c r="AH662" s="24" t="s">
        <v>17</v>
      </c>
      <c r="AI662" s="1" t="s">
        <v>17</v>
      </c>
      <c r="AJ662" s="2" t="s">
        <v>17</v>
      </c>
      <c r="AK662" s="2" t="s">
        <v>17</v>
      </c>
      <c r="AL662" s="22" t="s">
        <v>17</v>
      </c>
      <c r="AM662" s="4" t="s">
        <v>17</v>
      </c>
      <c r="AN662" s="24" t="s">
        <v>17</v>
      </c>
      <c r="AO662" s="24" t="s">
        <v>17</v>
      </c>
      <c r="AP662" s="1" t="s">
        <v>17</v>
      </c>
      <c r="AQ662" s="2" t="s">
        <v>17</v>
      </c>
      <c r="AR662" s="2" t="s">
        <v>17</v>
      </c>
      <c r="AS662" s="3"/>
      <c r="AT662" s="2"/>
      <c r="AU662" s="4"/>
      <c r="AV662" s="2"/>
      <c r="AW662" s="20" t="s">
        <v>17</v>
      </c>
      <c r="AX662" s="20" t="s">
        <v>17</v>
      </c>
      <c r="AY662" s="20" t="s">
        <v>17</v>
      </c>
      <c r="AZ662" s="5"/>
      <c r="BA662" s="6"/>
      <c r="BB662" s="4"/>
      <c r="BC662" s="6"/>
      <c r="BD662" s="6"/>
      <c r="BE662" s="6"/>
      <c r="BF662" s="7"/>
    </row>
    <row r="663" spans="1:58" ht="18" customHeight="1">
      <c r="A663" s="107" t="s">
        <v>15</v>
      </c>
      <c r="B663" s="93" t="s">
        <v>636</v>
      </c>
      <c r="C663" s="42">
        <v>1671.5</v>
      </c>
      <c r="D663" s="42">
        <v>1671.62</v>
      </c>
      <c r="E663" s="42">
        <v>1671.56</v>
      </c>
      <c r="F663" s="42">
        <v>1671.56</v>
      </c>
      <c r="G663" s="43">
        <v>122598.47854346401</v>
      </c>
      <c r="H663" s="43">
        <v>120172.402156957</v>
      </c>
      <c r="I663" s="27">
        <f t="shared" si="27"/>
        <v>1</v>
      </c>
      <c r="J663" s="27">
        <f t="shared" si="29"/>
        <v>1</v>
      </c>
      <c r="K663" s="27">
        <f t="shared" si="28"/>
        <v>1</v>
      </c>
      <c r="L663" s="25">
        <v>567.29079750000005</v>
      </c>
      <c r="M663" s="25">
        <v>571.11915230979605</v>
      </c>
      <c r="N663" s="38">
        <v>0.52232874759416958</v>
      </c>
      <c r="O663" s="38">
        <v>-5.963276005638285</v>
      </c>
      <c r="P663" s="71">
        <v>-8.0525909960149633</v>
      </c>
      <c r="Q663" s="53">
        <v>42537</v>
      </c>
      <c r="R663" s="23">
        <v>10</v>
      </c>
      <c r="S663" s="24">
        <v>567.29079750000005</v>
      </c>
      <c r="T663" s="24">
        <v>571.11915230979605</v>
      </c>
      <c r="U663" s="1">
        <v>0.52232874759416958</v>
      </c>
      <c r="V663" s="2">
        <v>-5.963276005638285</v>
      </c>
      <c r="W663" s="2">
        <v>-8.0525909960149633</v>
      </c>
      <c r="X663" s="22" t="s">
        <v>17</v>
      </c>
      <c r="Y663" s="23"/>
      <c r="Z663" s="24" t="s">
        <v>17</v>
      </c>
      <c r="AA663" s="24" t="s">
        <v>17</v>
      </c>
      <c r="AB663" s="1" t="s">
        <v>17</v>
      </c>
      <c r="AC663" s="2" t="s">
        <v>17</v>
      </c>
      <c r="AD663" s="2" t="s">
        <v>17</v>
      </c>
      <c r="AE663" s="22" t="s">
        <v>17</v>
      </c>
      <c r="AF663" s="23"/>
      <c r="AG663" s="24" t="s">
        <v>17</v>
      </c>
      <c r="AH663" s="24" t="s">
        <v>17</v>
      </c>
      <c r="AI663" s="1" t="s">
        <v>17</v>
      </c>
      <c r="AJ663" s="2" t="s">
        <v>17</v>
      </c>
      <c r="AK663" s="2" t="s">
        <v>17</v>
      </c>
      <c r="AL663" s="22" t="s">
        <v>17</v>
      </c>
      <c r="AM663" s="4" t="s">
        <v>17</v>
      </c>
      <c r="AN663" s="24" t="s">
        <v>17</v>
      </c>
      <c r="AO663" s="24" t="s">
        <v>17</v>
      </c>
      <c r="AP663" s="1" t="s">
        <v>17</v>
      </c>
      <c r="AQ663" s="2" t="s">
        <v>17</v>
      </c>
      <c r="AR663" s="2" t="s">
        <v>17</v>
      </c>
      <c r="AS663" s="3"/>
      <c r="AT663" s="2"/>
      <c r="AU663" s="4"/>
      <c r="AV663" s="2"/>
      <c r="AW663" s="20" t="s">
        <v>17</v>
      </c>
      <c r="AX663" s="20" t="s">
        <v>17</v>
      </c>
      <c r="AY663" s="20" t="s">
        <v>17</v>
      </c>
      <c r="AZ663" s="5"/>
      <c r="BA663" s="6"/>
      <c r="BB663" s="4"/>
      <c r="BC663" s="6"/>
      <c r="BD663" s="6"/>
      <c r="BE663" s="6"/>
      <c r="BF663" s="7"/>
    </row>
    <row r="664" spans="1:58" ht="18" customHeight="1">
      <c r="A664" s="107" t="s">
        <v>15</v>
      </c>
      <c r="B664" s="93" t="s">
        <v>637</v>
      </c>
      <c r="C664" s="42">
        <v>1676.5150000000001</v>
      </c>
      <c r="D664" s="42">
        <v>1676.595</v>
      </c>
      <c r="E664" s="42">
        <v>1676.5550000000001</v>
      </c>
      <c r="F664" s="42">
        <v>1676.5550000000001</v>
      </c>
      <c r="G664" s="43">
        <v>123042.337552799</v>
      </c>
      <c r="H664" s="43">
        <v>120663.60991178799</v>
      </c>
      <c r="I664" s="27">
        <f t="shared" si="27"/>
        <v>1</v>
      </c>
      <c r="J664" s="27">
        <f t="shared" si="29"/>
        <v>1</v>
      </c>
      <c r="K664" s="27">
        <f t="shared" si="28"/>
        <v>1</v>
      </c>
      <c r="L664" s="25">
        <v>577.88652550000006</v>
      </c>
      <c r="M664" s="25">
        <v>574.45940103454507</v>
      </c>
      <c r="N664" s="38">
        <v>0.53491198120392269</v>
      </c>
      <c r="O664" s="38">
        <v>-7.2085432691255669</v>
      </c>
      <c r="P664" s="71">
        <v>-9.3481911939412576</v>
      </c>
      <c r="Q664" s="53">
        <v>42468</v>
      </c>
      <c r="R664" s="23">
        <v>9</v>
      </c>
      <c r="S664" s="24">
        <v>577.88652550000006</v>
      </c>
      <c r="T664" s="24">
        <v>574.45940103454507</v>
      </c>
      <c r="U664" s="1">
        <v>0.53491198120392269</v>
      </c>
      <c r="V664" s="2">
        <v>-7.2085432691255669</v>
      </c>
      <c r="W664" s="2">
        <v>-9.3481911939412576</v>
      </c>
      <c r="X664" s="22" t="s">
        <v>17</v>
      </c>
      <c r="Y664" s="23"/>
      <c r="Z664" s="24" t="s">
        <v>17</v>
      </c>
      <c r="AA664" s="24" t="s">
        <v>17</v>
      </c>
      <c r="AB664" s="1" t="s">
        <v>17</v>
      </c>
      <c r="AC664" s="2" t="s">
        <v>17</v>
      </c>
      <c r="AD664" s="2" t="s">
        <v>17</v>
      </c>
      <c r="AE664" s="22" t="s">
        <v>17</v>
      </c>
      <c r="AF664" s="23"/>
      <c r="AG664" s="24" t="s">
        <v>17</v>
      </c>
      <c r="AH664" s="24" t="s">
        <v>17</v>
      </c>
      <c r="AI664" s="1" t="s">
        <v>17</v>
      </c>
      <c r="AJ664" s="2" t="s">
        <v>17</v>
      </c>
      <c r="AK664" s="2" t="s">
        <v>17</v>
      </c>
      <c r="AL664" s="22" t="s">
        <v>17</v>
      </c>
      <c r="AM664" s="4" t="s">
        <v>17</v>
      </c>
      <c r="AN664" s="24" t="s">
        <v>17</v>
      </c>
      <c r="AO664" s="24" t="s">
        <v>17</v>
      </c>
      <c r="AP664" s="1" t="s">
        <v>17</v>
      </c>
      <c r="AQ664" s="2" t="s">
        <v>17</v>
      </c>
      <c r="AR664" s="2" t="s">
        <v>17</v>
      </c>
      <c r="AS664" s="3"/>
      <c r="AT664" s="2"/>
      <c r="AU664" s="4"/>
      <c r="AV664" s="2"/>
      <c r="AW664" s="20" t="s">
        <v>17</v>
      </c>
      <c r="AX664" s="20" t="s">
        <v>17</v>
      </c>
      <c r="AY664" s="20" t="s">
        <v>17</v>
      </c>
      <c r="AZ664" s="5"/>
      <c r="BA664" s="6"/>
      <c r="BB664" s="4"/>
      <c r="BC664" s="6"/>
      <c r="BD664" s="6"/>
      <c r="BE664" s="6"/>
      <c r="BF664" s="7"/>
    </row>
    <row r="665" spans="1:58" ht="18" customHeight="1">
      <c r="A665" s="107" t="s">
        <v>15</v>
      </c>
      <c r="B665" s="93" t="s">
        <v>638</v>
      </c>
      <c r="C665" s="42">
        <v>1682</v>
      </c>
      <c r="D665" s="42">
        <v>1682.12</v>
      </c>
      <c r="E665" s="42">
        <v>1682.06</v>
      </c>
      <c r="F665" s="42">
        <v>1682.06</v>
      </c>
      <c r="G665" s="43">
        <v>123531.69544975</v>
      </c>
      <c r="H665" s="43">
        <v>121156.643547277</v>
      </c>
      <c r="I665" s="27">
        <f t="shared" si="27"/>
        <v>1</v>
      </c>
      <c r="J665" s="27">
        <f t="shared" si="29"/>
        <v>1</v>
      </c>
      <c r="K665" s="27">
        <f t="shared" si="28"/>
        <v>1</v>
      </c>
      <c r="L665" s="25">
        <v>580.52312899999993</v>
      </c>
      <c r="M665" s="25">
        <v>584.38831649158055</v>
      </c>
      <c r="N665" s="38">
        <v>0.51533367681444453</v>
      </c>
      <c r="O665" s="38">
        <v>-5.8844503743431531</v>
      </c>
      <c r="P665" s="71">
        <v>-7.9457850816009312</v>
      </c>
      <c r="Q665" s="53">
        <v>42528</v>
      </c>
      <c r="R665" s="23">
        <v>11</v>
      </c>
      <c r="S665" s="24">
        <v>580.52312899999993</v>
      </c>
      <c r="T665" s="24">
        <v>584.38831649158055</v>
      </c>
      <c r="U665" s="1">
        <v>0.51533367681444453</v>
      </c>
      <c r="V665" s="2">
        <v>-5.8844503743431531</v>
      </c>
      <c r="W665" s="2">
        <v>-7.9457850816009312</v>
      </c>
      <c r="X665" s="22" t="s">
        <v>17</v>
      </c>
      <c r="Y665" s="23"/>
      <c r="Z665" s="24" t="s">
        <v>17</v>
      </c>
      <c r="AA665" s="24" t="s">
        <v>17</v>
      </c>
      <c r="AB665" s="1" t="s">
        <v>17</v>
      </c>
      <c r="AC665" s="2" t="s">
        <v>17</v>
      </c>
      <c r="AD665" s="2" t="s">
        <v>17</v>
      </c>
      <c r="AE665" s="22" t="s">
        <v>17</v>
      </c>
      <c r="AF665" s="23"/>
      <c r="AG665" s="24" t="s">
        <v>17</v>
      </c>
      <c r="AH665" s="24" t="s">
        <v>17</v>
      </c>
      <c r="AI665" s="1" t="s">
        <v>17</v>
      </c>
      <c r="AJ665" s="2" t="s">
        <v>17</v>
      </c>
      <c r="AK665" s="2" t="s">
        <v>17</v>
      </c>
      <c r="AL665" s="22" t="s">
        <v>17</v>
      </c>
      <c r="AM665" s="4" t="s">
        <v>17</v>
      </c>
      <c r="AN665" s="24" t="s">
        <v>17</v>
      </c>
      <c r="AO665" s="24" t="s">
        <v>17</v>
      </c>
      <c r="AP665" s="1" t="s">
        <v>17</v>
      </c>
      <c r="AQ665" s="2" t="s">
        <v>17</v>
      </c>
      <c r="AR665" s="2" t="s">
        <v>17</v>
      </c>
      <c r="AS665" s="3"/>
      <c r="AT665" s="2"/>
      <c r="AU665" s="4"/>
      <c r="AV665" s="2"/>
      <c r="AW665" s="20" t="s">
        <v>17</v>
      </c>
      <c r="AX665" s="20" t="s">
        <v>17</v>
      </c>
      <c r="AY665" s="20" t="s">
        <v>17</v>
      </c>
      <c r="AZ665" s="5"/>
      <c r="BA665" s="6"/>
      <c r="BB665" s="4"/>
      <c r="BC665" s="6"/>
      <c r="BD665" s="6"/>
      <c r="BE665" s="6"/>
      <c r="BF665" s="7"/>
    </row>
    <row r="666" spans="1:58" ht="18" customHeight="1">
      <c r="A666" s="107" t="s">
        <v>15</v>
      </c>
      <c r="B666" s="93" t="s">
        <v>639</v>
      </c>
      <c r="C666" s="42">
        <v>1687.5</v>
      </c>
      <c r="D666" s="42">
        <v>1687.62</v>
      </c>
      <c r="E666" s="42">
        <v>1687.56</v>
      </c>
      <c r="F666" s="42">
        <v>1687.56</v>
      </c>
      <c r="G666" s="43">
        <v>124022.80683897001</v>
      </c>
      <c r="H666" s="43">
        <v>121679.864100024</v>
      </c>
      <c r="I666" s="27">
        <f t="shared" si="27"/>
        <v>2</v>
      </c>
      <c r="J666" s="27">
        <f t="shared" si="29"/>
        <v>2</v>
      </c>
      <c r="K666" s="27">
        <f t="shared" si="28"/>
        <v>2</v>
      </c>
      <c r="L666" s="25">
        <v>580.24360750000005</v>
      </c>
      <c r="M666" s="25">
        <v>576.74572852807819</v>
      </c>
      <c r="N666" s="38">
        <v>0.5231511266267086</v>
      </c>
      <c r="O666" s="38">
        <v>-5.2458050029248753</v>
      </c>
      <c r="P666" s="71">
        <v>-7.3384095094317097</v>
      </c>
      <c r="Q666" s="53">
        <v>42439</v>
      </c>
      <c r="R666" s="23">
        <v>9</v>
      </c>
      <c r="S666" s="24">
        <v>579.646433</v>
      </c>
      <c r="T666" s="24">
        <v>576.14083908673592</v>
      </c>
      <c r="U666" s="1">
        <v>0.52265412490304364</v>
      </c>
      <c r="V666" s="2">
        <v>-5.2738926518141049</v>
      </c>
      <c r="W666" s="2">
        <v>-7.3645091514262795</v>
      </c>
      <c r="X666" s="22">
        <v>42439</v>
      </c>
      <c r="Y666" s="23">
        <v>9</v>
      </c>
      <c r="Z666" s="24">
        <v>580.84078199999999</v>
      </c>
      <c r="AA666" s="24">
        <v>577.35061796942034</v>
      </c>
      <c r="AB666" s="1">
        <v>0.52364812835037355</v>
      </c>
      <c r="AC666" s="2">
        <v>-5.2177173540356447</v>
      </c>
      <c r="AD666" s="2">
        <v>-7.312309867437139</v>
      </c>
      <c r="AE666" s="22" t="s">
        <v>17</v>
      </c>
      <c r="AF666" s="23"/>
      <c r="AG666" s="24" t="s">
        <v>17</v>
      </c>
      <c r="AH666" s="24" t="s">
        <v>17</v>
      </c>
      <c r="AI666" s="1" t="s">
        <v>17</v>
      </c>
      <c r="AJ666" s="2" t="s">
        <v>17</v>
      </c>
      <c r="AK666" s="2" t="s">
        <v>17</v>
      </c>
      <c r="AL666" s="22" t="s">
        <v>17</v>
      </c>
      <c r="AM666" s="4" t="s">
        <v>17</v>
      </c>
      <c r="AN666" s="24" t="s">
        <v>17</v>
      </c>
      <c r="AO666" s="24" t="s">
        <v>17</v>
      </c>
      <c r="AP666" s="1" t="s">
        <v>17</v>
      </c>
      <c r="AQ666" s="2" t="s">
        <v>17</v>
      </c>
      <c r="AR666" s="2" t="s">
        <v>17</v>
      </c>
      <c r="AS666" s="3"/>
      <c r="AT666" s="2"/>
      <c r="AU666" s="4"/>
      <c r="AV666" s="2"/>
      <c r="AW666" s="20" t="s">
        <v>17</v>
      </c>
      <c r="AX666" s="20" t="s">
        <v>17</v>
      </c>
      <c r="AY666" s="20" t="s">
        <v>17</v>
      </c>
      <c r="AZ666" s="5"/>
      <c r="BA666" s="6"/>
      <c r="BB666" s="4"/>
      <c r="BC666" s="6"/>
      <c r="BD666" s="6"/>
      <c r="BE666" s="6"/>
      <c r="BF666" s="7"/>
    </row>
    <row r="667" spans="1:58" ht="18" customHeight="1">
      <c r="A667" s="107" t="s">
        <v>15</v>
      </c>
      <c r="B667" s="93" t="s">
        <v>640</v>
      </c>
      <c r="C667" s="42">
        <v>1693.5</v>
      </c>
      <c r="D667" s="42">
        <v>1693.575</v>
      </c>
      <c r="E667" s="42">
        <v>1693.5374999999999</v>
      </c>
      <c r="F667" s="42">
        <v>1693.5374999999999</v>
      </c>
      <c r="G667" s="43">
        <v>124547.086516763</v>
      </c>
      <c r="H667" s="43">
        <v>122247.34280652</v>
      </c>
      <c r="I667" s="27">
        <f t="shared" si="27"/>
        <v>1</v>
      </c>
      <c r="J667" s="27">
        <f t="shared" si="29"/>
        <v>1</v>
      </c>
      <c r="K667" s="27">
        <f t="shared" si="28"/>
        <v>1</v>
      </c>
      <c r="L667" s="25">
        <v>580.41864200000009</v>
      </c>
      <c r="M667" s="25">
        <v>584.4650044652883</v>
      </c>
      <c r="N667" s="38">
        <v>0.53958630316652823</v>
      </c>
      <c r="O667" s="38">
        <v>-6.0947117075903501</v>
      </c>
      <c r="P667" s="71">
        <v>-8.2530569202564621</v>
      </c>
      <c r="Q667" s="53">
        <v>42564</v>
      </c>
      <c r="R667" s="23">
        <v>10</v>
      </c>
      <c r="S667" s="24">
        <v>580.41864200000009</v>
      </c>
      <c r="T667" s="24">
        <v>584.4650044652883</v>
      </c>
      <c r="U667" s="1">
        <v>0.53958630316652823</v>
      </c>
      <c r="V667" s="2">
        <v>-6.0947117075903501</v>
      </c>
      <c r="W667" s="2">
        <v>-8.2530569202564621</v>
      </c>
      <c r="X667" s="22" t="s">
        <v>17</v>
      </c>
      <c r="Y667" s="23"/>
      <c r="Z667" s="24" t="s">
        <v>17</v>
      </c>
      <c r="AA667" s="24" t="s">
        <v>17</v>
      </c>
      <c r="AB667" s="1" t="s">
        <v>17</v>
      </c>
      <c r="AC667" s="2" t="s">
        <v>17</v>
      </c>
      <c r="AD667" s="2" t="s">
        <v>17</v>
      </c>
      <c r="AE667" s="22" t="s">
        <v>17</v>
      </c>
      <c r="AF667" s="23"/>
      <c r="AG667" s="24" t="s">
        <v>17</v>
      </c>
      <c r="AH667" s="24" t="s">
        <v>17</v>
      </c>
      <c r="AI667" s="1" t="s">
        <v>17</v>
      </c>
      <c r="AJ667" s="2" t="s">
        <v>17</v>
      </c>
      <c r="AK667" s="2" t="s">
        <v>17</v>
      </c>
      <c r="AL667" s="22" t="s">
        <v>17</v>
      </c>
      <c r="AM667" s="4" t="s">
        <v>17</v>
      </c>
      <c r="AN667" s="24" t="s">
        <v>17</v>
      </c>
      <c r="AO667" s="24" t="s">
        <v>17</v>
      </c>
      <c r="AP667" s="1" t="s">
        <v>17</v>
      </c>
      <c r="AQ667" s="2" t="s">
        <v>17</v>
      </c>
      <c r="AR667" s="2" t="s">
        <v>17</v>
      </c>
      <c r="AS667" s="3"/>
      <c r="AT667" s="2"/>
      <c r="AU667" s="4"/>
      <c r="AV667" s="2"/>
      <c r="AW667" s="20" t="s">
        <v>17</v>
      </c>
      <c r="AX667" s="20" t="s">
        <v>17</v>
      </c>
      <c r="AY667" s="20" t="s">
        <v>17</v>
      </c>
      <c r="AZ667" s="5"/>
      <c r="BA667" s="6"/>
      <c r="BB667" s="4"/>
      <c r="BC667" s="6"/>
      <c r="BD667" s="6"/>
      <c r="BE667" s="6"/>
      <c r="BF667" s="7"/>
    </row>
    <row r="668" spans="1:58" ht="18" customHeight="1">
      <c r="A668" s="107" t="s">
        <v>15</v>
      </c>
      <c r="B668" s="93" t="s">
        <v>641</v>
      </c>
      <c r="C668" s="42">
        <v>1698.5</v>
      </c>
      <c r="D668" s="42">
        <v>1698.58</v>
      </c>
      <c r="E668" s="42">
        <v>1698.54</v>
      </c>
      <c r="F668" s="42">
        <v>1698.54</v>
      </c>
      <c r="G668" s="43">
        <v>124981.805729756</v>
      </c>
      <c r="H668" s="43">
        <v>122699.64306073</v>
      </c>
      <c r="I668" s="27">
        <f t="shared" si="27"/>
        <v>1</v>
      </c>
      <c r="J668" s="27">
        <f t="shared" si="29"/>
        <v>1</v>
      </c>
      <c r="K668" s="27">
        <f t="shared" si="28"/>
        <v>1</v>
      </c>
      <c r="L668" s="25">
        <v>606.00306049999995</v>
      </c>
      <c r="M668" s="25">
        <v>602.69090657333106</v>
      </c>
      <c r="N668" s="38">
        <v>0.52465323785377826</v>
      </c>
      <c r="O668" s="38">
        <v>-5.6875207949630413</v>
      </c>
      <c r="P668" s="71">
        <v>-7.7861337463781544</v>
      </c>
      <c r="Q668" s="53">
        <v>42468</v>
      </c>
      <c r="R668" s="23">
        <v>9</v>
      </c>
      <c r="S668" s="24">
        <v>606.00306049999995</v>
      </c>
      <c r="T668" s="24">
        <v>602.69090657333106</v>
      </c>
      <c r="U668" s="1">
        <v>0.52465323785377826</v>
      </c>
      <c r="V668" s="2">
        <v>-5.6875207949630413</v>
      </c>
      <c r="W668" s="2">
        <v>-7.7861337463781544</v>
      </c>
      <c r="X668" s="22" t="s">
        <v>17</v>
      </c>
      <c r="Y668" s="23"/>
      <c r="Z668" s="24" t="s">
        <v>17</v>
      </c>
      <c r="AA668" s="24" t="s">
        <v>17</v>
      </c>
      <c r="AB668" s="1" t="s">
        <v>17</v>
      </c>
      <c r="AC668" s="2" t="s">
        <v>17</v>
      </c>
      <c r="AD668" s="2" t="s">
        <v>17</v>
      </c>
      <c r="AE668" s="22" t="s">
        <v>17</v>
      </c>
      <c r="AF668" s="23"/>
      <c r="AG668" s="24" t="s">
        <v>17</v>
      </c>
      <c r="AH668" s="24" t="s">
        <v>17</v>
      </c>
      <c r="AI668" s="1" t="s">
        <v>17</v>
      </c>
      <c r="AJ668" s="2" t="s">
        <v>17</v>
      </c>
      <c r="AK668" s="2" t="s">
        <v>17</v>
      </c>
      <c r="AL668" s="22" t="s">
        <v>17</v>
      </c>
      <c r="AM668" s="4" t="s">
        <v>17</v>
      </c>
      <c r="AN668" s="24" t="s">
        <v>17</v>
      </c>
      <c r="AO668" s="24" t="s">
        <v>17</v>
      </c>
      <c r="AP668" s="1" t="s">
        <v>17</v>
      </c>
      <c r="AQ668" s="2" t="s">
        <v>17</v>
      </c>
      <c r="AR668" s="2" t="s">
        <v>17</v>
      </c>
      <c r="AS668" s="3"/>
      <c r="AT668" s="2"/>
      <c r="AU668" s="4"/>
      <c r="AV668" s="2"/>
      <c r="AW668" s="20" t="s">
        <v>17</v>
      </c>
      <c r="AX668" s="20" t="s">
        <v>17</v>
      </c>
      <c r="AY668" s="20" t="s">
        <v>17</v>
      </c>
      <c r="AZ668" s="5"/>
      <c r="BA668" s="6"/>
      <c r="BB668" s="4"/>
      <c r="BC668" s="6"/>
      <c r="BD668" s="6"/>
      <c r="BE668" s="6"/>
      <c r="BF668" s="7"/>
    </row>
    <row r="669" spans="1:58" ht="18" customHeight="1">
      <c r="A669" s="107" t="s">
        <v>15</v>
      </c>
      <c r="B669" s="93" t="s">
        <v>642</v>
      </c>
      <c r="C669" s="42">
        <v>1705.5</v>
      </c>
      <c r="D669" s="42">
        <v>1705.62</v>
      </c>
      <c r="E669" s="42">
        <v>1705.56</v>
      </c>
      <c r="F669" s="42">
        <v>1705.56</v>
      </c>
      <c r="G669" s="43">
        <v>125579.453413861</v>
      </c>
      <c r="H669" s="43">
        <v>123333.03394127</v>
      </c>
      <c r="I669" s="27">
        <f t="shared" si="27"/>
        <v>1</v>
      </c>
      <c r="J669" s="27">
        <f t="shared" si="29"/>
        <v>1</v>
      </c>
      <c r="K669" s="27">
        <f t="shared" si="28"/>
        <v>1</v>
      </c>
      <c r="L669" s="25">
        <v>605.57016999999996</v>
      </c>
      <c r="M669" s="25">
        <v>609.69372386345424</v>
      </c>
      <c r="N669" s="38">
        <v>0.52704134311509776</v>
      </c>
      <c r="O669" s="38">
        <v>-5.2783764418221635</v>
      </c>
      <c r="P669" s="71">
        <v>-7.3865418142825545</v>
      </c>
      <c r="Q669" s="53">
        <v>42564</v>
      </c>
      <c r="R669" s="23">
        <v>9</v>
      </c>
      <c r="S669" s="24">
        <v>605.57016999999996</v>
      </c>
      <c r="T669" s="24">
        <v>609.69372386345424</v>
      </c>
      <c r="U669" s="1">
        <v>0.52704134311509776</v>
      </c>
      <c r="V669" s="2">
        <v>-5.2783764418221635</v>
      </c>
      <c r="W669" s="2">
        <v>-7.3865418142825545</v>
      </c>
      <c r="X669" s="22" t="s">
        <v>17</v>
      </c>
      <c r="Y669" s="23"/>
      <c r="Z669" s="24" t="s">
        <v>17</v>
      </c>
      <c r="AA669" s="24" t="s">
        <v>17</v>
      </c>
      <c r="AB669" s="1" t="s">
        <v>17</v>
      </c>
      <c r="AC669" s="2" t="s">
        <v>17</v>
      </c>
      <c r="AD669" s="2" t="s">
        <v>17</v>
      </c>
      <c r="AE669" s="22" t="s">
        <v>17</v>
      </c>
      <c r="AF669" s="23"/>
      <c r="AG669" s="24" t="s">
        <v>17</v>
      </c>
      <c r="AH669" s="24" t="s">
        <v>17</v>
      </c>
      <c r="AI669" s="1" t="s">
        <v>17</v>
      </c>
      <c r="AJ669" s="2" t="s">
        <v>17</v>
      </c>
      <c r="AK669" s="2" t="s">
        <v>17</v>
      </c>
      <c r="AL669" s="22" t="s">
        <v>17</v>
      </c>
      <c r="AM669" s="4" t="s">
        <v>17</v>
      </c>
      <c r="AN669" s="24" t="s">
        <v>17</v>
      </c>
      <c r="AO669" s="24" t="s">
        <v>17</v>
      </c>
      <c r="AP669" s="1" t="s">
        <v>17</v>
      </c>
      <c r="AQ669" s="2" t="s">
        <v>17</v>
      </c>
      <c r="AR669" s="2" t="s">
        <v>17</v>
      </c>
      <c r="AS669" s="3"/>
      <c r="AT669" s="2"/>
      <c r="AU669" s="4"/>
      <c r="AV669" s="2"/>
      <c r="AW669" s="20" t="s">
        <v>17</v>
      </c>
      <c r="AX669" s="20" t="s">
        <v>17</v>
      </c>
      <c r="AY669" s="20" t="s">
        <v>17</v>
      </c>
      <c r="AZ669" s="5"/>
      <c r="BA669" s="6"/>
      <c r="BB669" s="4"/>
      <c r="BC669" s="6"/>
      <c r="BD669" s="6"/>
      <c r="BE669" s="6"/>
      <c r="BF669" s="7"/>
    </row>
    <row r="670" spans="1:58" ht="18" customHeight="1">
      <c r="A670" s="107" t="s">
        <v>15</v>
      </c>
      <c r="B670" s="93" t="s">
        <v>643</v>
      </c>
      <c r="C670" s="42">
        <v>1712.0350000000001</v>
      </c>
      <c r="D670" s="42">
        <v>1712.155</v>
      </c>
      <c r="E670" s="42">
        <v>1712.095</v>
      </c>
      <c r="F670" s="42">
        <v>1712.095</v>
      </c>
      <c r="G670" s="43">
        <v>126130.067079395</v>
      </c>
      <c r="H670" s="43">
        <v>123927.36695799101</v>
      </c>
      <c r="I670" s="27">
        <f t="shared" si="27"/>
        <v>2</v>
      </c>
      <c r="J670" s="27">
        <f t="shared" si="29"/>
        <v>3</v>
      </c>
      <c r="K670" s="27">
        <f t="shared" si="28"/>
        <v>1</v>
      </c>
      <c r="L670" s="25">
        <v>610.75077624999994</v>
      </c>
      <c r="M670" s="25">
        <v>612.81685135204646</v>
      </c>
      <c r="N670" s="38">
        <v>0.51864250624045205</v>
      </c>
      <c r="O670" s="38">
        <v>-5.2591536856601007</v>
      </c>
      <c r="P670" s="71">
        <v>-7.3605052373932889</v>
      </c>
      <c r="Q670" s="53">
        <v>42419</v>
      </c>
      <c r="R670" s="23">
        <v>9</v>
      </c>
      <c r="S670" s="24">
        <v>612.70124599999997</v>
      </c>
      <c r="T670" s="24">
        <v>612.70124599999997</v>
      </c>
      <c r="U670" s="1"/>
      <c r="V670" s="2"/>
      <c r="W670" s="2"/>
      <c r="X670" s="22">
        <v>42419</v>
      </c>
      <c r="Y670" s="23">
        <v>9</v>
      </c>
      <c r="Z670" s="24">
        <v>608.80030650000003</v>
      </c>
      <c r="AA670" s="24">
        <v>612.93245670409294</v>
      </c>
      <c r="AB670" s="1">
        <v>0.52533788793329705</v>
      </c>
      <c r="AC670" s="2">
        <v>-5.2591536856601007</v>
      </c>
      <c r="AD670" s="2">
        <v>-7.3605052373932889</v>
      </c>
      <c r="AE670" s="22">
        <v>42752</v>
      </c>
      <c r="AF670" s="23" t="s">
        <v>88</v>
      </c>
      <c r="AG670" s="24"/>
      <c r="AH670" s="24"/>
      <c r="AI670" s="1">
        <v>0.5129031797497241</v>
      </c>
      <c r="AJ670" s="2"/>
      <c r="AK670" s="2"/>
      <c r="AL670" s="22">
        <v>42752</v>
      </c>
      <c r="AM670" s="4" t="s">
        <v>88</v>
      </c>
      <c r="AN670" s="24"/>
      <c r="AO670" s="24"/>
      <c r="AP670" s="1">
        <v>0.51768645103833499</v>
      </c>
      <c r="AQ670" s="2"/>
      <c r="AR670" s="2"/>
      <c r="AS670" s="3"/>
      <c r="AT670" s="2"/>
      <c r="AU670" s="4"/>
      <c r="AV670" s="2"/>
      <c r="AW670" s="20"/>
      <c r="AX670" s="20"/>
      <c r="AY670" s="20"/>
      <c r="AZ670" s="5"/>
      <c r="BA670" s="6"/>
      <c r="BB670" s="4"/>
      <c r="BC670" s="6"/>
      <c r="BD670" s="6"/>
      <c r="BE670" s="6"/>
      <c r="BF670" s="7"/>
    </row>
    <row r="671" spans="1:58" ht="18" customHeight="1">
      <c r="A671" s="107" t="s">
        <v>15</v>
      </c>
      <c r="B671" s="93" t="s">
        <v>644</v>
      </c>
      <c r="C671" s="42">
        <v>1718.5</v>
      </c>
      <c r="D671" s="42">
        <v>1718.62</v>
      </c>
      <c r="E671" s="42">
        <v>1718.56</v>
      </c>
      <c r="F671" s="42">
        <v>1718.56</v>
      </c>
      <c r="G671" s="43">
        <v>126688.40327926799</v>
      </c>
      <c r="H671" s="43">
        <v>124507.382843748</v>
      </c>
      <c r="I671" s="27">
        <f t="shared" si="27"/>
        <v>1</v>
      </c>
      <c r="J671" s="27">
        <f t="shared" si="29"/>
        <v>1</v>
      </c>
      <c r="K671" s="27">
        <f t="shared" si="28"/>
        <v>1</v>
      </c>
      <c r="L671" s="25">
        <v>610.08485050000002</v>
      </c>
      <c r="M671" s="25">
        <v>614.25274431671414</v>
      </c>
      <c r="N671" s="38">
        <v>0.52876645012589485</v>
      </c>
      <c r="O671" s="38">
        <v>-5.6242385995162181</v>
      </c>
      <c r="P671" s="71">
        <v>-7.7393044000197975</v>
      </c>
      <c r="Q671" s="53">
        <v>42564</v>
      </c>
      <c r="R671" s="23">
        <v>9</v>
      </c>
      <c r="S671" s="24">
        <v>610.08485050000002</v>
      </c>
      <c r="T671" s="24">
        <v>614.25274431671414</v>
      </c>
      <c r="U671" s="1">
        <v>0.52876645012589485</v>
      </c>
      <c r="V671" s="2">
        <v>-5.6242385995162181</v>
      </c>
      <c r="W671" s="2">
        <v>-7.7393044000197975</v>
      </c>
      <c r="X671" s="22" t="s">
        <v>17</v>
      </c>
      <c r="Y671" s="23"/>
      <c r="Z671" s="24" t="s">
        <v>17</v>
      </c>
      <c r="AA671" s="24" t="s">
        <v>17</v>
      </c>
      <c r="AB671" s="1" t="s">
        <v>17</v>
      </c>
      <c r="AC671" s="2" t="s">
        <v>17</v>
      </c>
      <c r="AD671" s="2" t="s">
        <v>17</v>
      </c>
      <c r="AE671" s="22" t="s">
        <v>17</v>
      </c>
      <c r="AF671" s="23"/>
      <c r="AG671" s="24" t="s">
        <v>17</v>
      </c>
      <c r="AH671" s="24" t="s">
        <v>17</v>
      </c>
      <c r="AI671" s="1" t="s">
        <v>17</v>
      </c>
      <c r="AJ671" s="2" t="s">
        <v>17</v>
      </c>
      <c r="AK671" s="2" t="s">
        <v>17</v>
      </c>
      <c r="AL671" s="22" t="s">
        <v>17</v>
      </c>
      <c r="AM671" s="4" t="s">
        <v>17</v>
      </c>
      <c r="AN671" s="24" t="s">
        <v>17</v>
      </c>
      <c r="AO671" s="24" t="s">
        <v>17</v>
      </c>
      <c r="AP671" s="1" t="s">
        <v>17</v>
      </c>
      <c r="AQ671" s="2" t="s">
        <v>17</v>
      </c>
      <c r="AR671" s="2" t="s">
        <v>17</v>
      </c>
      <c r="AS671" s="3"/>
      <c r="AT671" s="2"/>
      <c r="AU671" s="4"/>
      <c r="AV671" s="2"/>
      <c r="AW671" s="20"/>
      <c r="AX671" s="20"/>
      <c r="AY671" s="20"/>
      <c r="AZ671" s="5"/>
      <c r="BA671" s="6"/>
      <c r="BB671" s="4"/>
      <c r="BC671" s="6"/>
      <c r="BD671" s="6"/>
      <c r="BE671" s="6"/>
      <c r="BF671" s="7"/>
    </row>
    <row r="672" spans="1:58" ht="18" customHeight="1">
      <c r="A672" s="107" t="s">
        <v>15</v>
      </c>
      <c r="B672" s="93" t="s">
        <v>645</v>
      </c>
      <c r="C672" s="42">
        <v>1726</v>
      </c>
      <c r="D672" s="42">
        <v>1726.08</v>
      </c>
      <c r="E672" s="42">
        <v>1726.04</v>
      </c>
      <c r="F672" s="42">
        <v>1726.04</v>
      </c>
      <c r="G672" s="43">
        <v>127317.94739505601</v>
      </c>
      <c r="H672" s="43">
        <v>125186.911559104</v>
      </c>
      <c r="I672" s="27">
        <f t="shared" si="27"/>
        <v>1</v>
      </c>
      <c r="J672" s="27">
        <f t="shared" si="29"/>
        <v>1</v>
      </c>
      <c r="K672" s="27">
        <f t="shared" si="28"/>
        <v>1</v>
      </c>
      <c r="L672" s="25">
        <v>617.9459690000001</v>
      </c>
      <c r="M672" s="25">
        <v>614.73634417177209</v>
      </c>
      <c r="N672" s="38">
        <v>0.52738803778806798</v>
      </c>
      <c r="O672" s="38">
        <v>-5.8123181525747691</v>
      </c>
      <c r="P672" s="71">
        <v>-7.921870303727041</v>
      </c>
      <c r="Q672" s="53">
        <v>42468</v>
      </c>
      <c r="R672" s="23">
        <v>9</v>
      </c>
      <c r="S672" s="24">
        <v>617.9459690000001</v>
      </c>
      <c r="T672" s="24">
        <v>614.73634417177209</v>
      </c>
      <c r="U672" s="1">
        <v>0.52738803778806798</v>
      </c>
      <c r="V672" s="2">
        <v>-5.8123181525747691</v>
      </c>
      <c r="W672" s="2">
        <v>-7.921870303727041</v>
      </c>
      <c r="X672" s="22" t="s">
        <v>17</v>
      </c>
      <c r="Y672" s="23"/>
      <c r="Z672" s="24" t="s">
        <v>17</v>
      </c>
      <c r="AA672" s="24" t="s">
        <v>17</v>
      </c>
      <c r="AB672" s="1" t="s">
        <v>17</v>
      </c>
      <c r="AC672" s="2" t="s">
        <v>17</v>
      </c>
      <c r="AD672" s="2" t="s">
        <v>17</v>
      </c>
      <c r="AE672" s="22" t="s">
        <v>17</v>
      </c>
      <c r="AF672" s="23"/>
      <c r="AG672" s="24" t="s">
        <v>17</v>
      </c>
      <c r="AH672" s="24" t="s">
        <v>17</v>
      </c>
      <c r="AI672" s="1" t="s">
        <v>17</v>
      </c>
      <c r="AJ672" s="2" t="s">
        <v>17</v>
      </c>
      <c r="AK672" s="2" t="s">
        <v>17</v>
      </c>
      <c r="AL672" s="22" t="s">
        <v>17</v>
      </c>
      <c r="AM672" s="4" t="s">
        <v>17</v>
      </c>
      <c r="AN672" s="24" t="s">
        <v>17</v>
      </c>
      <c r="AO672" s="24" t="s">
        <v>17</v>
      </c>
      <c r="AP672" s="1" t="s">
        <v>17</v>
      </c>
      <c r="AQ672" s="2" t="s">
        <v>17</v>
      </c>
      <c r="AR672" s="2" t="s">
        <v>17</v>
      </c>
      <c r="AS672" s="3"/>
      <c r="AT672" s="2"/>
      <c r="AU672" s="4"/>
      <c r="AV672" s="2"/>
      <c r="AW672" s="20"/>
      <c r="AX672" s="20"/>
      <c r="AY672" s="20"/>
      <c r="AZ672" s="5"/>
      <c r="BA672" s="6"/>
      <c r="BB672" s="4"/>
      <c r="BC672" s="6"/>
      <c r="BD672" s="6"/>
      <c r="BE672" s="6"/>
      <c r="BF672" s="7"/>
    </row>
    <row r="673" spans="1:58" ht="18" customHeight="1">
      <c r="A673" s="107" t="s">
        <v>15</v>
      </c>
      <c r="B673" s="93" t="s">
        <v>646</v>
      </c>
      <c r="C673" s="42">
        <v>1731.5</v>
      </c>
      <c r="D673" s="42">
        <v>1731.62</v>
      </c>
      <c r="E673" s="42">
        <v>1731.56</v>
      </c>
      <c r="F673" s="42">
        <v>1731.56</v>
      </c>
      <c r="G673" s="43">
        <v>127788.199283711</v>
      </c>
      <c r="H673" s="43">
        <v>125644.624063205</v>
      </c>
      <c r="I673" s="27">
        <f t="shared" si="27"/>
        <v>1</v>
      </c>
      <c r="J673" s="27">
        <f t="shared" si="29"/>
        <v>1</v>
      </c>
      <c r="K673" s="27">
        <f t="shared" si="28"/>
        <v>1</v>
      </c>
      <c r="L673" s="25">
        <v>618.50240150000002</v>
      </c>
      <c r="M673" s="25">
        <v>622.61501602633041</v>
      </c>
      <c r="N673" s="38">
        <v>0.51465251720195226</v>
      </c>
      <c r="O673" s="38">
        <v>-5.5590412364802111</v>
      </c>
      <c r="P673" s="71">
        <v>-7.6176513052880201</v>
      </c>
      <c r="Q673" s="53">
        <v>42565</v>
      </c>
      <c r="R673" s="23">
        <v>9</v>
      </c>
      <c r="S673" s="24">
        <v>618.50240150000002</v>
      </c>
      <c r="T673" s="24">
        <v>622.61501602633041</v>
      </c>
      <c r="U673" s="1">
        <v>0.51465251720195226</v>
      </c>
      <c r="V673" s="2">
        <v>-5.5590412364802111</v>
      </c>
      <c r="W673" s="2">
        <v>-7.6176513052880201</v>
      </c>
      <c r="X673" s="22" t="s">
        <v>17</v>
      </c>
      <c r="Y673" s="23"/>
      <c r="Z673" s="24" t="s">
        <v>17</v>
      </c>
      <c r="AA673" s="24" t="s">
        <v>17</v>
      </c>
      <c r="AB673" s="1" t="s">
        <v>17</v>
      </c>
      <c r="AC673" s="2" t="s">
        <v>17</v>
      </c>
      <c r="AD673" s="2" t="s">
        <v>17</v>
      </c>
      <c r="AE673" s="22" t="s">
        <v>17</v>
      </c>
      <c r="AF673" s="23"/>
      <c r="AG673" s="24" t="s">
        <v>17</v>
      </c>
      <c r="AH673" s="24" t="s">
        <v>17</v>
      </c>
      <c r="AI673" s="1" t="s">
        <v>17</v>
      </c>
      <c r="AJ673" s="2" t="s">
        <v>17</v>
      </c>
      <c r="AK673" s="2" t="s">
        <v>17</v>
      </c>
      <c r="AL673" s="22" t="s">
        <v>17</v>
      </c>
      <c r="AM673" s="4" t="s">
        <v>17</v>
      </c>
      <c r="AN673" s="24" t="s">
        <v>17</v>
      </c>
      <c r="AO673" s="24" t="s">
        <v>17</v>
      </c>
      <c r="AP673" s="1" t="s">
        <v>17</v>
      </c>
      <c r="AQ673" s="2" t="s">
        <v>17</v>
      </c>
      <c r="AR673" s="2" t="s">
        <v>17</v>
      </c>
      <c r="AS673" s="3"/>
      <c r="AT673" s="2"/>
      <c r="AU673" s="4"/>
      <c r="AV673" s="2"/>
      <c r="AW673" s="20" t="s">
        <v>17</v>
      </c>
      <c r="AX673" s="20" t="s">
        <v>17</v>
      </c>
      <c r="AY673" s="20" t="s">
        <v>17</v>
      </c>
      <c r="AZ673" s="5"/>
      <c r="BA673" s="6"/>
      <c r="BB673" s="4"/>
      <c r="BC673" s="6"/>
      <c r="BD673" s="6"/>
      <c r="BE673" s="6"/>
      <c r="BF673" s="7"/>
    </row>
    <row r="674" spans="1:58" ht="18" customHeight="1">
      <c r="A674" s="107" t="s">
        <v>15</v>
      </c>
      <c r="B674" s="93" t="s">
        <v>647</v>
      </c>
      <c r="C674" s="42">
        <v>1738</v>
      </c>
      <c r="D674" s="42">
        <v>1738.12</v>
      </c>
      <c r="E674" s="42">
        <v>1738.06</v>
      </c>
      <c r="F674" s="42">
        <v>1738.06</v>
      </c>
      <c r="G674" s="43">
        <v>128356.848529774</v>
      </c>
      <c r="H674" s="43">
        <v>126188.199571809</v>
      </c>
      <c r="I674" s="27">
        <f t="shared" si="27"/>
        <v>2</v>
      </c>
      <c r="J674" s="27">
        <f t="shared" si="29"/>
        <v>2</v>
      </c>
      <c r="K674" s="27">
        <f t="shared" si="28"/>
        <v>2</v>
      </c>
      <c r="L674" s="25">
        <v>624.18011550000006</v>
      </c>
      <c r="M674" s="25">
        <v>620.92423508167826</v>
      </c>
      <c r="N674" s="38">
        <v>0.51625803271271309</v>
      </c>
      <c r="O674" s="38">
        <v>-5.2810265521908146</v>
      </c>
      <c r="P674" s="71">
        <v>-7.346058683041667</v>
      </c>
      <c r="Q674" s="53">
        <v>42438</v>
      </c>
      <c r="R674" s="23">
        <v>9</v>
      </c>
      <c r="S674" s="24">
        <v>620.91626900000006</v>
      </c>
      <c r="T674" s="24">
        <v>617.64562269555995</v>
      </c>
      <c r="U674" s="1">
        <v>0.51713693614985345</v>
      </c>
      <c r="V674" s="2">
        <v>-5.2440557701208812</v>
      </c>
      <c r="W674" s="2">
        <v>-7.312603514720295</v>
      </c>
      <c r="X674" s="22">
        <v>42438</v>
      </c>
      <c r="Y674" s="23">
        <v>9</v>
      </c>
      <c r="Z674" s="24">
        <v>627.44396200000006</v>
      </c>
      <c r="AA674" s="24">
        <v>624.20284746779646</v>
      </c>
      <c r="AB674" s="1">
        <v>0.51537912927557272</v>
      </c>
      <c r="AC674" s="2">
        <v>-5.3179973342607489</v>
      </c>
      <c r="AD674" s="2">
        <v>-7.3795138513630398</v>
      </c>
      <c r="AE674" s="22" t="s">
        <v>17</v>
      </c>
      <c r="AF674" s="23"/>
      <c r="AG674" s="24" t="s">
        <v>17</v>
      </c>
      <c r="AH674" s="24" t="s">
        <v>17</v>
      </c>
      <c r="AI674" s="1" t="s">
        <v>17</v>
      </c>
      <c r="AJ674" s="2" t="s">
        <v>17</v>
      </c>
      <c r="AK674" s="2" t="s">
        <v>17</v>
      </c>
      <c r="AL674" s="22" t="s">
        <v>17</v>
      </c>
      <c r="AM674" s="4" t="s">
        <v>17</v>
      </c>
      <c r="AN674" s="24" t="s">
        <v>17</v>
      </c>
      <c r="AO674" s="24" t="s">
        <v>17</v>
      </c>
      <c r="AP674" s="1" t="s">
        <v>17</v>
      </c>
      <c r="AQ674" s="2" t="s">
        <v>17</v>
      </c>
      <c r="AR674" s="2" t="s">
        <v>17</v>
      </c>
      <c r="AS674" s="3"/>
      <c r="AT674" s="2"/>
      <c r="AU674" s="4"/>
      <c r="AV674" s="2"/>
      <c r="AW674" s="20" t="s">
        <v>17</v>
      </c>
      <c r="AX674" s="20" t="s">
        <v>17</v>
      </c>
      <c r="AY674" s="20" t="s">
        <v>17</v>
      </c>
      <c r="AZ674" s="5"/>
      <c r="BA674" s="6"/>
      <c r="BB674" s="4"/>
      <c r="BC674" s="6"/>
      <c r="BD674" s="6"/>
      <c r="BE674" s="6"/>
      <c r="BF674" s="7"/>
    </row>
    <row r="675" spans="1:58" ht="18" customHeight="1">
      <c r="A675" s="107" t="s">
        <v>15</v>
      </c>
      <c r="B675" s="93" t="s">
        <v>648</v>
      </c>
      <c r="C675" s="42">
        <v>1744.5</v>
      </c>
      <c r="D675" s="42">
        <v>1744.62</v>
      </c>
      <c r="E675" s="42">
        <v>1744.56</v>
      </c>
      <c r="F675" s="42">
        <v>1744.56</v>
      </c>
      <c r="G675" s="43">
        <v>128852.819106479</v>
      </c>
      <c r="H675" s="43">
        <v>126745.658824096</v>
      </c>
      <c r="I675" s="27">
        <f t="shared" si="27"/>
        <v>1</v>
      </c>
      <c r="J675" s="27">
        <f t="shared" si="29"/>
        <v>1</v>
      </c>
      <c r="K675" s="27">
        <f t="shared" si="28"/>
        <v>1</v>
      </c>
      <c r="L675" s="25">
        <v>631.54620350000005</v>
      </c>
      <c r="M675" s="25">
        <v>635.85351886507954</v>
      </c>
      <c r="N675" s="38">
        <v>0.52788464302566673</v>
      </c>
      <c r="O675" s="38">
        <v>-5.9290043259971892</v>
      </c>
      <c r="P675" s="71">
        <v>-8.0405428980998561</v>
      </c>
      <c r="Q675" s="53">
        <v>42566</v>
      </c>
      <c r="R675" s="23">
        <v>9</v>
      </c>
      <c r="S675" s="24">
        <v>631.54620350000005</v>
      </c>
      <c r="T675" s="24">
        <v>635.85351886507954</v>
      </c>
      <c r="U675" s="1">
        <v>0.52788464302566673</v>
      </c>
      <c r="V675" s="2">
        <v>-5.9290043259971892</v>
      </c>
      <c r="W675" s="2">
        <v>-8.0405428980998561</v>
      </c>
      <c r="X675" s="22" t="s">
        <v>17</v>
      </c>
      <c r="Y675" s="23"/>
      <c r="Z675" s="24" t="s">
        <v>17</v>
      </c>
      <c r="AA675" s="24" t="s">
        <v>17</v>
      </c>
      <c r="AB675" s="1" t="s">
        <v>17</v>
      </c>
      <c r="AC675" s="2" t="s">
        <v>17</v>
      </c>
      <c r="AD675" s="2" t="s">
        <v>17</v>
      </c>
      <c r="AE675" s="22" t="s">
        <v>17</v>
      </c>
      <c r="AF675" s="23"/>
      <c r="AG675" s="24" t="s">
        <v>17</v>
      </c>
      <c r="AH675" s="24" t="s">
        <v>17</v>
      </c>
      <c r="AI675" s="1" t="s">
        <v>17</v>
      </c>
      <c r="AJ675" s="2" t="s">
        <v>17</v>
      </c>
      <c r="AK675" s="2" t="s">
        <v>17</v>
      </c>
      <c r="AL675" s="22" t="s">
        <v>17</v>
      </c>
      <c r="AM675" s="4" t="s">
        <v>17</v>
      </c>
      <c r="AN675" s="24" t="s">
        <v>17</v>
      </c>
      <c r="AO675" s="24" t="s">
        <v>17</v>
      </c>
      <c r="AP675" s="1" t="s">
        <v>17</v>
      </c>
      <c r="AQ675" s="2" t="s">
        <v>17</v>
      </c>
      <c r="AR675" s="2" t="s">
        <v>17</v>
      </c>
      <c r="AS675" s="3"/>
      <c r="AT675" s="2"/>
      <c r="AU675" s="4"/>
      <c r="AV675" s="2"/>
      <c r="AW675" s="20" t="s">
        <v>17</v>
      </c>
      <c r="AX675" s="20" t="s">
        <v>17</v>
      </c>
      <c r="AY675" s="20" t="s">
        <v>17</v>
      </c>
      <c r="AZ675" s="5"/>
      <c r="BA675" s="6"/>
      <c r="BB675" s="4"/>
      <c r="BC675" s="6"/>
      <c r="BD675" s="6"/>
      <c r="BE675" s="6"/>
      <c r="BF675" s="7"/>
    </row>
    <row r="676" spans="1:58" ht="18" customHeight="1">
      <c r="A676" s="107" t="s">
        <v>15</v>
      </c>
      <c r="B676" s="93" t="s">
        <v>649</v>
      </c>
      <c r="C676" s="42">
        <v>1752.5</v>
      </c>
      <c r="D676" s="42">
        <v>1752.62</v>
      </c>
      <c r="E676" s="42">
        <v>1752.56</v>
      </c>
      <c r="F676" s="42">
        <v>1752.56</v>
      </c>
      <c r="G676" s="43">
        <v>129451.74492523</v>
      </c>
      <c r="H676" s="43">
        <v>127406.993372495</v>
      </c>
      <c r="I676" s="27">
        <f t="shared" si="27"/>
        <v>1</v>
      </c>
      <c r="J676" s="27">
        <f t="shared" si="29"/>
        <v>1</v>
      </c>
      <c r="K676" s="27">
        <f t="shared" si="28"/>
        <v>1</v>
      </c>
      <c r="L676" s="25">
        <v>653.8560050000001</v>
      </c>
      <c r="M676" s="25">
        <v>650.93207822476677</v>
      </c>
      <c r="N676" s="38">
        <v>0.53229816569722033</v>
      </c>
      <c r="O676" s="38">
        <v>-6.2525803475834696</v>
      </c>
      <c r="P676" s="71">
        <v>-8.3817730103723509</v>
      </c>
      <c r="Q676" s="53">
        <v>42459</v>
      </c>
      <c r="R676" s="23">
        <v>9</v>
      </c>
      <c r="S676" s="24">
        <v>653.8560050000001</v>
      </c>
      <c r="T676" s="24">
        <v>650.93207822476677</v>
      </c>
      <c r="U676" s="1">
        <v>0.53229816569722033</v>
      </c>
      <c r="V676" s="2">
        <v>-6.2525803475834696</v>
      </c>
      <c r="W676" s="2">
        <v>-8.3817730103723509</v>
      </c>
      <c r="X676" s="22" t="s">
        <v>17</v>
      </c>
      <c r="Y676" s="23"/>
      <c r="Z676" s="24" t="s">
        <v>17</v>
      </c>
      <c r="AA676" s="24" t="s">
        <v>17</v>
      </c>
      <c r="AB676" s="1" t="s">
        <v>17</v>
      </c>
      <c r="AC676" s="2" t="s">
        <v>17</v>
      </c>
      <c r="AD676" s="2" t="s">
        <v>17</v>
      </c>
      <c r="AE676" s="22" t="s">
        <v>17</v>
      </c>
      <c r="AF676" s="23"/>
      <c r="AG676" s="24" t="s">
        <v>17</v>
      </c>
      <c r="AH676" s="24" t="s">
        <v>17</v>
      </c>
      <c r="AI676" s="1" t="s">
        <v>17</v>
      </c>
      <c r="AJ676" s="2" t="s">
        <v>17</v>
      </c>
      <c r="AK676" s="2" t="s">
        <v>17</v>
      </c>
      <c r="AL676" s="22" t="s">
        <v>17</v>
      </c>
      <c r="AM676" s="4" t="s">
        <v>17</v>
      </c>
      <c r="AN676" s="24" t="s">
        <v>17</v>
      </c>
      <c r="AO676" s="24" t="s">
        <v>17</v>
      </c>
      <c r="AP676" s="1" t="s">
        <v>17</v>
      </c>
      <c r="AQ676" s="2" t="s">
        <v>17</v>
      </c>
      <c r="AR676" s="2" t="s">
        <v>17</v>
      </c>
      <c r="AS676" s="3"/>
      <c r="AT676" s="2"/>
      <c r="AU676" s="4"/>
      <c r="AV676" s="2"/>
      <c r="AW676" s="20" t="s">
        <v>17</v>
      </c>
      <c r="AX676" s="20" t="s">
        <v>17</v>
      </c>
      <c r="AY676" s="20" t="s">
        <v>17</v>
      </c>
      <c r="AZ676" s="5"/>
      <c r="BA676" s="6"/>
      <c r="BB676" s="4"/>
      <c r="BC676" s="6"/>
      <c r="BD676" s="6"/>
      <c r="BE676" s="6"/>
      <c r="BF676" s="7"/>
    </row>
    <row r="677" spans="1:58" ht="18" customHeight="1">
      <c r="A677" s="107" t="s">
        <v>15</v>
      </c>
      <c r="B677" s="93" t="s">
        <v>650</v>
      </c>
      <c r="C677" s="42">
        <v>1758.5</v>
      </c>
      <c r="D677" s="42">
        <v>1758.62</v>
      </c>
      <c r="E677" s="42">
        <v>1758.56</v>
      </c>
      <c r="F677" s="42">
        <v>1758.56</v>
      </c>
      <c r="G677" s="43">
        <v>129898.320141244</v>
      </c>
      <c r="H677" s="43">
        <v>127890.091331952</v>
      </c>
      <c r="I677" s="27">
        <f t="shared" si="27"/>
        <v>1</v>
      </c>
      <c r="J677" s="27">
        <f t="shared" si="29"/>
        <v>1</v>
      </c>
      <c r="K677" s="27">
        <f t="shared" si="28"/>
        <v>1</v>
      </c>
      <c r="L677" s="25">
        <v>648.82768099999998</v>
      </c>
      <c r="M677" s="25">
        <v>653.22555859633769</v>
      </c>
      <c r="N677" s="38">
        <v>0.52462774443884364</v>
      </c>
      <c r="O677" s="38">
        <v>-6.2958255016908327</v>
      </c>
      <c r="P677" s="71">
        <v>-8.3943364794462063</v>
      </c>
      <c r="Q677" s="53">
        <v>42566</v>
      </c>
      <c r="R677" s="23">
        <v>9</v>
      </c>
      <c r="S677" s="24">
        <v>648.82768099999998</v>
      </c>
      <c r="T677" s="24">
        <v>653.22555859633769</v>
      </c>
      <c r="U677" s="1">
        <v>0.52462774443884364</v>
      </c>
      <c r="V677" s="2">
        <v>-6.2958255016908327</v>
      </c>
      <c r="W677" s="2">
        <v>-8.3943364794462063</v>
      </c>
      <c r="X677" s="22" t="s">
        <v>17</v>
      </c>
      <c r="Y677" s="23"/>
      <c r="Z677" s="24" t="s">
        <v>17</v>
      </c>
      <c r="AA677" s="24" t="s">
        <v>17</v>
      </c>
      <c r="AB677" s="1" t="s">
        <v>17</v>
      </c>
      <c r="AC677" s="2" t="s">
        <v>17</v>
      </c>
      <c r="AD677" s="2" t="s">
        <v>17</v>
      </c>
      <c r="AE677" s="22" t="s">
        <v>17</v>
      </c>
      <c r="AF677" s="23"/>
      <c r="AG677" s="24" t="s">
        <v>17</v>
      </c>
      <c r="AH677" s="24" t="s">
        <v>17</v>
      </c>
      <c r="AI677" s="1" t="s">
        <v>17</v>
      </c>
      <c r="AJ677" s="2" t="s">
        <v>17</v>
      </c>
      <c r="AK677" s="2" t="s">
        <v>17</v>
      </c>
      <c r="AL677" s="22" t="s">
        <v>17</v>
      </c>
      <c r="AM677" s="4" t="s">
        <v>17</v>
      </c>
      <c r="AN677" s="24" t="s">
        <v>17</v>
      </c>
      <c r="AO677" s="24" t="s">
        <v>17</v>
      </c>
      <c r="AP677" s="1" t="s">
        <v>17</v>
      </c>
      <c r="AQ677" s="2" t="s">
        <v>17</v>
      </c>
      <c r="AR677" s="2" t="s">
        <v>17</v>
      </c>
      <c r="AS677" s="3"/>
      <c r="AT677" s="2"/>
      <c r="AU677" s="4"/>
      <c r="AV677" s="2"/>
      <c r="AW677" s="20" t="s">
        <v>17</v>
      </c>
      <c r="AX677" s="20" t="s">
        <v>17</v>
      </c>
      <c r="AY677" s="20" t="s">
        <v>17</v>
      </c>
      <c r="AZ677" s="5"/>
      <c r="BA677" s="6"/>
      <c r="BB677" s="4"/>
      <c r="BC677" s="6"/>
      <c r="BD677" s="6"/>
      <c r="BE677" s="6"/>
      <c r="BF677" s="7"/>
    </row>
    <row r="678" spans="1:58" ht="18" customHeight="1">
      <c r="A678" s="107" t="s">
        <v>15</v>
      </c>
      <c r="B678" s="93" t="s">
        <v>651</v>
      </c>
      <c r="C678" s="42">
        <v>1767</v>
      </c>
      <c r="D678" s="42">
        <v>1767.12</v>
      </c>
      <c r="E678" s="42">
        <v>1767.06</v>
      </c>
      <c r="F678" s="42">
        <v>1767.06</v>
      </c>
      <c r="G678" s="43">
        <v>130542.098564396</v>
      </c>
      <c r="H678" s="43">
        <v>128595.820507895</v>
      </c>
      <c r="I678" s="27">
        <f t="shared" si="27"/>
        <v>2</v>
      </c>
      <c r="J678" s="27">
        <f t="shared" si="29"/>
        <v>2</v>
      </c>
      <c r="K678" s="27">
        <f t="shared" si="28"/>
        <v>1</v>
      </c>
      <c r="L678" s="25">
        <v>672.67875350000008</v>
      </c>
      <c r="M678" s="25">
        <v>677.35480347998146</v>
      </c>
      <c r="N678" s="38">
        <v>0.53803568242749567</v>
      </c>
      <c r="O678" s="38">
        <v>-6.4254902453483309</v>
      </c>
      <c r="P678" s="71">
        <v>-8.5818828372302711</v>
      </c>
      <c r="Q678" s="53">
        <v>42403</v>
      </c>
      <c r="R678" s="23">
        <v>5</v>
      </c>
      <c r="S678" s="24">
        <v>674.37210749999997</v>
      </c>
      <c r="T678" s="24">
        <v>679.0506947984436</v>
      </c>
      <c r="U678" s="1">
        <v>0.5369732168845065</v>
      </c>
      <c r="V678" s="2"/>
      <c r="W678" s="2"/>
      <c r="X678" s="22">
        <v>42403</v>
      </c>
      <c r="Y678" s="23">
        <v>8</v>
      </c>
      <c r="Z678" s="24">
        <v>670.98539950000009</v>
      </c>
      <c r="AA678" s="24">
        <v>675.6589121615192</v>
      </c>
      <c r="AB678" s="1">
        <v>0.53909814797048483</v>
      </c>
      <c r="AC678" s="2">
        <v>-6.4254902453483309</v>
      </c>
      <c r="AD678" s="2">
        <v>-8.5818828372302711</v>
      </c>
      <c r="AE678" s="22" t="s">
        <v>17</v>
      </c>
      <c r="AF678" s="23"/>
      <c r="AG678" s="24" t="s">
        <v>17</v>
      </c>
      <c r="AH678" s="24" t="s">
        <v>17</v>
      </c>
      <c r="AI678" s="1" t="s">
        <v>17</v>
      </c>
      <c r="AJ678" s="2" t="s">
        <v>17</v>
      </c>
      <c r="AK678" s="2" t="s">
        <v>17</v>
      </c>
      <c r="AL678" s="22" t="s">
        <v>17</v>
      </c>
      <c r="AM678" s="4" t="s">
        <v>17</v>
      </c>
      <c r="AN678" s="24" t="s">
        <v>17</v>
      </c>
      <c r="AO678" s="24" t="s">
        <v>17</v>
      </c>
      <c r="AP678" s="1" t="s">
        <v>17</v>
      </c>
      <c r="AQ678" s="2" t="s">
        <v>17</v>
      </c>
      <c r="AR678" s="2" t="s">
        <v>17</v>
      </c>
      <c r="AS678" s="3"/>
      <c r="AT678" s="2"/>
      <c r="AU678" s="4"/>
      <c r="AV678" s="2"/>
      <c r="AW678" s="20" t="s">
        <v>17</v>
      </c>
      <c r="AX678" s="20" t="s">
        <v>17</v>
      </c>
      <c r="AY678" s="20" t="s">
        <v>17</v>
      </c>
      <c r="AZ678" s="5"/>
      <c r="BA678" s="6"/>
      <c r="BB678" s="4"/>
      <c r="BC678" s="6"/>
      <c r="BD678" s="6"/>
      <c r="BE678" s="6"/>
      <c r="BF678" s="7"/>
    </row>
    <row r="679" spans="1:58" ht="18" customHeight="1">
      <c r="A679" s="107" t="s">
        <v>15</v>
      </c>
      <c r="B679" s="93" t="s">
        <v>652</v>
      </c>
      <c r="C679" s="42">
        <v>1773.5</v>
      </c>
      <c r="D679" s="42">
        <v>1773.62</v>
      </c>
      <c r="E679" s="42">
        <v>1773.56</v>
      </c>
      <c r="F679" s="42">
        <v>1773.56</v>
      </c>
      <c r="G679" s="43">
        <v>131028.526009426</v>
      </c>
      <c r="H679" s="43">
        <v>129105.05546008601</v>
      </c>
      <c r="I679" s="27">
        <f t="shared" ref="I679:I742" si="30">COUNT(T679,AA679,AH679,AO679,AV679,BC679)</f>
        <v>1</v>
      </c>
      <c r="J679" s="27">
        <f t="shared" si="29"/>
        <v>2</v>
      </c>
      <c r="K679" s="27">
        <f t="shared" ref="K679:K742" si="31">COUNT(V679,AC679,AJ679,AQ679,AX679,BF679)</f>
        <v>2</v>
      </c>
      <c r="L679" s="25">
        <v>699.23493050000002</v>
      </c>
      <c r="M679" s="25">
        <v>704.20778114822019</v>
      </c>
      <c r="N679" s="38">
        <v>0.54857940033348207</v>
      </c>
      <c r="O679" s="38">
        <v>-6.3489239601254859</v>
      </c>
      <c r="P679" s="71">
        <v>-8.5432415614594142</v>
      </c>
      <c r="Q679" s="53">
        <v>42566</v>
      </c>
      <c r="R679" s="23">
        <v>9</v>
      </c>
      <c r="S679" s="24">
        <v>699.23493050000002</v>
      </c>
      <c r="T679" s="24">
        <v>704.20778114822019</v>
      </c>
      <c r="U679" s="1">
        <v>0.55045242195284061</v>
      </c>
      <c r="V679" s="2">
        <v>-6.6324186131906382</v>
      </c>
      <c r="W679" s="2">
        <v>-8.8342283010019997</v>
      </c>
      <c r="X679" s="22">
        <v>44235</v>
      </c>
      <c r="Y679" s="23">
        <v>9</v>
      </c>
      <c r="Z679" s="24"/>
      <c r="AA679" s="24" t="s">
        <v>17</v>
      </c>
      <c r="AB679" s="1">
        <v>0.54670637871412353</v>
      </c>
      <c r="AC679" s="2">
        <v>-6.0654293070603327</v>
      </c>
      <c r="AD679" s="2">
        <v>-8.2522548219168268</v>
      </c>
      <c r="AE679" s="22" t="s">
        <v>17</v>
      </c>
      <c r="AF679" s="23"/>
      <c r="AG679" s="24" t="s">
        <v>17</v>
      </c>
      <c r="AH679" s="24" t="s">
        <v>17</v>
      </c>
      <c r="AI679" s="1" t="s">
        <v>17</v>
      </c>
      <c r="AJ679" s="2" t="s">
        <v>17</v>
      </c>
      <c r="AK679" s="2" t="s">
        <v>17</v>
      </c>
      <c r="AL679" s="22" t="s">
        <v>17</v>
      </c>
      <c r="AM679" s="4" t="s">
        <v>17</v>
      </c>
      <c r="AN679" s="24" t="s">
        <v>17</v>
      </c>
      <c r="AO679" s="24" t="s">
        <v>17</v>
      </c>
      <c r="AP679" s="1" t="s">
        <v>17</v>
      </c>
      <c r="AQ679" s="2" t="s">
        <v>17</v>
      </c>
      <c r="AR679" s="2" t="s">
        <v>17</v>
      </c>
      <c r="AS679" s="3"/>
      <c r="AT679" s="2"/>
      <c r="AU679" s="4"/>
      <c r="AV679" s="2"/>
      <c r="AW679" s="20" t="s">
        <v>17</v>
      </c>
      <c r="AX679" s="20" t="s">
        <v>17</v>
      </c>
      <c r="AY679" s="20" t="s">
        <v>17</v>
      </c>
      <c r="AZ679" s="5"/>
      <c r="BA679" s="6"/>
      <c r="BB679" s="4"/>
      <c r="BC679" s="6"/>
      <c r="BD679" s="6"/>
      <c r="BE679" s="6"/>
      <c r="BF679" s="7"/>
    </row>
    <row r="680" spans="1:58" ht="18" customHeight="1">
      <c r="A680" s="107" t="s">
        <v>15</v>
      </c>
      <c r="B680" s="93" t="s">
        <v>653</v>
      </c>
      <c r="C680" s="42">
        <v>1780.5</v>
      </c>
      <c r="D680" s="42">
        <v>1780.59</v>
      </c>
      <c r="E680" s="42">
        <v>1780.5450000000001</v>
      </c>
      <c r="F680" s="42">
        <v>1780.5450000000001</v>
      </c>
      <c r="G680" s="43">
        <v>131557.77055802799</v>
      </c>
      <c r="H680" s="43">
        <v>129619.582879533</v>
      </c>
      <c r="I680" s="27">
        <f t="shared" si="30"/>
        <v>1</v>
      </c>
      <c r="J680" s="27">
        <f t="shared" ref="J680:J743" si="32">COUNT(U680,AB680,AI680,AP680,AW680,BD680)</f>
        <v>2</v>
      </c>
      <c r="K680" s="27">
        <f t="shared" si="31"/>
        <v>2</v>
      </c>
      <c r="L680" s="25">
        <v>724.03865700000006</v>
      </c>
      <c r="M680" s="25">
        <v>721.6947846069387</v>
      </c>
      <c r="N680" s="38">
        <v>0.54117164653322281</v>
      </c>
      <c r="O680" s="38">
        <v>-7.5895671860986553</v>
      </c>
      <c r="P680" s="71">
        <v>-9.7542537722315465</v>
      </c>
      <c r="Q680" s="53">
        <v>42466</v>
      </c>
      <c r="R680" s="23">
        <v>9</v>
      </c>
      <c r="S680" s="24">
        <v>724.03865700000006</v>
      </c>
      <c r="T680" s="24">
        <v>721.6947846069387</v>
      </c>
      <c r="U680" s="1">
        <v>0.54281593149640983</v>
      </c>
      <c r="V680" s="2">
        <v>-7.7203858484070631</v>
      </c>
      <c r="W680" s="2">
        <v>-9.8916495743927015</v>
      </c>
      <c r="X680" s="22">
        <v>44235</v>
      </c>
      <c r="Y680" s="23">
        <v>9</v>
      </c>
      <c r="Z680" s="24" t="s">
        <v>17</v>
      </c>
      <c r="AA680" s="24" t="s">
        <v>17</v>
      </c>
      <c r="AB680" s="1">
        <v>0.53952736157003578</v>
      </c>
      <c r="AC680" s="2">
        <v>-7.4587485237902484</v>
      </c>
      <c r="AD680" s="2">
        <v>-9.6168579700703916</v>
      </c>
      <c r="AE680" s="22"/>
      <c r="AF680" s="23"/>
      <c r="AG680" s="24" t="s">
        <v>17</v>
      </c>
      <c r="AH680" s="24" t="s">
        <v>17</v>
      </c>
      <c r="AI680" s="1" t="s">
        <v>17</v>
      </c>
      <c r="AJ680" s="2" t="s">
        <v>17</v>
      </c>
      <c r="AK680" s="2" t="s">
        <v>17</v>
      </c>
      <c r="AL680" s="22" t="s">
        <v>17</v>
      </c>
      <c r="AM680" s="4" t="s">
        <v>17</v>
      </c>
      <c r="AN680" s="24" t="s">
        <v>17</v>
      </c>
      <c r="AO680" s="24" t="s">
        <v>17</v>
      </c>
      <c r="AP680" s="1" t="s">
        <v>17</v>
      </c>
      <c r="AQ680" s="2" t="s">
        <v>17</v>
      </c>
      <c r="AR680" s="2" t="s">
        <v>17</v>
      </c>
      <c r="AS680" s="3"/>
      <c r="AT680" s="2"/>
      <c r="AU680" s="4"/>
      <c r="AV680" s="2"/>
      <c r="AW680" s="20" t="s">
        <v>17</v>
      </c>
      <c r="AX680" s="20" t="s">
        <v>17</v>
      </c>
      <c r="AY680" s="20" t="s">
        <v>17</v>
      </c>
      <c r="AZ680" s="5"/>
      <c r="BA680" s="6"/>
      <c r="BB680" s="4"/>
      <c r="BC680" s="6"/>
      <c r="BD680" s="6"/>
      <c r="BE680" s="6"/>
      <c r="BF680" s="7"/>
    </row>
    <row r="681" spans="1:58" ht="18" customHeight="1">
      <c r="A681" s="107" t="s">
        <v>15</v>
      </c>
      <c r="B681" s="93" t="s">
        <v>654</v>
      </c>
      <c r="C681" s="42">
        <v>1787</v>
      </c>
      <c r="D681" s="42">
        <v>1787.12</v>
      </c>
      <c r="E681" s="42">
        <v>1787.06</v>
      </c>
      <c r="F681" s="42">
        <v>1787.06</v>
      </c>
      <c r="G681" s="43">
        <v>132123.04755163199</v>
      </c>
      <c r="H681" s="43">
        <v>130114.35198986399</v>
      </c>
      <c r="I681" s="27">
        <f t="shared" si="30"/>
        <v>1</v>
      </c>
      <c r="J681" s="27">
        <f t="shared" si="32"/>
        <v>2</v>
      </c>
      <c r="K681" s="27">
        <f t="shared" si="31"/>
        <v>2</v>
      </c>
      <c r="L681" s="25">
        <v>545.122747</v>
      </c>
      <c r="M681" s="25">
        <v>548.9696934530632</v>
      </c>
      <c r="N681" s="38">
        <v>0.54443557006123022</v>
      </c>
      <c r="O681" s="38">
        <v>-7.3197530776235027</v>
      </c>
      <c r="P681" s="71">
        <v>-9.4974953578684236</v>
      </c>
      <c r="Q681" s="53">
        <v>42566</v>
      </c>
      <c r="R681" s="23">
        <v>9</v>
      </c>
      <c r="S681" s="24">
        <v>545.122747</v>
      </c>
      <c r="T681" s="24">
        <v>548.9696934530632</v>
      </c>
      <c r="U681" s="1">
        <v>0.54620959241846734</v>
      </c>
      <c r="V681" s="2">
        <v>-7.381531415071918</v>
      </c>
      <c r="W681" s="2">
        <v>-9.5663697847457883</v>
      </c>
      <c r="X681" s="22">
        <v>44235</v>
      </c>
      <c r="Y681" s="23">
        <v>9</v>
      </c>
      <c r="Z681" s="24" t="s">
        <v>17</v>
      </c>
      <c r="AA681" s="24" t="s">
        <v>17</v>
      </c>
      <c r="AB681" s="1">
        <v>0.54266154770399311</v>
      </c>
      <c r="AC681" s="2">
        <v>-7.2579747401750883</v>
      </c>
      <c r="AD681" s="2">
        <v>-9.4286209309910607</v>
      </c>
      <c r="AE681" s="22" t="s">
        <v>17</v>
      </c>
      <c r="AF681" s="23"/>
      <c r="AG681" s="24" t="s">
        <v>17</v>
      </c>
      <c r="AH681" s="24" t="s">
        <v>17</v>
      </c>
      <c r="AI681" s="1" t="s">
        <v>17</v>
      </c>
      <c r="AJ681" s="2" t="s">
        <v>17</v>
      </c>
      <c r="AK681" s="2" t="s">
        <v>17</v>
      </c>
      <c r="AL681" s="22" t="s">
        <v>17</v>
      </c>
      <c r="AM681" s="4" t="s">
        <v>17</v>
      </c>
      <c r="AN681" s="24" t="s">
        <v>17</v>
      </c>
      <c r="AO681" s="24" t="s">
        <v>17</v>
      </c>
      <c r="AP681" s="1" t="s">
        <v>17</v>
      </c>
      <c r="AQ681" s="2" t="s">
        <v>17</v>
      </c>
      <c r="AR681" s="2" t="s">
        <v>17</v>
      </c>
      <c r="AS681" s="3"/>
      <c r="AT681" s="2"/>
      <c r="AU681" s="4"/>
      <c r="AV681" s="2"/>
      <c r="AW681" s="20" t="s">
        <v>17</v>
      </c>
      <c r="AX681" s="20" t="s">
        <v>17</v>
      </c>
      <c r="AY681" s="20" t="s">
        <v>17</v>
      </c>
      <c r="AZ681" s="5"/>
      <c r="BA681" s="6"/>
      <c r="BB681" s="4"/>
      <c r="BC681" s="6"/>
      <c r="BD681" s="6"/>
      <c r="BE681" s="6"/>
      <c r="BF681" s="7"/>
    </row>
    <row r="682" spans="1:58" ht="18" customHeight="1">
      <c r="A682" s="107" t="s">
        <v>15</v>
      </c>
      <c r="B682" s="93" t="s">
        <v>655</v>
      </c>
      <c r="C682" s="42">
        <v>1792.5</v>
      </c>
      <c r="D682" s="42">
        <v>1792.62</v>
      </c>
      <c r="E682" s="42">
        <v>1792.56</v>
      </c>
      <c r="F682" s="42">
        <v>1792.56</v>
      </c>
      <c r="G682" s="43">
        <v>132660.09620149899</v>
      </c>
      <c r="H682" s="43">
        <v>130550.285689768</v>
      </c>
      <c r="I682" s="27">
        <f t="shared" si="30"/>
        <v>2</v>
      </c>
      <c r="J682" s="27">
        <f t="shared" si="32"/>
        <v>1</v>
      </c>
      <c r="K682" s="27">
        <f t="shared" si="31"/>
        <v>1</v>
      </c>
      <c r="L682" s="25">
        <v>558.29343349999999</v>
      </c>
      <c r="M682" s="25">
        <v>562.29235379367049</v>
      </c>
      <c r="N682" s="38">
        <v>0.56714847789507417</v>
      </c>
      <c r="O682" s="38">
        <v>-8.113909288100519</v>
      </c>
      <c r="P682" s="71">
        <v>-10.382503199680816</v>
      </c>
      <c r="Q682" s="53">
        <v>42417</v>
      </c>
      <c r="R682" s="23">
        <v>9</v>
      </c>
      <c r="S682" s="24">
        <v>560.45000249999998</v>
      </c>
      <c r="T682" s="24">
        <v>564.37271777080446</v>
      </c>
      <c r="U682" s="1"/>
      <c r="V682" s="2"/>
      <c r="W682" s="2"/>
      <c r="X682" s="22">
        <v>42417</v>
      </c>
      <c r="Y682" s="23">
        <v>9</v>
      </c>
      <c r="Z682" s="24">
        <v>556.1368645</v>
      </c>
      <c r="AA682" s="24">
        <v>560.21198981653652</v>
      </c>
      <c r="AB682" s="1">
        <v>0.56714847789507417</v>
      </c>
      <c r="AC682" s="2">
        <v>-8.113909288100519</v>
      </c>
      <c r="AD682" s="2">
        <v>-10.382503199680816</v>
      </c>
      <c r="AE682" s="22" t="s">
        <v>17</v>
      </c>
      <c r="AF682" s="23"/>
      <c r="AG682" s="24" t="s">
        <v>17</v>
      </c>
      <c r="AH682" s="24" t="s">
        <v>17</v>
      </c>
      <c r="AI682" s="1" t="s">
        <v>17</v>
      </c>
      <c r="AJ682" s="2" t="s">
        <v>17</v>
      </c>
      <c r="AK682" s="2" t="s">
        <v>17</v>
      </c>
      <c r="AL682" s="22" t="s">
        <v>17</v>
      </c>
      <c r="AM682" s="4" t="s">
        <v>17</v>
      </c>
      <c r="AN682" s="24" t="s">
        <v>17</v>
      </c>
      <c r="AO682" s="24" t="s">
        <v>17</v>
      </c>
      <c r="AP682" s="1" t="s">
        <v>17</v>
      </c>
      <c r="AQ682" s="2" t="s">
        <v>17</v>
      </c>
      <c r="AR682" s="2" t="s">
        <v>17</v>
      </c>
      <c r="AS682" s="3"/>
      <c r="AT682" s="2"/>
      <c r="AU682" s="4"/>
      <c r="AV682" s="2"/>
      <c r="AW682" s="20" t="s">
        <v>17</v>
      </c>
      <c r="AX682" s="20" t="s">
        <v>17</v>
      </c>
      <c r="AY682" s="20" t="s">
        <v>17</v>
      </c>
      <c r="AZ682" s="5"/>
      <c r="BA682" s="6"/>
      <c r="BB682" s="4"/>
      <c r="BC682" s="6"/>
      <c r="BD682" s="6"/>
      <c r="BE682" s="6"/>
      <c r="BF682" s="7"/>
    </row>
    <row r="683" spans="1:58" ht="18" customHeight="1">
      <c r="A683" s="107" t="s">
        <v>15</v>
      </c>
      <c r="B683" s="93" t="s">
        <v>656</v>
      </c>
      <c r="C683" s="42">
        <v>1797.3979999999999</v>
      </c>
      <c r="D683" s="42">
        <v>1797.5179999999998</v>
      </c>
      <c r="E683" s="42">
        <v>1797.4579999999999</v>
      </c>
      <c r="F683" s="42">
        <v>1797.4579999999999</v>
      </c>
      <c r="G683" s="43">
        <v>133176.677485833</v>
      </c>
      <c r="H683" s="43">
        <v>130938.857125617</v>
      </c>
      <c r="I683" s="27">
        <f t="shared" si="30"/>
        <v>1</v>
      </c>
      <c r="J683" s="27">
        <f t="shared" si="32"/>
        <v>2</v>
      </c>
      <c r="K683" s="27">
        <f t="shared" si="31"/>
        <v>2</v>
      </c>
      <c r="L683" s="25">
        <v>523.22352649999993</v>
      </c>
      <c r="M683" s="25">
        <v>526.86363335750889</v>
      </c>
      <c r="N683" s="38">
        <v>0.54265707862266588</v>
      </c>
      <c r="O683" s="38">
        <v>-7.7844859231777086</v>
      </c>
      <c r="P683" s="71">
        <v>-9.9551142376683721</v>
      </c>
      <c r="Q683" s="53">
        <v>42577</v>
      </c>
      <c r="R683" s="23">
        <v>9</v>
      </c>
      <c r="S683" s="24">
        <v>523.22352649999993</v>
      </c>
      <c r="T683" s="24">
        <v>526.86363335750889</v>
      </c>
      <c r="U683" s="1">
        <v>0.53847352530134174</v>
      </c>
      <c r="V683" s="2">
        <v>-7.9299986684817636</v>
      </c>
      <c r="W683" s="2">
        <v>-10.083892769687131</v>
      </c>
      <c r="X683" s="22">
        <v>44224</v>
      </c>
      <c r="Y683" s="23">
        <v>9</v>
      </c>
      <c r="Z683" s="24"/>
      <c r="AA683" s="24" t="s">
        <v>17</v>
      </c>
      <c r="AB683" s="1">
        <v>0.54684063194399002</v>
      </c>
      <c r="AC683" s="2">
        <v>-7.6389731778736536</v>
      </c>
      <c r="AD683" s="2">
        <v>-9.8263357056496137</v>
      </c>
      <c r="AE683" s="22" t="s">
        <v>17</v>
      </c>
      <c r="AF683" s="23"/>
      <c r="AG683" s="24" t="s">
        <v>17</v>
      </c>
      <c r="AH683" s="24" t="s">
        <v>17</v>
      </c>
      <c r="AI683" s="1" t="s">
        <v>17</v>
      </c>
      <c r="AJ683" s="2" t="s">
        <v>17</v>
      </c>
      <c r="AK683" s="2" t="s">
        <v>17</v>
      </c>
      <c r="AL683" s="22" t="s">
        <v>17</v>
      </c>
      <c r="AM683" s="4" t="s">
        <v>17</v>
      </c>
      <c r="AN683" s="24" t="s">
        <v>17</v>
      </c>
      <c r="AO683" s="24" t="s">
        <v>17</v>
      </c>
      <c r="AP683" s="1" t="s">
        <v>17</v>
      </c>
      <c r="AQ683" s="2" t="s">
        <v>17</v>
      </c>
      <c r="AR683" s="2" t="s">
        <v>17</v>
      </c>
      <c r="AS683" s="3"/>
      <c r="AT683" s="2"/>
      <c r="AU683" s="4"/>
      <c r="AV683" s="2"/>
      <c r="AW683" s="20" t="s">
        <v>17</v>
      </c>
      <c r="AX683" s="20" t="s">
        <v>17</v>
      </c>
      <c r="AY683" s="20" t="s">
        <v>17</v>
      </c>
      <c r="AZ683" s="5"/>
      <c r="BA683" s="6"/>
      <c r="BB683" s="4"/>
      <c r="BC683" s="6"/>
      <c r="BD683" s="6"/>
      <c r="BE683" s="6"/>
      <c r="BF683" s="7"/>
    </row>
    <row r="684" spans="1:58" ht="18" customHeight="1">
      <c r="A684" s="107" t="s">
        <v>15</v>
      </c>
      <c r="B684" s="93" t="s">
        <v>657</v>
      </c>
      <c r="C684" s="42">
        <v>1802.98</v>
      </c>
      <c r="D684" s="42">
        <v>1803.06</v>
      </c>
      <c r="E684" s="42">
        <v>1803.02</v>
      </c>
      <c r="F684" s="42">
        <v>1803.02</v>
      </c>
      <c r="G684" s="43">
        <v>133803.20991308801</v>
      </c>
      <c r="H684" s="43">
        <v>131397.515614673</v>
      </c>
      <c r="I684" s="27">
        <f t="shared" si="30"/>
        <v>1</v>
      </c>
      <c r="J684" s="27">
        <f t="shared" si="32"/>
        <v>2</v>
      </c>
      <c r="K684" s="27">
        <f t="shared" si="31"/>
        <v>2</v>
      </c>
      <c r="L684" s="25">
        <v>517.10484399999996</v>
      </c>
      <c r="M684" s="25">
        <v>513.39276494774776</v>
      </c>
      <c r="N684" s="38">
        <v>0.54395260164297188</v>
      </c>
      <c r="O684" s="38">
        <v>-9.464686765315145</v>
      </c>
      <c r="P684" s="71">
        <v>-11.640497171887032</v>
      </c>
      <c r="Q684" s="53">
        <v>42468</v>
      </c>
      <c r="R684" s="23">
        <v>9</v>
      </c>
      <c r="S684" s="24">
        <v>517.10484399999996</v>
      </c>
      <c r="T684" s="24">
        <v>513.39276494774776</v>
      </c>
      <c r="U684" s="1">
        <v>0.55542763011340313</v>
      </c>
      <c r="V684" s="2">
        <v>-9.0994658780378934</v>
      </c>
      <c r="W684" s="2">
        <v>-11.321176398491506</v>
      </c>
      <c r="X684" s="22">
        <v>44235</v>
      </c>
      <c r="Y684" s="23">
        <v>9</v>
      </c>
      <c r="Z684" s="24" t="s">
        <v>17</v>
      </c>
      <c r="AA684" s="24" t="s">
        <v>17</v>
      </c>
      <c r="AB684" s="1">
        <v>0.53247757317254063</v>
      </c>
      <c r="AC684" s="2">
        <v>-9.8299076525923965</v>
      </c>
      <c r="AD684" s="2">
        <v>-11.959817945282559</v>
      </c>
      <c r="AE684" s="22" t="s">
        <v>17</v>
      </c>
      <c r="AF684" s="23"/>
      <c r="AG684" s="24" t="s">
        <v>17</v>
      </c>
      <c r="AH684" s="24" t="s">
        <v>17</v>
      </c>
      <c r="AI684" s="1" t="s">
        <v>17</v>
      </c>
      <c r="AJ684" s="2" t="s">
        <v>17</v>
      </c>
      <c r="AK684" s="2" t="s">
        <v>17</v>
      </c>
      <c r="AL684" s="22" t="s">
        <v>17</v>
      </c>
      <c r="AM684" s="4" t="s">
        <v>17</v>
      </c>
      <c r="AN684" s="24" t="s">
        <v>17</v>
      </c>
      <c r="AO684" s="24" t="s">
        <v>17</v>
      </c>
      <c r="AP684" s="1" t="s">
        <v>17</v>
      </c>
      <c r="AQ684" s="2" t="s">
        <v>17</v>
      </c>
      <c r="AR684" s="2" t="s">
        <v>17</v>
      </c>
      <c r="AS684" s="3"/>
      <c r="AT684" s="2"/>
      <c r="AU684" s="4"/>
      <c r="AV684" s="2"/>
      <c r="AW684" s="20" t="s">
        <v>17</v>
      </c>
      <c r="AX684" s="20" t="s">
        <v>17</v>
      </c>
      <c r="AY684" s="20" t="s">
        <v>17</v>
      </c>
      <c r="AZ684" s="5"/>
      <c r="BA684" s="6"/>
      <c r="BB684" s="4"/>
      <c r="BC684" s="6"/>
      <c r="BD684" s="6"/>
      <c r="BE684" s="6"/>
      <c r="BF684" s="7"/>
    </row>
    <row r="685" spans="1:58" ht="18" customHeight="1">
      <c r="A685" s="107" t="s">
        <v>15</v>
      </c>
      <c r="B685" s="93" t="s">
        <v>658</v>
      </c>
      <c r="C685" s="42">
        <v>1807.5</v>
      </c>
      <c r="D685" s="42">
        <v>1807.62</v>
      </c>
      <c r="E685" s="42">
        <v>1807.56</v>
      </c>
      <c r="F685" s="42">
        <v>1807.56</v>
      </c>
      <c r="G685" s="43">
        <v>134378.58260597201</v>
      </c>
      <c r="H685" s="43">
        <v>131791.508351709</v>
      </c>
      <c r="I685" s="27">
        <f t="shared" si="30"/>
        <v>1</v>
      </c>
      <c r="J685" s="27">
        <f t="shared" si="32"/>
        <v>3</v>
      </c>
      <c r="K685" s="27">
        <f t="shared" si="31"/>
        <v>2</v>
      </c>
      <c r="L685" s="25">
        <v>516.22476499999993</v>
      </c>
      <c r="M685" s="25">
        <v>519.70565691499712</v>
      </c>
      <c r="N685" s="38">
        <v>0.51293543109716866</v>
      </c>
      <c r="O685" s="38">
        <v>-8.9412292794256452</v>
      </c>
      <c r="P685" s="71">
        <v>-11.04555269598151</v>
      </c>
      <c r="Q685" s="53">
        <v>42573</v>
      </c>
      <c r="R685" s="23">
        <v>9</v>
      </c>
      <c r="S685" s="24">
        <v>516.22476499999993</v>
      </c>
      <c r="T685" s="24">
        <v>519.70565691499712</v>
      </c>
      <c r="U685" s="1">
        <v>0.52190227423465352</v>
      </c>
      <c r="V685" s="2">
        <v>-8.8172137591731037</v>
      </c>
      <c r="W685" s="2">
        <v>-10.904822856111718</v>
      </c>
      <c r="X685" s="22">
        <v>44054</v>
      </c>
      <c r="Y685" s="23" t="s">
        <v>88</v>
      </c>
      <c r="Z685" s="24"/>
      <c r="AA685" s="24"/>
      <c r="AB685" s="1">
        <v>0.48664458501357366</v>
      </c>
      <c r="AC685" s="2"/>
      <c r="AD685" s="2"/>
      <c r="AE685" s="22">
        <v>44224</v>
      </c>
      <c r="AF685" s="23">
        <v>10</v>
      </c>
      <c r="AG685" s="24"/>
      <c r="AH685" s="24" t="s">
        <v>17</v>
      </c>
      <c r="AI685" s="1">
        <v>0.53025943404327869</v>
      </c>
      <c r="AJ685" s="2">
        <v>-9.0652447996781849</v>
      </c>
      <c r="AK685" s="2">
        <v>-11.1862825358513</v>
      </c>
      <c r="AL685" s="22" t="s">
        <v>17</v>
      </c>
      <c r="AM685" s="4" t="s">
        <v>17</v>
      </c>
      <c r="AN685" s="24" t="s">
        <v>17</v>
      </c>
      <c r="AO685" s="24" t="s">
        <v>17</v>
      </c>
      <c r="AP685" s="1" t="s">
        <v>17</v>
      </c>
      <c r="AQ685" s="2" t="s">
        <v>17</v>
      </c>
      <c r="AR685" s="2" t="s">
        <v>17</v>
      </c>
      <c r="AS685" s="3"/>
      <c r="AT685" s="2"/>
      <c r="AU685" s="4"/>
      <c r="AV685" s="2"/>
      <c r="AW685" s="1" t="s">
        <v>17</v>
      </c>
      <c r="AX685" s="2" t="s">
        <v>17</v>
      </c>
      <c r="AY685" s="2" t="s">
        <v>17</v>
      </c>
      <c r="AZ685" s="5"/>
      <c r="BA685" s="6"/>
      <c r="BB685" s="4"/>
      <c r="BC685" s="6"/>
      <c r="BD685" s="6"/>
      <c r="BE685" s="6"/>
      <c r="BF685" s="7"/>
    </row>
    <row r="686" spans="1:58" ht="18" customHeight="1">
      <c r="A686" s="107" t="s">
        <v>15</v>
      </c>
      <c r="B686" s="93" t="s">
        <v>659</v>
      </c>
      <c r="C686" s="42">
        <v>1811.5</v>
      </c>
      <c r="D686" s="42">
        <v>1811.62</v>
      </c>
      <c r="E686" s="42">
        <v>1811.56</v>
      </c>
      <c r="F686" s="42">
        <v>1811.56</v>
      </c>
      <c r="G686" s="43">
        <v>134927.598854221</v>
      </c>
      <c r="H686" s="43">
        <v>132177.00442228399</v>
      </c>
      <c r="I686" s="27">
        <f t="shared" si="30"/>
        <v>2</v>
      </c>
      <c r="J686" s="27">
        <f t="shared" si="32"/>
        <v>1</v>
      </c>
      <c r="K686" s="27">
        <f t="shared" si="31"/>
        <v>1</v>
      </c>
      <c r="L686" s="25">
        <v>513.76164874999995</v>
      </c>
      <c r="M686" s="25">
        <v>517.14313888822289</v>
      </c>
      <c r="N686" s="38">
        <v>0.52467861201055399</v>
      </c>
      <c r="O686" s="38">
        <v>-9.7268395978392661</v>
      </c>
      <c r="P686" s="71">
        <v>-11.825554045881482</v>
      </c>
      <c r="Q686" s="53">
        <v>42419</v>
      </c>
      <c r="R686" s="23">
        <v>9</v>
      </c>
      <c r="S686" s="24">
        <v>513.73830850000002</v>
      </c>
      <c r="T686" s="24">
        <v>517.22086223411441</v>
      </c>
      <c r="U686" s="1">
        <v>0.52467861201055399</v>
      </c>
      <c r="V686" s="2">
        <v>-9.7268395978392661</v>
      </c>
      <c r="W686" s="2">
        <v>-11.825554045881482</v>
      </c>
      <c r="X686" s="22">
        <v>42419</v>
      </c>
      <c r="Y686" s="23">
        <v>9</v>
      </c>
      <c r="Z686" s="24">
        <v>513.784989</v>
      </c>
      <c r="AA686" s="24">
        <v>517.06541554233138</v>
      </c>
      <c r="AB686" s="1"/>
      <c r="AC686" s="2"/>
      <c r="AD686" s="2"/>
      <c r="AE686" s="22" t="s">
        <v>17</v>
      </c>
      <c r="AF686" s="23"/>
      <c r="AG686" s="24" t="s">
        <v>17</v>
      </c>
      <c r="AH686" s="24" t="s">
        <v>17</v>
      </c>
      <c r="AI686" s="1" t="s">
        <v>17</v>
      </c>
      <c r="AJ686" s="2" t="s">
        <v>17</v>
      </c>
      <c r="AK686" s="2" t="s">
        <v>17</v>
      </c>
      <c r="AL686" s="22" t="s">
        <v>17</v>
      </c>
      <c r="AM686" s="4" t="s">
        <v>17</v>
      </c>
      <c r="AN686" s="24" t="s">
        <v>17</v>
      </c>
      <c r="AO686" s="24" t="s">
        <v>17</v>
      </c>
      <c r="AP686" s="1" t="s">
        <v>17</v>
      </c>
      <c r="AQ686" s="2" t="s">
        <v>17</v>
      </c>
      <c r="AR686" s="2" t="s">
        <v>17</v>
      </c>
      <c r="AS686" s="3"/>
      <c r="AT686" s="2"/>
      <c r="AU686" s="4"/>
      <c r="AV686" s="2"/>
      <c r="AW686" s="20" t="s">
        <v>17</v>
      </c>
      <c r="AX686" s="20" t="s">
        <v>17</v>
      </c>
      <c r="AY686" s="20" t="s">
        <v>17</v>
      </c>
      <c r="AZ686" s="5"/>
      <c r="BA686" s="6"/>
      <c r="BB686" s="4"/>
      <c r="BC686" s="6"/>
      <c r="BD686" s="6"/>
      <c r="BE686" s="6"/>
      <c r="BF686" s="7"/>
    </row>
    <row r="687" spans="1:58" ht="18" customHeight="1">
      <c r="A687" s="107" t="s">
        <v>15</v>
      </c>
      <c r="B687" s="93" t="s">
        <v>660</v>
      </c>
      <c r="C687" s="42">
        <v>1815.5</v>
      </c>
      <c r="D687" s="42">
        <v>1815.62</v>
      </c>
      <c r="E687" s="42">
        <v>1815.56</v>
      </c>
      <c r="F687" s="42">
        <v>1815.56</v>
      </c>
      <c r="G687" s="43">
        <v>135524.72661445299</v>
      </c>
      <c r="H687" s="43">
        <v>132613.64500677801</v>
      </c>
      <c r="I687" s="27">
        <f t="shared" si="30"/>
        <v>1</v>
      </c>
      <c r="J687" s="27">
        <f t="shared" si="32"/>
        <v>2</v>
      </c>
      <c r="K687" s="27">
        <f t="shared" si="31"/>
        <v>2</v>
      </c>
      <c r="L687" s="25">
        <v>483.90003400000001</v>
      </c>
      <c r="M687" s="25">
        <v>487.18173209028618</v>
      </c>
      <c r="N687" s="38">
        <v>0.51805090916190455</v>
      </c>
      <c r="O687" s="38">
        <v>-10.299856569959465</v>
      </c>
      <c r="P687" s="71">
        <v>-12.372060206607083</v>
      </c>
      <c r="Q687" s="53">
        <v>42564</v>
      </c>
      <c r="R687" s="23">
        <v>9</v>
      </c>
      <c r="S687" s="24">
        <v>483.90003400000001</v>
      </c>
      <c r="T687" s="24">
        <v>487.18173209028618</v>
      </c>
      <c r="U687" s="1">
        <v>0.52490469586730093</v>
      </c>
      <c r="V687" s="2">
        <v>-10.577014039701016</v>
      </c>
      <c r="W687" s="2">
        <v>-12.67663282317022</v>
      </c>
      <c r="X687" s="22">
        <v>44235</v>
      </c>
      <c r="Y687" s="23">
        <v>9</v>
      </c>
      <c r="Z687" s="24"/>
      <c r="AA687" s="24" t="s">
        <v>17</v>
      </c>
      <c r="AB687" s="1">
        <v>0.51119712245650817</v>
      </c>
      <c r="AC687" s="2">
        <v>-10.022699100217913</v>
      </c>
      <c r="AD687" s="2">
        <v>-12.067487590043946</v>
      </c>
      <c r="AE687" s="22" t="s">
        <v>17</v>
      </c>
      <c r="AF687" s="23"/>
      <c r="AG687" s="24" t="s">
        <v>17</v>
      </c>
      <c r="AH687" s="24" t="s">
        <v>17</v>
      </c>
      <c r="AI687" s="1" t="s">
        <v>17</v>
      </c>
      <c r="AJ687" s="2" t="s">
        <v>17</v>
      </c>
      <c r="AK687" s="2" t="s">
        <v>17</v>
      </c>
      <c r="AL687" s="22" t="s">
        <v>17</v>
      </c>
      <c r="AM687" s="4" t="s">
        <v>17</v>
      </c>
      <c r="AN687" s="24" t="s">
        <v>17</v>
      </c>
      <c r="AO687" s="24" t="s">
        <v>17</v>
      </c>
      <c r="AP687" s="1" t="s">
        <v>17</v>
      </c>
      <c r="AQ687" s="2" t="s">
        <v>17</v>
      </c>
      <c r="AR687" s="2" t="s">
        <v>17</v>
      </c>
      <c r="AS687" s="3"/>
      <c r="AT687" s="2"/>
      <c r="AU687" s="4"/>
      <c r="AV687" s="2"/>
      <c r="AW687" s="20" t="s">
        <v>17</v>
      </c>
      <c r="AX687" s="20" t="s">
        <v>17</v>
      </c>
      <c r="AY687" s="20" t="s">
        <v>17</v>
      </c>
      <c r="AZ687" s="5"/>
      <c r="BA687" s="6"/>
      <c r="BB687" s="4"/>
      <c r="BC687" s="6"/>
      <c r="BD687" s="6"/>
      <c r="BE687" s="6"/>
      <c r="BF687" s="7"/>
    </row>
    <row r="688" spans="1:58" ht="18" customHeight="1">
      <c r="A688" s="107" t="s">
        <v>15</v>
      </c>
      <c r="B688" s="93" t="s">
        <v>661</v>
      </c>
      <c r="C688" s="42">
        <v>1820</v>
      </c>
      <c r="D688" s="42">
        <v>1820.095</v>
      </c>
      <c r="E688" s="42">
        <v>1820.0475000000001</v>
      </c>
      <c r="F688" s="42">
        <v>1820.0475000000001</v>
      </c>
      <c r="G688" s="43">
        <v>136242.32243293501</v>
      </c>
      <c r="H688" s="43">
        <v>133106.582539055</v>
      </c>
      <c r="I688" s="27">
        <f t="shared" si="30"/>
        <v>1</v>
      </c>
      <c r="J688" s="27">
        <f t="shared" si="32"/>
        <v>1</v>
      </c>
      <c r="K688" s="27">
        <f t="shared" si="31"/>
        <v>1</v>
      </c>
      <c r="L688" s="25">
        <v>471.10804050000002</v>
      </c>
      <c r="M688" s="25">
        <v>466.75505024453491</v>
      </c>
      <c r="N688" s="38">
        <v>0.50354869714319683</v>
      </c>
      <c r="O688" s="38">
        <v>-10.667859175595872</v>
      </c>
      <c r="P688" s="71">
        <v>-12.682053964168659</v>
      </c>
      <c r="Q688" s="53">
        <v>42466</v>
      </c>
      <c r="R688" s="23">
        <v>9</v>
      </c>
      <c r="S688" s="24">
        <v>471.10804050000002</v>
      </c>
      <c r="T688" s="24">
        <v>466.75505024453491</v>
      </c>
      <c r="U688" s="1">
        <v>0.50354869714319683</v>
      </c>
      <c r="V688" s="2">
        <v>-10.667859175595872</v>
      </c>
      <c r="W688" s="2">
        <v>-12.682053964168659</v>
      </c>
      <c r="X688" s="22" t="s">
        <v>17</v>
      </c>
      <c r="Y688" s="23"/>
      <c r="Z688" s="24" t="s">
        <v>17</v>
      </c>
      <c r="AA688" s="24" t="s">
        <v>17</v>
      </c>
      <c r="AB688" s="1" t="s">
        <v>17</v>
      </c>
      <c r="AC688" s="2" t="s">
        <v>17</v>
      </c>
      <c r="AD688" s="2" t="s">
        <v>17</v>
      </c>
      <c r="AE688" s="22" t="s">
        <v>17</v>
      </c>
      <c r="AF688" s="23"/>
      <c r="AG688" s="24" t="s">
        <v>17</v>
      </c>
      <c r="AH688" s="24" t="s">
        <v>17</v>
      </c>
      <c r="AI688" s="1" t="s">
        <v>17</v>
      </c>
      <c r="AJ688" s="2" t="s">
        <v>17</v>
      </c>
      <c r="AK688" s="2" t="s">
        <v>17</v>
      </c>
      <c r="AL688" s="22" t="s">
        <v>17</v>
      </c>
      <c r="AM688" s="4" t="s">
        <v>17</v>
      </c>
      <c r="AN688" s="24" t="s">
        <v>17</v>
      </c>
      <c r="AO688" s="24" t="s">
        <v>17</v>
      </c>
      <c r="AP688" s="1" t="s">
        <v>17</v>
      </c>
      <c r="AQ688" s="2" t="s">
        <v>17</v>
      </c>
      <c r="AR688" s="2" t="s">
        <v>17</v>
      </c>
      <c r="AS688" s="3"/>
      <c r="AT688" s="2"/>
      <c r="AU688" s="4"/>
      <c r="AV688" s="2"/>
      <c r="AW688" s="20" t="s">
        <v>17</v>
      </c>
      <c r="AX688" s="20" t="s">
        <v>17</v>
      </c>
      <c r="AY688" s="20" t="s">
        <v>17</v>
      </c>
      <c r="AZ688" s="5"/>
      <c r="BA688" s="6"/>
      <c r="BB688" s="4"/>
      <c r="BC688" s="6"/>
      <c r="BD688" s="6"/>
      <c r="BE688" s="6"/>
      <c r="BF688" s="7"/>
    </row>
    <row r="689" spans="1:58" ht="18" customHeight="1">
      <c r="A689" s="107" t="s">
        <v>15</v>
      </c>
      <c r="B689" s="93" t="s">
        <v>662</v>
      </c>
      <c r="C689" s="42">
        <v>1822.5</v>
      </c>
      <c r="D689" s="42">
        <v>1822.62</v>
      </c>
      <c r="E689" s="42">
        <v>1822.56</v>
      </c>
      <c r="F689" s="42">
        <v>1822.56</v>
      </c>
      <c r="G689" s="43">
        <v>136676.89620811201</v>
      </c>
      <c r="H689" s="43">
        <v>133396.314196033</v>
      </c>
      <c r="I689" s="27">
        <f t="shared" si="30"/>
        <v>1</v>
      </c>
      <c r="J689" s="27">
        <f t="shared" si="32"/>
        <v>1</v>
      </c>
      <c r="K689" s="27">
        <f t="shared" si="31"/>
        <v>1</v>
      </c>
      <c r="L689" s="25">
        <v>467.08413999999999</v>
      </c>
      <c r="M689" s="25">
        <v>470.0994930277954</v>
      </c>
      <c r="N689" s="38">
        <v>0.49966684216617985</v>
      </c>
      <c r="O689" s="38">
        <v>-11.117862090517461</v>
      </c>
      <c r="P689" s="71">
        <v>-13.11652945918218</v>
      </c>
      <c r="Q689" s="53">
        <v>42564</v>
      </c>
      <c r="R689" s="23">
        <v>9</v>
      </c>
      <c r="S689" s="24">
        <v>467.08413999999999</v>
      </c>
      <c r="T689" s="24">
        <v>470.0994930277954</v>
      </c>
      <c r="U689" s="1">
        <v>0.49966684216617985</v>
      </c>
      <c r="V689" s="2">
        <v>-11.117862090517461</v>
      </c>
      <c r="W689" s="2">
        <v>-13.11652945918218</v>
      </c>
      <c r="X689" s="22" t="s">
        <v>17</v>
      </c>
      <c r="Y689" s="23"/>
      <c r="Z689" s="24" t="s">
        <v>17</v>
      </c>
      <c r="AA689" s="24" t="s">
        <v>17</v>
      </c>
      <c r="AB689" s="1" t="s">
        <v>17</v>
      </c>
      <c r="AC689" s="2" t="s">
        <v>17</v>
      </c>
      <c r="AD689" s="2" t="s">
        <v>17</v>
      </c>
      <c r="AE689" s="22" t="s">
        <v>17</v>
      </c>
      <c r="AF689" s="23"/>
      <c r="AG689" s="24" t="s">
        <v>17</v>
      </c>
      <c r="AH689" s="24" t="s">
        <v>17</v>
      </c>
      <c r="AI689" s="1" t="s">
        <v>17</v>
      </c>
      <c r="AJ689" s="2" t="s">
        <v>17</v>
      </c>
      <c r="AK689" s="2" t="s">
        <v>17</v>
      </c>
      <c r="AL689" s="22" t="s">
        <v>17</v>
      </c>
      <c r="AM689" s="4" t="s">
        <v>17</v>
      </c>
      <c r="AN689" s="24" t="s">
        <v>17</v>
      </c>
      <c r="AO689" s="24" t="s">
        <v>17</v>
      </c>
      <c r="AP689" s="1" t="s">
        <v>17</v>
      </c>
      <c r="AQ689" s="2" t="s">
        <v>17</v>
      </c>
      <c r="AR689" s="2" t="s">
        <v>17</v>
      </c>
      <c r="AS689" s="3"/>
      <c r="AT689" s="2"/>
      <c r="AU689" s="4"/>
      <c r="AV689" s="2"/>
      <c r="AW689" s="20" t="s">
        <v>17</v>
      </c>
      <c r="AX689" s="20" t="s">
        <v>17</v>
      </c>
      <c r="AY689" s="20" t="s">
        <v>17</v>
      </c>
      <c r="AZ689" s="5"/>
      <c r="BA689" s="6"/>
      <c r="BB689" s="4"/>
      <c r="BC689" s="6"/>
      <c r="BD689" s="6"/>
      <c r="BE689" s="6"/>
      <c r="BF689" s="7"/>
    </row>
    <row r="690" spans="1:58" ht="18" customHeight="1">
      <c r="A690" s="107" t="s">
        <v>15</v>
      </c>
      <c r="B690" s="93" t="s">
        <v>663</v>
      </c>
      <c r="C690" s="42">
        <v>1825.5</v>
      </c>
      <c r="D690" s="42">
        <v>1825.62</v>
      </c>
      <c r="E690" s="42">
        <v>1825.56</v>
      </c>
      <c r="F690" s="42">
        <v>1825.56</v>
      </c>
      <c r="G690" s="43">
        <v>137224.43827019699</v>
      </c>
      <c r="H690" s="43">
        <v>133755.784137337</v>
      </c>
      <c r="I690" s="27">
        <f t="shared" si="30"/>
        <v>3</v>
      </c>
      <c r="J690" s="27">
        <f t="shared" si="32"/>
        <v>3</v>
      </c>
      <c r="K690" s="27">
        <f t="shared" si="31"/>
        <v>2</v>
      </c>
      <c r="L690" s="25">
        <v>458.76484716666664</v>
      </c>
      <c r="M690" s="25">
        <v>456.76799067996086</v>
      </c>
      <c r="N690" s="38">
        <v>0.49738048623108416</v>
      </c>
      <c r="O690" s="38">
        <v>-10.615783795727641</v>
      </c>
      <c r="P690" s="71">
        <v>-12.60596055141966</v>
      </c>
      <c r="Q690" s="53">
        <v>42432</v>
      </c>
      <c r="R690" s="23">
        <v>9</v>
      </c>
      <c r="S690" s="24">
        <v>460.14076850000004</v>
      </c>
      <c r="T690" s="24">
        <v>455.6594911559846</v>
      </c>
      <c r="U690" s="1">
        <v>0.4938157682554678</v>
      </c>
      <c r="V690" s="2">
        <v>-10.653259786481684</v>
      </c>
      <c r="W690" s="2">
        <v>-12.628522859503555</v>
      </c>
      <c r="X690" s="22">
        <v>42432</v>
      </c>
      <c r="Y690" s="23">
        <v>9</v>
      </c>
      <c r="Z690" s="24">
        <v>457.98598449999997</v>
      </c>
      <c r="AA690" s="24">
        <v>453.5343728401179</v>
      </c>
      <c r="AB690" s="1">
        <v>0.50127260959054176</v>
      </c>
      <c r="AC690" s="2">
        <v>-10.578307804973598</v>
      </c>
      <c r="AD690" s="2">
        <v>-12.583398243335765</v>
      </c>
      <c r="AE690" s="22">
        <v>44102</v>
      </c>
      <c r="AF690" s="23" t="s">
        <v>88</v>
      </c>
      <c r="AG690" s="24">
        <v>458.16778850000003</v>
      </c>
      <c r="AH690" s="24">
        <v>461.11010804378014</v>
      </c>
      <c r="AI690" s="1">
        <v>0.49705308084724287</v>
      </c>
      <c r="AJ690" s="2"/>
      <c r="AK690" s="2"/>
      <c r="AL690" s="22" t="s">
        <v>17</v>
      </c>
      <c r="AM690" s="4" t="s">
        <v>17</v>
      </c>
      <c r="AN690" s="24" t="s">
        <v>17</v>
      </c>
      <c r="AO690" s="24" t="s">
        <v>17</v>
      </c>
      <c r="AP690" s="1" t="s">
        <v>17</v>
      </c>
      <c r="AQ690" s="2" t="s">
        <v>17</v>
      </c>
      <c r="AR690" s="2" t="s">
        <v>17</v>
      </c>
      <c r="AS690" s="3"/>
      <c r="AT690" s="2"/>
      <c r="AU690" s="4"/>
      <c r="AV690" s="2"/>
      <c r="AW690" s="20" t="s">
        <v>17</v>
      </c>
      <c r="AX690" s="20" t="s">
        <v>17</v>
      </c>
      <c r="AY690" s="20" t="s">
        <v>17</v>
      </c>
      <c r="AZ690" s="5"/>
      <c r="BA690" s="6"/>
      <c r="BB690" s="4"/>
      <c r="BC690" s="6"/>
      <c r="BD690" s="6"/>
      <c r="BE690" s="6"/>
      <c r="BF690" s="7"/>
    </row>
    <row r="691" spans="1:58" ht="18" customHeight="1">
      <c r="A691" s="107" t="s">
        <v>15</v>
      </c>
      <c r="B691" s="93" t="s">
        <v>664</v>
      </c>
      <c r="C691" s="42">
        <v>1828.5</v>
      </c>
      <c r="D691" s="42">
        <v>1828.62</v>
      </c>
      <c r="E691" s="42">
        <v>1828.56</v>
      </c>
      <c r="F691" s="42">
        <v>1828.56</v>
      </c>
      <c r="G691" s="43">
        <v>137732.468398144</v>
      </c>
      <c r="H691" s="43">
        <v>134128.90960859499</v>
      </c>
      <c r="I691" s="27">
        <f t="shared" si="30"/>
        <v>1</v>
      </c>
      <c r="J691" s="27">
        <f t="shared" si="32"/>
        <v>1</v>
      </c>
      <c r="K691" s="27">
        <f t="shared" si="31"/>
        <v>1</v>
      </c>
      <c r="L691" s="25">
        <v>469.043274</v>
      </c>
      <c r="M691" s="25">
        <v>472.14091390049185</v>
      </c>
      <c r="N691" s="38">
        <v>0.51115840167614834</v>
      </c>
      <c r="O691" s="38">
        <v>-10.451226182165986</v>
      </c>
      <c r="P691" s="71">
        <v>-12.495859788870579</v>
      </c>
      <c r="Q691" s="53">
        <v>42528</v>
      </c>
      <c r="R691" s="23">
        <v>9</v>
      </c>
      <c r="S691" s="24">
        <v>469.043274</v>
      </c>
      <c r="T691" s="24">
        <v>472.14091390049185</v>
      </c>
      <c r="U691" s="1">
        <v>0.51115840167614834</v>
      </c>
      <c r="V691" s="2">
        <v>-10.451226182165986</v>
      </c>
      <c r="W691" s="2">
        <v>-12.495859788870579</v>
      </c>
      <c r="X691" s="22" t="s">
        <v>17</v>
      </c>
      <c r="Y691" s="23"/>
      <c r="Z691" s="24" t="s">
        <v>17</v>
      </c>
      <c r="AA691" s="24" t="s">
        <v>17</v>
      </c>
      <c r="AB691" s="1" t="s">
        <v>17</v>
      </c>
      <c r="AC691" s="2" t="s">
        <v>17</v>
      </c>
      <c r="AD691" s="2" t="s">
        <v>17</v>
      </c>
      <c r="AE691" s="22" t="s">
        <v>17</v>
      </c>
      <c r="AF691" s="23"/>
      <c r="AG691" s="24" t="s">
        <v>17</v>
      </c>
      <c r="AH691" s="24" t="s">
        <v>17</v>
      </c>
      <c r="AI691" s="1" t="s">
        <v>17</v>
      </c>
      <c r="AJ691" s="2" t="s">
        <v>17</v>
      </c>
      <c r="AK691" s="2" t="s">
        <v>17</v>
      </c>
      <c r="AL691" s="22" t="s">
        <v>17</v>
      </c>
      <c r="AM691" s="4" t="s">
        <v>17</v>
      </c>
      <c r="AN691" s="24" t="s">
        <v>17</v>
      </c>
      <c r="AO691" s="24" t="s">
        <v>17</v>
      </c>
      <c r="AP691" s="1" t="s">
        <v>17</v>
      </c>
      <c r="AQ691" s="2" t="s">
        <v>17</v>
      </c>
      <c r="AR691" s="2" t="s">
        <v>17</v>
      </c>
      <c r="AS691" s="3"/>
      <c r="AT691" s="2"/>
      <c r="AU691" s="4"/>
      <c r="AV691" s="2"/>
      <c r="AW691" s="20" t="s">
        <v>17</v>
      </c>
      <c r="AX691" s="20" t="s">
        <v>17</v>
      </c>
      <c r="AY691" s="20" t="s">
        <v>17</v>
      </c>
      <c r="AZ691" s="5"/>
      <c r="BA691" s="6"/>
      <c r="BB691" s="4"/>
      <c r="BC691" s="6"/>
      <c r="BD691" s="6"/>
      <c r="BE691" s="6"/>
      <c r="BF691" s="7"/>
    </row>
    <row r="692" spans="1:58" ht="18" customHeight="1">
      <c r="A692" s="107" t="s">
        <v>15</v>
      </c>
      <c r="B692" s="93" t="s">
        <v>665</v>
      </c>
      <c r="C692" s="42">
        <v>1831</v>
      </c>
      <c r="D692" s="42">
        <v>1831.12</v>
      </c>
      <c r="E692" s="42">
        <v>1831.06</v>
      </c>
      <c r="F692" s="42">
        <v>1831.06</v>
      </c>
      <c r="G692" s="43">
        <v>138184.603136319</v>
      </c>
      <c r="H692" s="43">
        <v>134452.52582226199</v>
      </c>
      <c r="I692" s="27">
        <f t="shared" si="30"/>
        <v>2</v>
      </c>
      <c r="J692" s="27">
        <f t="shared" si="32"/>
        <v>2</v>
      </c>
      <c r="K692" s="27">
        <f t="shared" si="31"/>
        <v>2</v>
      </c>
      <c r="L692" s="25">
        <v>494.07253850000001</v>
      </c>
      <c r="M692" s="25">
        <v>489.84295170723874</v>
      </c>
      <c r="N692" s="38">
        <v>0.49943597463109057</v>
      </c>
      <c r="O692" s="38">
        <v>-10.000351555759067</v>
      </c>
      <c r="P692" s="71">
        <v>-11.99809545428343</v>
      </c>
      <c r="Q692" s="53">
        <v>42459</v>
      </c>
      <c r="R692" s="23">
        <v>9</v>
      </c>
      <c r="S692" s="24">
        <v>490.88372500000003</v>
      </c>
      <c r="T692" s="24">
        <v>486.65469901500319</v>
      </c>
      <c r="U692" s="1">
        <v>0.50279740018899233</v>
      </c>
      <c r="V692" s="2">
        <v>-9.9911285542908512</v>
      </c>
      <c r="W692" s="2">
        <v>-12.002318155046821</v>
      </c>
      <c r="X692" s="22">
        <v>42460</v>
      </c>
      <c r="Y692" s="23">
        <v>9</v>
      </c>
      <c r="Z692" s="24">
        <v>497.26135199999999</v>
      </c>
      <c r="AA692" s="24">
        <v>493.03120439947423</v>
      </c>
      <c r="AB692" s="1">
        <v>0.49607454907318882</v>
      </c>
      <c r="AC692" s="2">
        <v>-10.009574557227285</v>
      </c>
      <c r="AD692" s="2">
        <v>-11.993872753520041</v>
      </c>
      <c r="AE692" s="22" t="s">
        <v>17</v>
      </c>
      <c r="AF692" s="23"/>
      <c r="AG692" s="24" t="s">
        <v>17</v>
      </c>
      <c r="AH692" s="24" t="s">
        <v>17</v>
      </c>
      <c r="AI692" s="1" t="s">
        <v>17</v>
      </c>
      <c r="AJ692" s="2" t="s">
        <v>17</v>
      </c>
      <c r="AK692" s="2" t="s">
        <v>17</v>
      </c>
      <c r="AL692" s="22" t="s">
        <v>17</v>
      </c>
      <c r="AM692" s="4" t="s">
        <v>17</v>
      </c>
      <c r="AN692" s="24" t="s">
        <v>17</v>
      </c>
      <c r="AO692" s="24" t="s">
        <v>17</v>
      </c>
      <c r="AP692" s="1" t="s">
        <v>17</v>
      </c>
      <c r="AQ692" s="2" t="s">
        <v>17</v>
      </c>
      <c r="AR692" s="2" t="s">
        <v>17</v>
      </c>
      <c r="AS692" s="3"/>
      <c r="AT692" s="2"/>
      <c r="AU692" s="4"/>
      <c r="AV692" s="2"/>
      <c r="AW692" s="20" t="s">
        <v>17</v>
      </c>
      <c r="AX692" s="20" t="s">
        <v>17</v>
      </c>
      <c r="AY692" s="20" t="s">
        <v>17</v>
      </c>
      <c r="AZ692" s="5"/>
      <c r="BA692" s="6"/>
      <c r="BB692" s="4"/>
      <c r="BC692" s="6"/>
      <c r="BD692" s="6"/>
      <c r="BE692" s="6"/>
      <c r="BF692" s="7"/>
    </row>
    <row r="693" spans="1:58" ht="18" customHeight="1">
      <c r="A693" s="107" t="s">
        <v>15</v>
      </c>
      <c r="B693" s="93" t="s">
        <v>666</v>
      </c>
      <c r="C693" s="42">
        <v>1833.5</v>
      </c>
      <c r="D693" s="42">
        <v>1833.62</v>
      </c>
      <c r="E693" s="42">
        <v>1833.56</v>
      </c>
      <c r="F693" s="42">
        <v>1833.56</v>
      </c>
      <c r="G693" s="43">
        <v>138633.24040510401</v>
      </c>
      <c r="H693" s="43">
        <v>134819.827066817</v>
      </c>
      <c r="I693" s="27">
        <f t="shared" si="30"/>
        <v>2</v>
      </c>
      <c r="J693" s="27">
        <f t="shared" si="32"/>
        <v>1</v>
      </c>
      <c r="K693" s="27">
        <f t="shared" si="31"/>
        <v>1</v>
      </c>
      <c r="L693" s="25">
        <v>436.15604299999995</v>
      </c>
      <c r="M693" s="25">
        <v>439.10818308461313</v>
      </c>
      <c r="N693" s="38">
        <v>0.52388088681953882</v>
      </c>
      <c r="O693" s="38">
        <v>-11.648137078580145</v>
      </c>
      <c r="P693" s="71">
        <v>-13.743660625858301</v>
      </c>
      <c r="Q693" s="53">
        <v>42564</v>
      </c>
      <c r="R693" s="23">
        <v>9</v>
      </c>
      <c r="S693" s="24">
        <v>436.07365349999998</v>
      </c>
      <c r="T693" s="24">
        <v>439.02523592789964</v>
      </c>
      <c r="U693" s="1">
        <v>0.52388088681953882</v>
      </c>
      <c r="V693" s="2">
        <v>-11.648137078580145</v>
      </c>
      <c r="W693" s="2">
        <v>-13.743660625858301</v>
      </c>
      <c r="X693" s="22">
        <v>43322</v>
      </c>
      <c r="Y693" s="23" t="s">
        <v>88</v>
      </c>
      <c r="Z693" s="24">
        <v>436.23843249999999</v>
      </c>
      <c r="AA693" s="24">
        <v>439.19113024132662</v>
      </c>
      <c r="AB693" s="4"/>
      <c r="AC693" s="24"/>
      <c r="AD693" s="2"/>
      <c r="AE693" s="22" t="s">
        <v>17</v>
      </c>
      <c r="AF693" s="23"/>
      <c r="AG693" s="24" t="s">
        <v>17</v>
      </c>
      <c r="AH693" s="24" t="s">
        <v>17</v>
      </c>
      <c r="AI693" s="1" t="s">
        <v>17</v>
      </c>
      <c r="AJ693" s="2" t="s">
        <v>17</v>
      </c>
      <c r="AK693" s="2" t="s">
        <v>17</v>
      </c>
      <c r="AL693" s="22" t="s">
        <v>17</v>
      </c>
      <c r="AM693" s="4" t="s">
        <v>17</v>
      </c>
      <c r="AN693" s="24" t="s">
        <v>17</v>
      </c>
      <c r="AO693" s="24" t="s">
        <v>17</v>
      </c>
      <c r="AP693" s="1" t="s">
        <v>17</v>
      </c>
      <c r="AQ693" s="2" t="s">
        <v>17</v>
      </c>
      <c r="AR693" s="2" t="s">
        <v>17</v>
      </c>
      <c r="AS693" s="3"/>
      <c r="AT693" s="2"/>
      <c r="AU693" s="4"/>
      <c r="AV693" s="2"/>
      <c r="AW693" s="20" t="s">
        <v>17</v>
      </c>
      <c r="AX693" s="20" t="s">
        <v>17</v>
      </c>
      <c r="AY693" s="20" t="s">
        <v>17</v>
      </c>
      <c r="AZ693" s="5"/>
      <c r="BA693" s="6"/>
      <c r="BB693" s="4"/>
      <c r="BC693" s="6"/>
      <c r="BD693" s="6"/>
      <c r="BE693" s="6"/>
      <c r="BF693" s="7"/>
    </row>
    <row r="694" spans="1:58" ht="18" customHeight="1">
      <c r="A694" s="107" t="s">
        <v>15</v>
      </c>
      <c r="B694" s="93" t="s">
        <v>667</v>
      </c>
      <c r="C694" s="42">
        <v>1836.5</v>
      </c>
      <c r="D694" s="42">
        <v>1836.62</v>
      </c>
      <c r="E694" s="42">
        <v>1836.56</v>
      </c>
      <c r="F694" s="42">
        <v>1836.56</v>
      </c>
      <c r="G694" s="43">
        <v>139217.30561268501</v>
      </c>
      <c r="H694" s="43">
        <v>135297.61804981201</v>
      </c>
      <c r="I694" s="27">
        <f t="shared" si="30"/>
        <v>2</v>
      </c>
      <c r="J694" s="27">
        <f t="shared" si="32"/>
        <v>2</v>
      </c>
      <c r="K694" s="27">
        <f t="shared" si="31"/>
        <v>2</v>
      </c>
      <c r="L694" s="25">
        <v>422.60812175000001</v>
      </c>
      <c r="M694" s="25">
        <v>417.91106595026815</v>
      </c>
      <c r="N694" s="38">
        <v>0.49826379090167627</v>
      </c>
      <c r="O694" s="38">
        <v>-9.3968985366885143</v>
      </c>
      <c r="P694" s="71">
        <v>-11.389953700295219</v>
      </c>
      <c r="Q694" s="53">
        <v>42439</v>
      </c>
      <c r="R694" s="23">
        <v>9</v>
      </c>
      <c r="S694" s="24">
        <v>424.59101700000002</v>
      </c>
      <c r="T694" s="24">
        <v>419.86913319157622</v>
      </c>
      <c r="U694" s="1">
        <v>0.49125654072113001</v>
      </c>
      <c r="V694" s="2">
        <v>-9.2760614979293656</v>
      </c>
      <c r="W694" s="2">
        <v>-11.241087660813886</v>
      </c>
      <c r="X694" s="22">
        <v>42439</v>
      </c>
      <c r="Y694" s="23">
        <v>9</v>
      </c>
      <c r="Z694" s="24">
        <v>420.6252265</v>
      </c>
      <c r="AA694" s="24">
        <v>415.95299870896008</v>
      </c>
      <c r="AB694" s="1">
        <v>0.50527104108222254</v>
      </c>
      <c r="AC694" s="2">
        <v>-9.5177355754476611</v>
      </c>
      <c r="AD694" s="2">
        <v>-11.538819739776551</v>
      </c>
      <c r="AE694" s="22" t="s">
        <v>17</v>
      </c>
      <c r="AF694" s="23"/>
      <c r="AG694" s="24" t="s">
        <v>17</v>
      </c>
      <c r="AH694" s="24" t="s">
        <v>17</v>
      </c>
      <c r="AI694" s="1" t="s">
        <v>17</v>
      </c>
      <c r="AJ694" s="2" t="s">
        <v>17</v>
      </c>
      <c r="AK694" s="2" t="s">
        <v>17</v>
      </c>
      <c r="AL694" s="22" t="s">
        <v>17</v>
      </c>
      <c r="AM694" s="4" t="s">
        <v>17</v>
      </c>
      <c r="AN694" s="24" t="s">
        <v>17</v>
      </c>
      <c r="AO694" s="24" t="s">
        <v>17</v>
      </c>
      <c r="AP694" s="1" t="s">
        <v>17</v>
      </c>
      <c r="AQ694" s="2" t="s">
        <v>17</v>
      </c>
      <c r="AR694" s="2" t="s">
        <v>17</v>
      </c>
      <c r="AS694" s="3"/>
      <c r="AT694" s="2"/>
      <c r="AU694" s="4"/>
      <c r="AV694" s="2"/>
      <c r="AW694" s="1" t="s">
        <v>17</v>
      </c>
      <c r="AX694" s="2" t="s">
        <v>17</v>
      </c>
      <c r="AY694" s="2" t="s">
        <v>17</v>
      </c>
      <c r="AZ694" s="5"/>
      <c r="BA694" s="6"/>
      <c r="BB694" s="4"/>
      <c r="BC694" s="6"/>
      <c r="BD694" s="6"/>
      <c r="BE694" s="6"/>
      <c r="BF694" s="7"/>
    </row>
    <row r="695" spans="1:58" ht="18" customHeight="1">
      <c r="A695" s="107" t="s">
        <v>15</v>
      </c>
      <c r="B695" s="93" t="s">
        <v>668</v>
      </c>
      <c r="C695" s="42">
        <v>1839.38</v>
      </c>
      <c r="D695" s="42">
        <v>1839.5</v>
      </c>
      <c r="E695" s="42">
        <v>1839.44</v>
      </c>
      <c r="F695" s="42">
        <v>1839.44</v>
      </c>
      <c r="G695" s="43">
        <v>139830.230913543</v>
      </c>
      <c r="H695" s="43">
        <v>135800.38731746099</v>
      </c>
      <c r="I695" s="27">
        <f t="shared" si="30"/>
        <v>1</v>
      </c>
      <c r="J695" s="27">
        <f t="shared" si="32"/>
        <v>1</v>
      </c>
      <c r="K695" s="27">
        <f t="shared" si="31"/>
        <v>1</v>
      </c>
      <c r="L695" s="25">
        <v>410.364127</v>
      </c>
      <c r="M695" s="25">
        <v>412.94748103146372</v>
      </c>
      <c r="N695" s="38">
        <v>0.48725019873696596</v>
      </c>
      <c r="O695" s="38">
        <v>-10.313257714890778</v>
      </c>
      <c r="P695" s="71">
        <v>-12.262258509838642</v>
      </c>
      <c r="Q695" s="53">
        <v>42573</v>
      </c>
      <c r="R695" s="23">
        <v>9</v>
      </c>
      <c r="S695" s="24">
        <v>410.364127</v>
      </c>
      <c r="T695" s="24">
        <v>412.94748103146372</v>
      </c>
      <c r="U695" s="1">
        <v>0.48725019873696596</v>
      </c>
      <c r="V695" s="2">
        <v>-10.313257714890778</v>
      </c>
      <c r="W695" s="2">
        <v>-12.262258509838642</v>
      </c>
      <c r="X695" s="22" t="s">
        <v>17</v>
      </c>
      <c r="Y695" s="23"/>
      <c r="Z695" s="24" t="s">
        <v>17</v>
      </c>
      <c r="AA695" s="24" t="s">
        <v>17</v>
      </c>
      <c r="AB695" s="1" t="s">
        <v>17</v>
      </c>
      <c r="AC695" s="2" t="s">
        <v>17</v>
      </c>
      <c r="AD695" s="2" t="s">
        <v>17</v>
      </c>
      <c r="AE695" s="22" t="s">
        <v>17</v>
      </c>
      <c r="AF695" s="23"/>
      <c r="AG695" s="24" t="s">
        <v>17</v>
      </c>
      <c r="AH695" s="24" t="s">
        <v>17</v>
      </c>
      <c r="AI695" s="1" t="s">
        <v>17</v>
      </c>
      <c r="AJ695" s="2" t="s">
        <v>17</v>
      </c>
      <c r="AK695" s="2" t="s">
        <v>17</v>
      </c>
      <c r="AL695" s="22" t="s">
        <v>17</v>
      </c>
      <c r="AM695" s="4" t="s">
        <v>17</v>
      </c>
      <c r="AN695" s="24" t="s">
        <v>17</v>
      </c>
      <c r="AO695" s="24" t="s">
        <v>17</v>
      </c>
      <c r="AP695" s="1" t="s">
        <v>17</v>
      </c>
      <c r="AQ695" s="2" t="s">
        <v>17</v>
      </c>
      <c r="AR695" s="2" t="s">
        <v>17</v>
      </c>
      <c r="AS695" s="3"/>
      <c r="AT695" s="2"/>
      <c r="AU695" s="4"/>
      <c r="AV695" s="2"/>
      <c r="AW695" s="20" t="s">
        <v>17</v>
      </c>
      <c r="AX695" s="20" t="s">
        <v>17</v>
      </c>
      <c r="AY695" s="20" t="s">
        <v>17</v>
      </c>
      <c r="AZ695" s="5"/>
      <c r="BA695" s="6"/>
      <c r="BB695" s="4"/>
      <c r="BC695" s="6"/>
      <c r="BD695" s="6"/>
      <c r="BE695" s="6"/>
      <c r="BF695" s="7"/>
    </row>
    <row r="696" spans="1:58" ht="18" customHeight="1">
      <c r="A696" s="107" t="s">
        <v>15</v>
      </c>
      <c r="B696" s="93" t="s">
        <v>669</v>
      </c>
      <c r="C696" s="42">
        <v>1841.5</v>
      </c>
      <c r="D696" s="42">
        <v>1841.62</v>
      </c>
      <c r="E696" s="42">
        <v>1841.56</v>
      </c>
      <c r="F696" s="42">
        <v>1841.56</v>
      </c>
      <c r="G696" s="43">
        <v>140234.05616656301</v>
      </c>
      <c r="H696" s="43">
        <v>136200.00247331301</v>
      </c>
      <c r="I696" s="27">
        <f t="shared" si="30"/>
        <v>2</v>
      </c>
      <c r="J696" s="27">
        <f t="shared" si="32"/>
        <v>2</v>
      </c>
      <c r="K696" s="27">
        <f t="shared" si="31"/>
        <v>2</v>
      </c>
      <c r="L696" s="25">
        <v>411.54658975000001</v>
      </c>
      <c r="M696" s="25">
        <v>413.99063106124788</v>
      </c>
      <c r="N696" s="38">
        <v>0.45966586881784899</v>
      </c>
      <c r="O696" s="38">
        <v>-9.9631853076712638</v>
      </c>
      <c r="P696" s="71">
        <v>-11.80184878294266</v>
      </c>
      <c r="Q696" s="53">
        <v>42418</v>
      </c>
      <c r="R696" s="23">
        <v>9</v>
      </c>
      <c r="S696" s="24">
        <v>409.68491749999998</v>
      </c>
      <c r="T696" s="24">
        <v>412.13685751877307</v>
      </c>
      <c r="U696" s="1">
        <v>0.46323071979803565</v>
      </c>
      <c r="V696" s="2">
        <v>-10.062694305447707</v>
      </c>
      <c r="W696" s="2">
        <v>-11.915617184639849</v>
      </c>
      <c r="X696" s="22">
        <v>42418</v>
      </c>
      <c r="Y696" s="23">
        <v>12</v>
      </c>
      <c r="Z696" s="24">
        <v>413.40826200000004</v>
      </c>
      <c r="AA696" s="24">
        <v>415.84440460372269</v>
      </c>
      <c r="AB696" s="1">
        <v>0.45610101783766233</v>
      </c>
      <c r="AC696" s="2">
        <v>-9.8636763098948208</v>
      </c>
      <c r="AD696" s="2">
        <v>-11.68808038124547</v>
      </c>
      <c r="AE696" s="22" t="s">
        <v>17</v>
      </c>
      <c r="AF696" s="23"/>
      <c r="AG696" s="24" t="s">
        <v>17</v>
      </c>
      <c r="AH696" s="24" t="s">
        <v>17</v>
      </c>
      <c r="AI696" s="1" t="s">
        <v>17</v>
      </c>
      <c r="AJ696" s="2" t="s">
        <v>17</v>
      </c>
      <c r="AK696" s="2" t="s">
        <v>17</v>
      </c>
      <c r="AL696" s="22" t="s">
        <v>17</v>
      </c>
      <c r="AM696" s="4" t="s">
        <v>17</v>
      </c>
      <c r="AN696" s="24" t="s">
        <v>17</v>
      </c>
      <c r="AO696" s="24" t="s">
        <v>17</v>
      </c>
      <c r="AP696" s="1" t="s">
        <v>17</v>
      </c>
      <c r="AQ696" s="2" t="s">
        <v>17</v>
      </c>
      <c r="AR696" s="2" t="s">
        <v>17</v>
      </c>
      <c r="AS696" s="3"/>
      <c r="AT696" s="2"/>
      <c r="AU696" s="4"/>
      <c r="AV696" s="2"/>
      <c r="AW696" s="20" t="s">
        <v>17</v>
      </c>
      <c r="AX696" s="20" t="s">
        <v>17</v>
      </c>
      <c r="AY696" s="20" t="s">
        <v>17</v>
      </c>
      <c r="AZ696" s="5"/>
      <c r="BA696" s="6"/>
      <c r="BB696" s="4"/>
      <c r="BC696" s="6"/>
      <c r="BD696" s="6"/>
      <c r="BE696" s="6"/>
      <c r="BF696" s="7"/>
    </row>
    <row r="697" spans="1:58" ht="18" customHeight="1">
      <c r="A697" s="107" t="s">
        <v>15</v>
      </c>
      <c r="B697" s="93" t="s">
        <v>670</v>
      </c>
      <c r="C697" s="42">
        <v>1844</v>
      </c>
      <c r="D697" s="42">
        <v>1844.12</v>
      </c>
      <c r="E697" s="42">
        <v>1844.06</v>
      </c>
      <c r="F697" s="42">
        <v>1844.06</v>
      </c>
      <c r="G697" s="43">
        <v>140756.55219794199</v>
      </c>
      <c r="H697" s="43">
        <v>136673.491561779</v>
      </c>
      <c r="I697" s="27">
        <f t="shared" si="30"/>
        <v>1</v>
      </c>
      <c r="J697" s="27">
        <f t="shared" si="32"/>
        <v>1</v>
      </c>
      <c r="K697" s="27">
        <f t="shared" si="31"/>
        <v>1</v>
      </c>
      <c r="L697" s="25">
        <v>402.067003</v>
      </c>
      <c r="M697" s="25">
        <v>404.56178474854107</v>
      </c>
      <c r="N697" s="38">
        <v>0.48025468675572114</v>
      </c>
      <c r="O697" s="38">
        <v>-9.6970555041333562</v>
      </c>
      <c r="P697" s="71">
        <v>-11.618074251156241</v>
      </c>
      <c r="Q697" s="53">
        <v>42528</v>
      </c>
      <c r="R697" s="23">
        <v>9</v>
      </c>
      <c r="S697" s="24">
        <v>402.067003</v>
      </c>
      <c r="T697" s="24">
        <v>404.56178474854107</v>
      </c>
      <c r="U697" s="1">
        <v>0.48025468675572114</v>
      </c>
      <c r="V697" s="2">
        <v>-9.6970555041333562</v>
      </c>
      <c r="W697" s="2">
        <v>-11.618074251156241</v>
      </c>
      <c r="X697" s="22" t="s">
        <v>17</v>
      </c>
      <c r="Y697" s="23"/>
      <c r="Z697" s="24" t="s">
        <v>17</v>
      </c>
      <c r="AA697" s="24" t="s">
        <v>17</v>
      </c>
      <c r="AB697" s="1" t="s">
        <v>17</v>
      </c>
      <c r="AC697" s="2" t="s">
        <v>17</v>
      </c>
      <c r="AD697" s="2" t="s">
        <v>17</v>
      </c>
      <c r="AE697" s="22" t="s">
        <v>17</v>
      </c>
      <c r="AF697" s="23"/>
      <c r="AG697" s="24" t="s">
        <v>17</v>
      </c>
      <c r="AH697" s="24" t="s">
        <v>17</v>
      </c>
      <c r="AI697" s="1" t="s">
        <v>17</v>
      </c>
      <c r="AJ697" s="2" t="s">
        <v>17</v>
      </c>
      <c r="AK697" s="2" t="s">
        <v>17</v>
      </c>
      <c r="AL697" s="22" t="s">
        <v>17</v>
      </c>
      <c r="AM697" s="4" t="s">
        <v>17</v>
      </c>
      <c r="AN697" s="24" t="s">
        <v>17</v>
      </c>
      <c r="AO697" s="24" t="s">
        <v>17</v>
      </c>
      <c r="AP697" s="1" t="s">
        <v>17</v>
      </c>
      <c r="AQ697" s="2" t="s">
        <v>17</v>
      </c>
      <c r="AR697" s="2" t="s">
        <v>17</v>
      </c>
      <c r="AS697" s="3"/>
      <c r="AT697" s="2"/>
      <c r="AU697" s="4"/>
      <c r="AV697" s="2"/>
      <c r="AW697" s="20" t="s">
        <v>17</v>
      </c>
      <c r="AX697" s="20" t="s">
        <v>17</v>
      </c>
      <c r="AY697" s="20" t="s">
        <v>17</v>
      </c>
      <c r="AZ697" s="5"/>
      <c r="BA697" s="6"/>
      <c r="BB697" s="4"/>
      <c r="BC697" s="6"/>
      <c r="BD697" s="6"/>
      <c r="BE697" s="6"/>
      <c r="BF697" s="7"/>
    </row>
    <row r="698" spans="1:58" ht="18" customHeight="1">
      <c r="A698" s="107" t="s">
        <v>15</v>
      </c>
      <c r="B698" s="93" t="s">
        <v>671</v>
      </c>
      <c r="C698" s="42">
        <v>1846.5</v>
      </c>
      <c r="D698" s="42">
        <v>1846.58</v>
      </c>
      <c r="E698" s="42">
        <v>1846.54</v>
      </c>
      <c r="F698" s="42">
        <v>1846.54</v>
      </c>
      <c r="G698" s="43">
        <v>141278.58179541599</v>
      </c>
      <c r="H698" s="43">
        <v>137143.23063566399</v>
      </c>
      <c r="I698" s="27">
        <f t="shared" si="30"/>
        <v>1</v>
      </c>
      <c r="J698" s="27">
        <f t="shared" si="32"/>
        <v>1</v>
      </c>
      <c r="K698" s="27">
        <f t="shared" si="31"/>
        <v>1</v>
      </c>
      <c r="L698" s="25">
        <v>397.44271900000001</v>
      </c>
      <c r="M698" s="25">
        <v>392.41598006644728</v>
      </c>
      <c r="N698" s="38">
        <v>0.46495678055191725</v>
      </c>
      <c r="O698" s="38">
        <v>-8.4847341571532287</v>
      </c>
      <c r="P698" s="71">
        <v>-10.344561279360898</v>
      </c>
      <c r="Q698" s="53">
        <v>42466</v>
      </c>
      <c r="R698" s="23">
        <v>9</v>
      </c>
      <c r="S698" s="24">
        <v>397.44271900000001</v>
      </c>
      <c r="T698" s="24">
        <v>392.41598006644728</v>
      </c>
      <c r="U698" s="1">
        <v>0.46495678055191725</v>
      </c>
      <c r="V698" s="2">
        <v>-8.4847341571532287</v>
      </c>
      <c r="W698" s="2">
        <v>-10.344561279360898</v>
      </c>
      <c r="X698" s="22" t="s">
        <v>17</v>
      </c>
      <c r="Y698" s="23"/>
      <c r="Z698" s="24" t="s">
        <v>17</v>
      </c>
      <c r="AA698" s="24" t="s">
        <v>17</v>
      </c>
      <c r="AB698" s="1" t="s">
        <v>17</v>
      </c>
      <c r="AC698" s="2" t="s">
        <v>17</v>
      </c>
      <c r="AD698" s="2" t="s">
        <v>17</v>
      </c>
      <c r="AE698" s="22" t="s">
        <v>17</v>
      </c>
      <c r="AF698" s="23"/>
      <c r="AG698" s="24" t="s">
        <v>17</v>
      </c>
      <c r="AH698" s="24" t="s">
        <v>17</v>
      </c>
      <c r="AI698" s="1" t="s">
        <v>17</v>
      </c>
      <c r="AJ698" s="2" t="s">
        <v>17</v>
      </c>
      <c r="AK698" s="2" t="s">
        <v>17</v>
      </c>
      <c r="AL698" s="22" t="s">
        <v>17</v>
      </c>
      <c r="AM698" s="4" t="s">
        <v>17</v>
      </c>
      <c r="AN698" s="24" t="s">
        <v>17</v>
      </c>
      <c r="AO698" s="24" t="s">
        <v>17</v>
      </c>
      <c r="AP698" s="1" t="s">
        <v>17</v>
      </c>
      <c r="AQ698" s="2" t="s">
        <v>17</v>
      </c>
      <c r="AR698" s="2" t="s">
        <v>17</v>
      </c>
      <c r="AS698" s="3"/>
      <c r="AT698" s="2"/>
      <c r="AU698" s="4"/>
      <c r="AV698" s="2"/>
      <c r="AW698" s="20" t="s">
        <v>17</v>
      </c>
      <c r="AX698" s="20" t="s">
        <v>17</v>
      </c>
      <c r="AY698" s="20" t="s">
        <v>17</v>
      </c>
      <c r="AZ698" s="5"/>
      <c r="BA698" s="6"/>
      <c r="BB698" s="4"/>
      <c r="BC698" s="6"/>
      <c r="BD698" s="6"/>
      <c r="BE698" s="6"/>
      <c r="BF698" s="7"/>
    </row>
    <row r="699" spans="1:58" ht="18" customHeight="1">
      <c r="A699" s="107" t="s">
        <v>15</v>
      </c>
      <c r="B699" s="93" t="s">
        <v>672</v>
      </c>
      <c r="C699" s="42">
        <v>1849</v>
      </c>
      <c r="D699" s="42">
        <v>1849.12</v>
      </c>
      <c r="E699" s="42">
        <v>1849.06</v>
      </c>
      <c r="F699" s="42">
        <v>1849.06</v>
      </c>
      <c r="G699" s="43">
        <v>141786.53658485101</v>
      </c>
      <c r="H699" s="43">
        <v>137566.46729622799</v>
      </c>
      <c r="I699" s="27">
        <f t="shared" si="30"/>
        <v>1</v>
      </c>
      <c r="J699" s="27">
        <f t="shared" si="32"/>
        <v>1</v>
      </c>
      <c r="K699" s="27">
        <f t="shared" si="31"/>
        <v>1</v>
      </c>
      <c r="L699" s="25">
        <v>398.31651450000004</v>
      </c>
      <c r="M699" s="25">
        <v>400.80473023663353</v>
      </c>
      <c r="N699" s="38">
        <v>0.48350080981784949</v>
      </c>
      <c r="O699" s="38">
        <v>-9.3436792571910399</v>
      </c>
      <c r="P699" s="71">
        <v>-11.277682496462438</v>
      </c>
      <c r="Q699" s="53">
        <v>42560</v>
      </c>
      <c r="R699" s="23">
        <v>9</v>
      </c>
      <c r="S699" s="24">
        <v>398.31651450000004</v>
      </c>
      <c r="T699" s="24">
        <v>400.80473023663353</v>
      </c>
      <c r="U699" s="1">
        <v>0.48350080981784949</v>
      </c>
      <c r="V699" s="2">
        <v>-9.3436792571910399</v>
      </c>
      <c r="W699" s="2">
        <v>-11.277682496462438</v>
      </c>
      <c r="X699" s="22" t="s">
        <v>17</v>
      </c>
      <c r="Y699" s="23"/>
      <c r="Z699" s="24" t="s">
        <v>17</v>
      </c>
      <c r="AA699" s="24" t="s">
        <v>17</v>
      </c>
      <c r="AB699" s="1" t="s">
        <v>17</v>
      </c>
      <c r="AC699" s="2" t="s">
        <v>17</v>
      </c>
      <c r="AD699" s="2" t="s">
        <v>17</v>
      </c>
      <c r="AE699" s="22" t="s">
        <v>17</v>
      </c>
      <c r="AF699" s="23"/>
      <c r="AG699" s="24" t="s">
        <v>17</v>
      </c>
      <c r="AH699" s="24" t="s">
        <v>17</v>
      </c>
      <c r="AI699" s="1" t="s">
        <v>17</v>
      </c>
      <c r="AJ699" s="2" t="s">
        <v>17</v>
      </c>
      <c r="AK699" s="2" t="s">
        <v>17</v>
      </c>
      <c r="AL699" s="22" t="s">
        <v>17</v>
      </c>
      <c r="AM699" s="4" t="s">
        <v>17</v>
      </c>
      <c r="AN699" s="24" t="s">
        <v>17</v>
      </c>
      <c r="AO699" s="24" t="s">
        <v>17</v>
      </c>
      <c r="AP699" s="1" t="s">
        <v>17</v>
      </c>
      <c r="AQ699" s="2" t="s">
        <v>17</v>
      </c>
      <c r="AR699" s="2" t="s">
        <v>17</v>
      </c>
      <c r="AS699" s="3"/>
      <c r="AT699" s="2"/>
      <c r="AU699" s="4"/>
      <c r="AV699" s="2"/>
      <c r="AW699" s="20" t="s">
        <v>17</v>
      </c>
      <c r="AX699" s="20" t="s">
        <v>17</v>
      </c>
      <c r="AY699" s="20" t="s">
        <v>17</v>
      </c>
      <c r="AZ699" s="5"/>
      <c r="BA699" s="6"/>
      <c r="BB699" s="4"/>
      <c r="BC699" s="6"/>
      <c r="BD699" s="6"/>
      <c r="BE699" s="6"/>
      <c r="BF699" s="7"/>
    </row>
    <row r="700" spans="1:58" ht="18" customHeight="1">
      <c r="A700" s="107" t="s">
        <v>15</v>
      </c>
      <c r="B700" s="93" t="s">
        <v>673</v>
      </c>
      <c r="C700" s="42">
        <v>1852.5</v>
      </c>
      <c r="D700" s="42">
        <v>1852.62</v>
      </c>
      <c r="E700" s="42">
        <v>1852.56</v>
      </c>
      <c r="F700" s="42">
        <v>1852.56</v>
      </c>
      <c r="G700" s="43">
        <v>142490.60927238301</v>
      </c>
      <c r="H700" s="43">
        <v>138214.36003922901</v>
      </c>
      <c r="I700" s="27">
        <f t="shared" si="30"/>
        <v>2</v>
      </c>
      <c r="J700" s="27">
        <f t="shared" si="32"/>
        <v>2</v>
      </c>
      <c r="K700" s="27">
        <f t="shared" si="31"/>
        <v>2</v>
      </c>
      <c r="L700" s="25">
        <v>400.32036849999997</v>
      </c>
      <c r="M700" s="25">
        <v>402.76993306443524</v>
      </c>
      <c r="N700" s="38">
        <v>0.4735988835085081</v>
      </c>
      <c r="O700" s="38">
        <v>-8.3537174775290559</v>
      </c>
      <c r="P700" s="71">
        <v>-10.248113011563088</v>
      </c>
      <c r="Q700" s="53">
        <v>42416</v>
      </c>
      <c r="R700" s="23">
        <v>9</v>
      </c>
      <c r="S700" s="24">
        <v>399.64455800000002</v>
      </c>
      <c r="T700" s="24">
        <v>402.06319365295451</v>
      </c>
      <c r="U700" s="1">
        <v>0.46841849384438028</v>
      </c>
      <c r="V700" s="2">
        <v>-8.3226977644350608</v>
      </c>
      <c r="W700" s="2">
        <v>-10.196371739812582</v>
      </c>
      <c r="X700" s="22">
        <v>42416</v>
      </c>
      <c r="Y700" s="23">
        <v>9</v>
      </c>
      <c r="Z700" s="24">
        <v>400.99617899999998</v>
      </c>
      <c r="AA700" s="24">
        <v>403.47667247591596</v>
      </c>
      <c r="AB700" s="1">
        <v>0.47877927317263591</v>
      </c>
      <c r="AC700" s="2">
        <v>-8.3847371906230492</v>
      </c>
      <c r="AD700" s="2">
        <v>-10.299854283313593</v>
      </c>
      <c r="AE700" s="22" t="s">
        <v>17</v>
      </c>
      <c r="AF700" s="23"/>
      <c r="AG700" s="24" t="s">
        <v>17</v>
      </c>
      <c r="AH700" s="24" t="s">
        <v>17</v>
      </c>
      <c r="AI700" s="1" t="s">
        <v>17</v>
      </c>
      <c r="AJ700" s="2" t="s">
        <v>17</v>
      </c>
      <c r="AK700" s="2" t="s">
        <v>17</v>
      </c>
      <c r="AL700" s="22" t="s">
        <v>17</v>
      </c>
      <c r="AM700" s="4" t="s">
        <v>17</v>
      </c>
      <c r="AN700" s="24" t="s">
        <v>17</v>
      </c>
      <c r="AO700" s="24" t="s">
        <v>17</v>
      </c>
      <c r="AP700" s="1" t="s">
        <v>17</v>
      </c>
      <c r="AQ700" s="2" t="s">
        <v>17</v>
      </c>
      <c r="AR700" s="2" t="s">
        <v>17</v>
      </c>
      <c r="AS700" s="3"/>
      <c r="AT700" s="2"/>
      <c r="AU700" s="4"/>
      <c r="AV700" s="2"/>
      <c r="AW700" s="20" t="s">
        <v>17</v>
      </c>
      <c r="AX700" s="20" t="s">
        <v>17</v>
      </c>
      <c r="AY700" s="20" t="s">
        <v>17</v>
      </c>
      <c r="AZ700" s="5"/>
      <c r="BA700" s="6"/>
      <c r="BB700" s="4"/>
      <c r="BC700" s="6"/>
      <c r="BD700" s="6"/>
      <c r="BE700" s="6"/>
      <c r="BF700" s="7"/>
    </row>
    <row r="701" spans="1:58" ht="18" customHeight="1">
      <c r="A701" s="107" t="s">
        <v>15</v>
      </c>
      <c r="B701" s="93" t="s">
        <v>674</v>
      </c>
      <c r="C701" s="42">
        <v>1852.7</v>
      </c>
      <c r="D701" s="42">
        <v>1852.82</v>
      </c>
      <c r="E701" s="42">
        <v>1852.76</v>
      </c>
      <c r="F701" s="42">
        <v>1852.76</v>
      </c>
      <c r="G701" s="43">
        <v>142528.526326772</v>
      </c>
      <c r="H701" s="43">
        <v>138260.18988252399</v>
      </c>
      <c r="I701" s="27">
        <f t="shared" si="30"/>
        <v>1</v>
      </c>
      <c r="J701" s="27">
        <f t="shared" si="32"/>
        <v>1</v>
      </c>
      <c r="K701" s="27">
        <f t="shared" si="31"/>
        <v>2</v>
      </c>
      <c r="L701" s="25">
        <v>404.90322349999997</v>
      </c>
      <c r="M701" s="25">
        <v>404.90322349999997</v>
      </c>
      <c r="N701" s="38">
        <v>0.48645723043105882</v>
      </c>
      <c r="O701" s="38">
        <v>-8.0530917236422148</v>
      </c>
      <c r="P701" s="71">
        <v>-9.9989206453664501</v>
      </c>
      <c r="Q701" s="22">
        <v>43531</v>
      </c>
      <c r="R701" s="23">
        <v>10</v>
      </c>
      <c r="S701" s="24"/>
      <c r="T701" s="24"/>
      <c r="U701" s="1">
        <v>0.48645723043105882</v>
      </c>
      <c r="V701" s="2">
        <v>-8.0530917236422148</v>
      </c>
      <c r="W701" s="2">
        <v>-9.9989206453664501</v>
      </c>
      <c r="X701" s="22">
        <v>43531</v>
      </c>
      <c r="Y701" s="23">
        <v>10</v>
      </c>
      <c r="Z701" s="24">
        <v>404.90322349999997</v>
      </c>
      <c r="AA701" s="24">
        <v>404.90322349999997</v>
      </c>
      <c r="AB701" s="1"/>
      <c r="AC701" s="2">
        <v>-8.0530917236422148</v>
      </c>
      <c r="AD701" s="2">
        <v>-9.9989206453664501</v>
      </c>
      <c r="AE701" s="22"/>
      <c r="AF701" s="23"/>
      <c r="AG701" s="24"/>
      <c r="AH701" s="24"/>
      <c r="AI701" s="1"/>
      <c r="AJ701" s="2"/>
      <c r="AK701" s="2"/>
      <c r="AL701" s="22" t="s">
        <v>17</v>
      </c>
      <c r="AM701" s="4" t="s">
        <v>17</v>
      </c>
      <c r="AN701" s="24" t="s">
        <v>17</v>
      </c>
      <c r="AO701" s="24" t="s">
        <v>17</v>
      </c>
      <c r="AP701" s="1" t="s">
        <v>17</v>
      </c>
      <c r="AQ701" s="2" t="s">
        <v>17</v>
      </c>
      <c r="AR701" s="2" t="s">
        <v>17</v>
      </c>
      <c r="AS701" s="3"/>
      <c r="AT701" s="2"/>
      <c r="AU701" s="4"/>
      <c r="AV701" s="2"/>
      <c r="AW701" s="20" t="s">
        <v>17</v>
      </c>
      <c r="AX701" s="20" t="s">
        <v>17</v>
      </c>
      <c r="AY701" s="20" t="s">
        <v>17</v>
      </c>
      <c r="AZ701" s="5"/>
      <c r="BA701" s="6"/>
      <c r="BB701" s="4"/>
      <c r="BC701" s="6"/>
      <c r="BD701" s="6"/>
      <c r="BE701" s="6"/>
      <c r="BF701" s="7"/>
    </row>
    <row r="702" spans="1:58" ht="18" customHeight="1">
      <c r="A702" s="107" t="s">
        <v>15</v>
      </c>
      <c r="B702" s="93" t="s">
        <v>675</v>
      </c>
      <c r="C702" s="42">
        <v>1852.88</v>
      </c>
      <c r="D702" s="42">
        <v>1853</v>
      </c>
      <c r="E702" s="42">
        <v>1852.94</v>
      </c>
      <c r="F702" s="42">
        <v>1852.94</v>
      </c>
      <c r="G702" s="43">
        <v>142562.65167572201</v>
      </c>
      <c r="H702" s="43">
        <v>138301.43674148899</v>
      </c>
      <c r="I702" s="27">
        <f t="shared" si="30"/>
        <v>1</v>
      </c>
      <c r="J702" s="27">
        <f t="shared" si="32"/>
        <v>1</v>
      </c>
      <c r="K702" s="27">
        <f t="shared" si="31"/>
        <v>1</v>
      </c>
      <c r="L702" s="25">
        <v>403.914085</v>
      </c>
      <c r="M702" s="25">
        <v>406.40099043033251</v>
      </c>
      <c r="N702" s="38">
        <v>0.4765492157279283</v>
      </c>
      <c r="O702" s="38">
        <v>-8.066093949957164</v>
      </c>
      <c r="P702" s="71">
        <v>-9.9722908128688772</v>
      </c>
      <c r="Q702" s="53">
        <v>43542</v>
      </c>
      <c r="R702" s="23">
        <v>10</v>
      </c>
      <c r="S702" s="24">
        <v>403.914085</v>
      </c>
      <c r="T702" s="24">
        <v>406.40099043033251</v>
      </c>
      <c r="U702" s="1">
        <v>0.4765492157279283</v>
      </c>
      <c r="V702" s="2">
        <v>-8.066093949957164</v>
      </c>
      <c r="W702" s="2">
        <v>-9.9722908128688772</v>
      </c>
      <c r="X702" s="22" t="s">
        <v>17</v>
      </c>
      <c r="Y702" s="23"/>
      <c r="Z702" s="24" t="s">
        <v>17</v>
      </c>
      <c r="AA702" s="24" t="s">
        <v>17</v>
      </c>
      <c r="AB702" s="1" t="s">
        <v>17</v>
      </c>
      <c r="AC702" s="2" t="s">
        <v>17</v>
      </c>
      <c r="AD702" s="2" t="s">
        <v>17</v>
      </c>
      <c r="AE702" s="22" t="s">
        <v>17</v>
      </c>
      <c r="AF702" s="23"/>
      <c r="AG702" s="24" t="s">
        <v>17</v>
      </c>
      <c r="AH702" s="24" t="s">
        <v>17</v>
      </c>
      <c r="AI702" s="1" t="s">
        <v>17</v>
      </c>
      <c r="AJ702" s="2" t="s">
        <v>17</v>
      </c>
      <c r="AK702" s="2" t="s">
        <v>17</v>
      </c>
      <c r="AL702" s="22" t="s">
        <v>17</v>
      </c>
      <c r="AM702" s="4" t="s">
        <v>17</v>
      </c>
      <c r="AN702" s="24" t="s">
        <v>17</v>
      </c>
      <c r="AO702" s="24" t="s">
        <v>17</v>
      </c>
      <c r="AP702" s="1" t="s">
        <v>17</v>
      </c>
      <c r="AQ702" s="2" t="s">
        <v>17</v>
      </c>
      <c r="AR702" s="2" t="s">
        <v>17</v>
      </c>
      <c r="AS702" s="3"/>
      <c r="AT702" s="2"/>
      <c r="AU702" s="4"/>
      <c r="AV702" s="2"/>
      <c r="AW702" s="20" t="s">
        <v>17</v>
      </c>
      <c r="AX702" s="20" t="s">
        <v>17</v>
      </c>
      <c r="AY702" s="20" t="s">
        <v>17</v>
      </c>
      <c r="AZ702" s="5"/>
      <c r="BA702" s="6"/>
      <c r="BB702" s="4"/>
      <c r="BC702" s="6"/>
      <c r="BD702" s="6"/>
      <c r="BE702" s="6"/>
      <c r="BF702" s="7"/>
    </row>
    <row r="703" spans="1:58" ht="18" customHeight="1">
      <c r="A703" s="107" t="s">
        <v>15</v>
      </c>
      <c r="B703" s="93" t="s">
        <v>676</v>
      </c>
      <c r="C703" s="42">
        <v>1853.5</v>
      </c>
      <c r="D703" s="42">
        <v>1853.62</v>
      </c>
      <c r="E703" s="42">
        <v>1853.56</v>
      </c>
      <c r="F703" s="42">
        <v>1853.56</v>
      </c>
      <c r="G703" s="43">
        <v>142685.74654305601</v>
      </c>
      <c r="H703" s="43">
        <v>138433.35108670499</v>
      </c>
      <c r="I703" s="27">
        <f t="shared" si="30"/>
        <v>1</v>
      </c>
      <c r="J703" s="27">
        <f t="shared" si="32"/>
        <v>1</v>
      </c>
      <c r="K703" s="27">
        <f t="shared" si="31"/>
        <v>1</v>
      </c>
      <c r="L703" s="25">
        <v>400.48640350000005</v>
      </c>
      <c r="M703" s="25">
        <v>402.88837754494944</v>
      </c>
      <c r="N703" s="38">
        <v>0.46421377146366183</v>
      </c>
      <c r="O703" s="38">
        <v>-7.861268064650595</v>
      </c>
      <c r="P703" s="71">
        <v>-9.7181231505052423</v>
      </c>
      <c r="Q703" s="53">
        <v>43531</v>
      </c>
      <c r="R703" s="23">
        <v>10</v>
      </c>
      <c r="S703" s="24">
        <v>400.48640350000005</v>
      </c>
      <c r="T703" s="24">
        <v>402.88837754494944</v>
      </c>
      <c r="U703" s="1">
        <v>0.46421377146366183</v>
      </c>
      <c r="V703" s="2">
        <v>-7.861268064650595</v>
      </c>
      <c r="W703" s="2">
        <v>-9.7181231505052423</v>
      </c>
      <c r="X703" s="22" t="s">
        <v>17</v>
      </c>
      <c r="Y703" s="23"/>
      <c r="Z703" s="24" t="s">
        <v>17</v>
      </c>
      <c r="AA703" s="24" t="s">
        <v>17</v>
      </c>
      <c r="AB703" s="1" t="s">
        <v>17</v>
      </c>
      <c r="AC703" s="2" t="s">
        <v>17</v>
      </c>
      <c r="AD703" s="2" t="s">
        <v>17</v>
      </c>
      <c r="AE703" s="22" t="s">
        <v>17</v>
      </c>
      <c r="AF703" s="23"/>
      <c r="AG703" s="24" t="s">
        <v>17</v>
      </c>
      <c r="AH703" s="24" t="s">
        <v>17</v>
      </c>
      <c r="AI703" s="1" t="s">
        <v>17</v>
      </c>
      <c r="AJ703" s="2" t="s">
        <v>17</v>
      </c>
      <c r="AK703" s="2" t="s">
        <v>17</v>
      </c>
      <c r="AL703" s="22" t="s">
        <v>17</v>
      </c>
      <c r="AM703" s="4" t="s">
        <v>17</v>
      </c>
      <c r="AN703" s="24" t="s">
        <v>17</v>
      </c>
      <c r="AO703" s="24" t="s">
        <v>17</v>
      </c>
      <c r="AP703" s="1" t="s">
        <v>17</v>
      </c>
      <c r="AQ703" s="2" t="s">
        <v>17</v>
      </c>
      <c r="AR703" s="2" t="s">
        <v>17</v>
      </c>
      <c r="AS703" s="3"/>
      <c r="AT703" s="2"/>
      <c r="AU703" s="4"/>
      <c r="AV703" s="2"/>
      <c r="AW703" s="20" t="s">
        <v>17</v>
      </c>
      <c r="AX703" s="20" t="s">
        <v>17</v>
      </c>
      <c r="AY703" s="20" t="s">
        <v>17</v>
      </c>
      <c r="AZ703" s="5"/>
      <c r="BA703" s="6"/>
      <c r="BB703" s="4"/>
      <c r="BC703" s="6"/>
      <c r="BD703" s="6"/>
      <c r="BE703" s="6"/>
      <c r="BF703" s="7"/>
    </row>
    <row r="704" spans="1:58" ht="18" customHeight="1">
      <c r="A704" s="107" t="s">
        <v>15</v>
      </c>
      <c r="B704" s="93" t="s">
        <v>677</v>
      </c>
      <c r="C704" s="42">
        <v>1853.74</v>
      </c>
      <c r="D704" s="42">
        <v>1853.86</v>
      </c>
      <c r="E704" s="42">
        <v>1853.8</v>
      </c>
      <c r="F704" s="42">
        <v>1853.8</v>
      </c>
      <c r="G704" s="43">
        <v>142733.62643634999</v>
      </c>
      <c r="H704" s="43">
        <v>138483.99339766</v>
      </c>
      <c r="I704" s="27">
        <f t="shared" si="30"/>
        <v>1</v>
      </c>
      <c r="J704" s="27">
        <f t="shared" si="32"/>
        <v>1</v>
      </c>
      <c r="K704" s="27">
        <f t="shared" si="31"/>
        <v>1</v>
      </c>
      <c r="L704" s="25">
        <v>395.95202599999999</v>
      </c>
      <c r="M704" s="25">
        <v>398.28786178558812</v>
      </c>
      <c r="N704" s="38">
        <v>0.45660138500358549</v>
      </c>
      <c r="O704" s="38">
        <v>-7.6349973930310844</v>
      </c>
      <c r="P704" s="71">
        <v>-9.4614029330454272</v>
      </c>
      <c r="Q704" s="53">
        <v>43536</v>
      </c>
      <c r="R704" s="23">
        <v>10</v>
      </c>
      <c r="S704" s="24">
        <v>395.95202599999999</v>
      </c>
      <c r="T704" s="24">
        <v>398.28786178558812</v>
      </c>
      <c r="U704" s="1">
        <v>0.45660138500358549</v>
      </c>
      <c r="V704" s="2">
        <v>-7.6349973930310844</v>
      </c>
      <c r="W704" s="2">
        <v>-9.4614029330454272</v>
      </c>
      <c r="X704" s="22" t="s">
        <v>17</v>
      </c>
      <c r="Y704" s="23"/>
      <c r="Z704" s="24" t="s">
        <v>17</v>
      </c>
      <c r="AA704" s="24" t="s">
        <v>17</v>
      </c>
      <c r="AB704" s="1" t="s">
        <v>17</v>
      </c>
      <c r="AC704" s="2" t="s">
        <v>17</v>
      </c>
      <c r="AD704" s="2" t="s">
        <v>17</v>
      </c>
      <c r="AE704" s="22" t="s">
        <v>17</v>
      </c>
      <c r="AF704" s="23"/>
      <c r="AG704" s="24" t="s">
        <v>17</v>
      </c>
      <c r="AH704" s="24" t="s">
        <v>17</v>
      </c>
      <c r="AI704" s="1" t="s">
        <v>17</v>
      </c>
      <c r="AJ704" s="2" t="s">
        <v>17</v>
      </c>
      <c r="AK704" s="2" t="s">
        <v>17</v>
      </c>
      <c r="AL704" s="22" t="s">
        <v>17</v>
      </c>
      <c r="AM704" s="4" t="s">
        <v>17</v>
      </c>
      <c r="AN704" s="24" t="s">
        <v>17</v>
      </c>
      <c r="AO704" s="24" t="s">
        <v>17</v>
      </c>
      <c r="AP704" s="1" t="s">
        <v>17</v>
      </c>
      <c r="AQ704" s="2" t="s">
        <v>17</v>
      </c>
      <c r="AR704" s="2" t="s">
        <v>17</v>
      </c>
      <c r="AS704" s="3"/>
      <c r="AT704" s="2"/>
      <c r="AU704" s="4"/>
      <c r="AV704" s="2"/>
      <c r="AW704" s="20" t="s">
        <v>17</v>
      </c>
      <c r="AX704" s="20" t="s">
        <v>17</v>
      </c>
      <c r="AY704" s="20" t="s">
        <v>17</v>
      </c>
      <c r="AZ704" s="5"/>
      <c r="BA704" s="6"/>
      <c r="BB704" s="4"/>
      <c r="BC704" s="6"/>
      <c r="BD704" s="6"/>
      <c r="BE704" s="6"/>
      <c r="BF704" s="7"/>
    </row>
    <row r="705" spans="1:58" ht="18" customHeight="1">
      <c r="A705" s="107" t="s">
        <v>15</v>
      </c>
      <c r="B705" s="93" t="s">
        <v>678</v>
      </c>
      <c r="C705" s="42">
        <v>1854</v>
      </c>
      <c r="D705" s="42">
        <v>1854.07</v>
      </c>
      <c r="E705" s="42">
        <v>1854.0349999999999</v>
      </c>
      <c r="F705" s="42">
        <v>1854.0349999999999</v>
      </c>
      <c r="G705" s="43">
        <v>142781.977104675</v>
      </c>
      <c r="H705" s="43">
        <v>138534.317538556</v>
      </c>
      <c r="I705" s="27">
        <f t="shared" si="30"/>
        <v>1</v>
      </c>
      <c r="J705" s="27">
        <f t="shared" si="32"/>
        <v>1</v>
      </c>
      <c r="K705" s="27">
        <f t="shared" si="31"/>
        <v>1</v>
      </c>
      <c r="L705" s="25">
        <v>409.00696349999998</v>
      </c>
      <c r="M705" s="25">
        <v>411.42275683604436</v>
      </c>
      <c r="N705" s="38">
        <v>0.45715825168968216</v>
      </c>
      <c r="O705" s="38">
        <v>-7.0926999823605064</v>
      </c>
      <c r="P705" s="71">
        <v>-8.9213329891192359</v>
      </c>
      <c r="Q705" s="53">
        <v>43535</v>
      </c>
      <c r="R705" s="23">
        <v>10</v>
      </c>
      <c r="S705" s="24">
        <v>409.00696349999998</v>
      </c>
      <c r="T705" s="24">
        <v>411.42275683604436</v>
      </c>
      <c r="U705" s="1">
        <v>0.45715825168968216</v>
      </c>
      <c r="V705" s="2">
        <v>-7.0926999823605064</v>
      </c>
      <c r="W705" s="2">
        <v>-8.9213329891192359</v>
      </c>
      <c r="X705" s="22" t="s">
        <v>17</v>
      </c>
      <c r="Y705" s="23"/>
      <c r="Z705" s="24" t="s">
        <v>17</v>
      </c>
      <c r="AA705" s="24" t="s">
        <v>17</v>
      </c>
      <c r="AB705" s="1" t="s">
        <v>17</v>
      </c>
      <c r="AC705" s="2" t="s">
        <v>17</v>
      </c>
      <c r="AD705" s="2" t="s">
        <v>17</v>
      </c>
      <c r="AE705" s="22" t="s">
        <v>17</v>
      </c>
      <c r="AF705" s="23"/>
      <c r="AG705" s="24" t="s">
        <v>17</v>
      </c>
      <c r="AH705" s="24" t="s">
        <v>17</v>
      </c>
      <c r="AI705" s="1" t="s">
        <v>17</v>
      </c>
      <c r="AJ705" s="2" t="s">
        <v>17</v>
      </c>
      <c r="AK705" s="2" t="s">
        <v>17</v>
      </c>
      <c r="AL705" s="22" t="s">
        <v>17</v>
      </c>
      <c r="AM705" s="4" t="s">
        <v>17</v>
      </c>
      <c r="AN705" s="24" t="s">
        <v>17</v>
      </c>
      <c r="AO705" s="24" t="s">
        <v>17</v>
      </c>
      <c r="AP705" s="1" t="s">
        <v>17</v>
      </c>
      <c r="AQ705" s="2" t="s">
        <v>17</v>
      </c>
      <c r="AR705" s="2" t="s">
        <v>17</v>
      </c>
      <c r="AS705" s="3"/>
      <c r="AT705" s="2"/>
      <c r="AU705" s="4"/>
      <c r="AV705" s="2"/>
      <c r="AW705" s="20" t="s">
        <v>17</v>
      </c>
      <c r="AX705" s="20" t="s">
        <v>17</v>
      </c>
      <c r="AY705" s="20" t="s">
        <v>17</v>
      </c>
      <c r="AZ705" s="5"/>
      <c r="BA705" s="6"/>
      <c r="BB705" s="4"/>
      <c r="BC705" s="6"/>
      <c r="BD705" s="6"/>
      <c r="BE705" s="6"/>
      <c r="BF705" s="7"/>
    </row>
    <row r="706" spans="1:58" ht="18" customHeight="1">
      <c r="A706" s="107" t="s">
        <v>15</v>
      </c>
      <c r="B706" s="93" t="s">
        <v>679</v>
      </c>
      <c r="C706" s="42">
        <v>1854.25</v>
      </c>
      <c r="D706" s="42">
        <v>1854.37</v>
      </c>
      <c r="E706" s="42">
        <v>1854.31</v>
      </c>
      <c r="F706" s="42">
        <v>1854.31</v>
      </c>
      <c r="G706" s="43">
        <v>142839.019716098</v>
      </c>
      <c r="H706" s="43">
        <v>138589.14249048199</v>
      </c>
      <c r="I706" s="27">
        <f t="shared" si="30"/>
        <v>1</v>
      </c>
      <c r="J706" s="27">
        <f t="shared" si="32"/>
        <v>1</v>
      </c>
      <c r="K706" s="27">
        <f t="shared" si="31"/>
        <v>1</v>
      </c>
      <c r="L706" s="25">
        <v>408.58848399999999</v>
      </c>
      <c r="M706" s="25">
        <v>411.08092626919796</v>
      </c>
      <c r="N706" s="38">
        <v>0.47214617122692815</v>
      </c>
      <c r="O706" s="38">
        <v>-6.9831247219337422</v>
      </c>
      <c r="P706" s="71">
        <v>-8.8717094068414539</v>
      </c>
      <c r="Q706" s="53">
        <v>43538</v>
      </c>
      <c r="R706" s="23">
        <v>10</v>
      </c>
      <c r="S706" s="24">
        <v>408.58848399999999</v>
      </c>
      <c r="T706" s="24">
        <v>411.08092626919796</v>
      </c>
      <c r="U706" s="1">
        <v>0.47214617122692815</v>
      </c>
      <c r="V706" s="2">
        <v>-6.9831247219337422</v>
      </c>
      <c r="W706" s="2">
        <v>-8.8717094068414539</v>
      </c>
      <c r="X706" s="22" t="s">
        <v>17</v>
      </c>
      <c r="Y706" s="23"/>
      <c r="Z706" s="24" t="s">
        <v>17</v>
      </c>
      <c r="AA706" s="24" t="s">
        <v>17</v>
      </c>
      <c r="AB706" s="1" t="s">
        <v>17</v>
      </c>
      <c r="AC706" s="2" t="s">
        <v>17</v>
      </c>
      <c r="AD706" s="2" t="s">
        <v>17</v>
      </c>
      <c r="AE706" s="22" t="s">
        <v>17</v>
      </c>
      <c r="AF706" s="23"/>
      <c r="AG706" s="24" t="s">
        <v>17</v>
      </c>
      <c r="AH706" s="24" t="s">
        <v>17</v>
      </c>
      <c r="AI706" s="1" t="s">
        <v>17</v>
      </c>
      <c r="AJ706" s="2" t="s">
        <v>17</v>
      </c>
      <c r="AK706" s="2" t="s">
        <v>17</v>
      </c>
      <c r="AL706" s="22" t="s">
        <v>17</v>
      </c>
      <c r="AM706" s="4" t="s">
        <v>17</v>
      </c>
      <c r="AN706" s="24" t="s">
        <v>17</v>
      </c>
      <c r="AO706" s="24" t="s">
        <v>17</v>
      </c>
      <c r="AP706" s="1" t="s">
        <v>17</v>
      </c>
      <c r="AQ706" s="2" t="s">
        <v>17</v>
      </c>
      <c r="AR706" s="2" t="s">
        <v>17</v>
      </c>
      <c r="AS706" s="3"/>
      <c r="AT706" s="2"/>
      <c r="AU706" s="4"/>
      <c r="AV706" s="2"/>
      <c r="AW706" s="20" t="s">
        <v>17</v>
      </c>
      <c r="AX706" s="20" t="s">
        <v>17</v>
      </c>
      <c r="AY706" s="20" t="s">
        <v>17</v>
      </c>
      <c r="AZ706" s="5"/>
      <c r="BA706" s="6"/>
      <c r="BB706" s="4"/>
      <c r="BC706" s="6"/>
      <c r="BD706" s="6"/>
      <c r="BE706" s="6"/>
      <c r="BF706" s="7"/>
    </row>
    <row r="707" spans="1:58" ht="18" customHeight="1">
      <c r="A707" s="107" t="s">
        <v>15</v>
      </c>
      <c r="B707" s="93" t="s">
        <v>680</v>
      </c>
      <c r="C707" s="42">
        <v>1854.5</v>
      </c>
      <c r="D707" s="42">
        <v>1854.62</v>
      </c>
      <c r="E707" s="42">
        <v>1854.56</v>
      </c>
      <c r="F707" s="42">
        <v>1854.56</v>
      </c>
      <c r="G707" s="43">
        <v>142891.836948896</v>
      </c>
      <c r="H707" s="43">
        <v>138639.90633485801</v>
      </c>
      <c r="I707" s="27">
        <f t="shared" si="30"/>
        <v>1</v>
      </c>
      <c r="J707" s="27">
        <f t="shared" si="32"/>
        <v>1</v>
      </c>
      <c r="K707" s="27">
        <f t="shared" si="31"/>
        <v>1</v>
      </c>
      <c r="L707" s="25">
        <v>412.43823150000003</v>
      </c>
      <c r="M707" s="25">
        <v>414.92139793832916</v>
      </c>
      <c r="N707" s="38">
        <v>0.46599837280680845</v>
      </c>
      <c r="O707" s="38">
        <v>-7.53677724786328</v>
      </c>
      <c r="P707" s="71">
        <v>-9.4007707390905146</v>
      </c>
      <c r="Q707" s="53">
        <v>43531</v>
      </c>
      <c r="R707" s="23">
        <v>10</v>
      </c>
      <c r="S707" s="24">
        <v>412.43823150000003</v>
      </c>
      <c r="T707" s="24">
        <v>414.92139793832916</v>
      </c>
      <c r="U707" s="1">
        <v>0.46599837280680845</v>
      </c>
      <c r="V707" s="2">
        <v>-7.53677724786328</v>
      </c>
      <c r="W707" s="2">
        <v>-9.4007707390905146</v>
      </c>
      <c r="X707" s="22" t="s">
        <v>17</v>
      </c>
      <c r="Y707" s="23"/>
      <c r="Z707" s="24" t="s">
        <v>17</v>
      </c>
      <c r="AA707" s="24" t="s">
        <v>17</v>
      </c>
      <c r="AB707" s="23"/>
      <c r="AC707" s="2" t="s">
        <v>17</v>
      </c>
      <c r="AD707" s="2" t="s">
        <v>17</v>
      </c>
      <c r="AE707" s="22" t="s">
        <v>17</v>
      </c>
      <c r="AF707" s="23"/>
      <c r="AG707" s="24" t="s">
        <v>17</v>
      </c>
      <c r="AH707" s="24" t="s">
        <v>17</v>
      </c>
      <c r="AI707" s="1" t="s">
        <v>17</v>
      </c>
      <c r="AJ707" s="2" t="s">
        <v>17</v>
      </c>
      <c r="AK707" s="2" t="s">
        <v>17</v>
      </c>
      <c r="AL707" s="22" t="s">
        <v>17</v>
      </c>
      <c r="AM707" s="4" t="s">
        <v>17</v>
      </c>
      <c r="AN707" s="24" t="s">
        <v>17</v>
      </c>
      <c r="AO707" s="24" t="s">
        <v>17</v>
      </c>
      <c r="AP707" s="1" t="s">
        <v>17</v>
      </c>
      <c r="AQ707" s="2" t="s">
        <v>17</v>
      </c>
      <c r="AR707" s="2" t="s">
        <v>17</v>
      </c>
      <c r="AS707" s="3"/>
      <c r="AT707" s="2"/>
      <c r="AU707" s="4"/>
      <c r="AV707" s="2"/>
      <c r="AW707" s="20" t="s">
        <v>17</v>
      </c>
      <c r="AX707" s="20" t="s">
        <v>17</v>
      </c>
      <c r="AY707" s="20" t="s">
        <v>17</v>
      </c>
      <c r="AZ707" s="5"/>
      <c r="BA707" s="6"/>
      <c r="BB707" s="4"/>
      <c r="BC707" s="6"/>
      <c r="BD707" s="6"/>
      <c r="BE707" s="6"/>
      <c r="BF707" s="7"/>
    </row>
    <row r="708" spans="1:58" ht="18" customHeight="1">
      <c r="A708" s="107" t="s">
        <v>15</v>
      </c>
      <c r="B708" s="93" t="s">
        <v>681</v>
      </c>
      <c r="C708" s="42">
        <v>1854.74</v>
      </c>
      <c r="D708" s="42">
        <v>1854.86</v>
      </c>
      <c r="E708" s="42">
        <v>1854.8</v>
      </c>
      <c r="F708" s="42">
        <v>1854.8</v>
      </c>
      <c r="G708" s="43">
        <v>142942.541492383</v>
      </c>
      <c r="H708" s="43">
        <v>138688.63962545901</v>
      </c>
      <c r="I708" s="27">
        <f t="shared" si="30"/>
        <v>1</v>
      </c>
      <c r="J708" s="27">
        <f t="shared" si="32"/>
        <v>1</v>
      </c>
      <c r="K708" s="27">
        <f t="shared" si="31"/>
        <v>1</v>
      </c>
      <c r="L708" s="25">
        <v>412.07151950000002</v>
      </c>
      <c r="M708" s="25">
        <v>414.54672728660296</v>
      </c>
      <c r="N708" s="38">
        <v>0.464918202255582</v>
      </c>
      <c r="O708" s="38">
        <v>-7.5186937385136599</v>
      </c>
      <c r="P708" s="71">
        <v>-9.3783665475359879</v>
      </c>
      <c r="Q708" s="53">
        <v>43536</v>
      </c>
      <c r="R708" s="23">
        <v>10</v>
      </c>
      <c r="S708" s="24">
        <v>412.07151950000002</v>
      </c>
      <c r="T708" s="24">
        <v>414.54672728660296</v>
      </c>
      <c r="U708" s="1">
        <v>0.464918202255582</v>
      </c>
      <c r="V708" s="2">
        <v>-7.5186937385136599</v>
      </c>
      <c r="W708" s="2">
        <v>-9.3783665475359879</v>
      </c>
      <c r="X708" s="22" t="s">
        <v>17</v>
      </c>
      <c r="Y708" s="23"/>
      <c r="Z708" s="24" t="s">
        <v>17</v>
      </c>
      <c r="AA708" s="24" t="s">
        <v>17</v>
      </c>
      <c r="AB708" s="1" t="s">
        <v>17</v>
      </c>
      <c r="AC708" s="2" t="s">
        <v>17</v>
      </c>
      <c r="AD708" s="2" t="s">
        <v>17</v>
      </c>
      <c r="AE708" s="22" t="s">
        <v>17</v>
      </c>
      <c r="AF708" s="23"/>
      <c r="AG708" s="24" t="s">
        <v>17</v>
      </c>
      <c r="AH708" s="24" t="s">
        <v>17</v>
      </c>
      <c r="AI708" s="1" t="s">
        <v>17</v>
      </c>
      <c r="AJ708" s="2" t="s">
        <v>17</v>
      </c>
      <c r="AK708" s="2" t="s">
        <v>17</v>
      </c>
      <c r="AL708" s="22" t="s">
        <v>17</v>
      </c>
      <c r="AM708" s="4" t="s">
        <v>17</v>
      </c>
      <c r="AN708" s="24" t="s">
        <v>17</v>
      </c>
      <c r="AO708" s="24" t="s">
        <v>17</v>
      </c>
      <c r="AP708" s="1" t="s">
        <v>17</v>
      </c>
      <c r="AQ708" s="2" t="s">
        <v>17</v>
      </c>
      <c r="AR708" s="2" t="s">
        <v>17</v>
      </c>
      <c r="AS708" s="3"/>
      <c r="AT708" s="2"/>
      <c r="AU708" s="4"/>
      <c r="AV708" s="2"/>
      <c r="AW708" s="20" t="s">
        <v>17</v>
      </c>
      <c r="AX708" s="20" t="s">
        <v>17</v>
      </c>
      <c r="AY708" s="20" t="s">
        <v>17</v>
      </c>
      <c r="AZ708" s="5"/>
      <c r="BA708" s="6"/>
      <c r="BB708" s="4"/>
      <c r="BC708" s="6"/>
      <c r="BD708" s="6"/>
      <c r="BE708" s="6"/>
      <c r="BF708" s="7"/>
    </row>
    <row r="709" spans="1:58" ht="18" customHeight="1">
      <c r="A709" s="107" t="s">
        <v>15</v>
      </c>
      <c r="B709" s="93" t="s">
        <v>682</v>
      </c>
      <c r="C709" s="42">
        <v>1855</v>
      </c>
      <c r="D709" s="42">
        <v>1855.12</v>
      </c>
      <c r="E709" s="42">
        <v>1855.06</v>
      </c>
      <c r="F709" s="42">
        <v>1855.06</v>
      </c>
      <c r="G709" s="43">
        <v>142997.67540830199</v>
      </c>
      <c r="H709" s="43">
        <v>138740.609004044</v>
      </c>
      <c r="I709" s="27">
        <f t="shared" si="30"/>
        <v>1</v>
      </c>
      <c r="J709" s="27">
        <f t="shared" si="32"/>
        <v>1</v>
      </c>
      <c r="K709" s="27">
        <f t="shared" si="31"/>
        <v>1</v>
      </c>
      <c r="L709" s="25">
        <v>414.79447700000003</v>
      </c>
      <c r="M709" s="25">
        <v>417.13042171591718</v>
      </c>
      <c r="N709" s="38">
        <v>0.46547181416611849</v>
      </c>
      <c r="O709" s="38">
        <v>-7.0636217852255712</v>
      </c>
      <c r="P709" s="71">
        <v>-8.9255090418900451</v>
      </c>
      <c r="Q709" s="53">
        <v>42565</v>
      </c>
      <c r="R709" s="23">
        <v>9</v>
      </c>
      <c r="S709" s="24">
        <v>414.79447700000003</v>
      </c>
      <c r="T709" s="24">
        <v>417.13042171591718</v>
      </c>
      <c r="U709" s="1"/>
      <c r="V709" s="2"/>
      <c r="W709" s="2"/>
      <c r="X709" s="22">
        <v>43538</v>
      </c>
      <c r="Y709" s="23">
        <v>10</v>
      </c>
      <c r="Z709" s="24"/>
      <c r="AA709" s="24"/>
      <c r="AB709" s="1">
        <v>0.46547181416611849</v>
      </c>
      <c r="AC709" s="2">
        <v>-7.0636217852255712</v>
      </c>
      <c r="AD709" s="2">
        <v>-8.9255090418900451</v>
      </c>
      <c r="AE709" s="22" t="s">
        <v>17</v>
      </c>
      <c r="AF709" s="23"/>
      <c r="AG709" s="24" t="s">
        <v>17</v>
      </c>
      <c r="AH709" s="24" t="s">
        <v>17</v>
      </c>
      <c r="AI709" s="1" t="s">
        <v>17</v>
      </c>
      <c r="AJ709" s="2" t="s">
        <v>17</v>
      </c>
      <c r="AK709" s="2" t="s">
        <v>17</v>
      </c>
      <c r="AL709" s="22" t="s">
        <v>17</v>
      </c>
      <c r="AM709" s="4" t="s">
        <v>17</v>
      </c>
      <c r="AN709" s="24" t="s">
        <v>17</v>
      </c>
      <c r="AO709" s="24" t="s">
        <v>17</v>
      </c>
      <c r="AP709" s="1" t="s">
        <v>17</v>
      </c>
      <c r="AQ709" s="2" t="s">
        <v>17</v>
      </c>
      <c r="AR709" s="2" t="s">
        <v>17</v>
      </c>
      <c r="AS709" s="3"/>
      <c r="AT709" s="2"/>
      <c r="AU709" s="4"/>
      <c r="AV709" s="2"/>
      <c r="AW709" s="20" t="s">
        <v>17</v>
      </c>
      <c r="AX709" s="20" t="s">
        <v>17</v>
      </c>
      <c r="AY709" s="20" t="s">
        <v>17</v>
      </c>
      <c r="AZ709" s="5"/>
      <c r="BA709" s="6"/>
      <c r="BB709" s="4"/>
      <c r="BC709" s="6"/>
      <c r="BD709" s="6"/>
      <c r="BE709" s="6"/>
      <c r="BF709" s="7"/>
    </row>
    <row r="710" spans="1:58" ht="18" customHeight="1">
      <c r="A710" s="107" t="s">
        <v>15</v>
      </c>
      <c r="B710" s="93" t="s">
        <v>683</v>
      </c>
      <c r="C710" s="42">
        <v>1855.22</v>
      </c>
      <c r="D710" s="42">
        <v>1855.32</v>
      </c>
      <c r="E710" s="42">
        <v>1855.27</v>
      </c>
      <c r="F710" s="42">
        <v>1855.27</v>
      </c>
      <c r="G710" s="43">
        <v>143042.75586218401</v>
      </c>
      <c r="H710" s="43">
        <v>138780.36306484</v>
      </c>
      <c r="I710" s="27">
        <f t="shared" si="30"/>
        <v>1</v>
      </c>
      <c r="J710" s="27">
        <f t="shared" si="32"/>
        <v>1</v>
      </c>
      <c r="K710" s="27">
        <f t="shared" si="31"/>
        <v>1</v>
      </c>
      <c r="L710" s="25">
        <v>411.06123100000002</v>
      </c>
      <c r="M710" s="25">
        <v>413.55556386591314</v>
      </c>
      <c r="N710" s="38">
        <v>0.46966195005415656</v>
      </c>
      <c r="O710" s="38">
        <v>-7.4311630678053353</v>
      </c>
      <c r="P710" s="71">
        <v>-9.3098108680219624</v>
      </c>
      <c r="Q710" s="53">
        <v>43530</v>
      </c>
      <c r="R710" s="23">
        <v>10</v>
      </c>
      <c r="S710" s="24">
        <v>411.06123100000002</v>
      </c>
      <c r="T710" s="24">
        <v>413.55556386591314</v>
      </c>
      <c r="U710" s="1">
        <v>0.46966195005415656</v>
      </c>
      <c r="V710" s="2">
        <v>-7.4311630678053353</v>
      </c>
      <c r="W710" s="2">
        <v>-9.3098108680219624</v>
      </c>
      <c r="X710" s="22" t="s">
        <v>17</v>
      </c>
      <c r="Y710" s="23"/>
      <c r="Z710" s="24" t="s">
        <v>17</v>
      </c>
      <c r="AA710" s="24" t="s">
        <v>17</v>
      </c>
      <c r="AB710" s="1" t="s">
        <v>17</v>
      </c>
      <c r="AC710" s="2" t="s">
        <v>17</v>
      </c>
      <c r="AD710" s="2" t="s">
        <v>17</v>
      </c>
      <c r="AE710" s="22" t="s">
        <v>17</v>
      </c>
      <c r="AF710" s="23"/>
      <c r="AG710" s="24" t="s">
        <v>17</v>
      </c>
      <c r="AH710" s="24" t="s">
        <v>17</v>
      </c>
      <c r="AI710" s="1" t="s">
        <v>17</v>
      </c>
      <c r="AJ710" s="2" t="s">
        <v>17</v>
      </c>
      <c r="AK710" s="2" t="s">
        <v>17</v>
      </c>
      <c r="AL710" s="22" t="s">
        <v>17</v>
      </c>
      <c r="AM710" s="4" t="s">
        <v>17</v>
      </c>
      <c r="AN710" s="24" t="s">
        <v>17</v>
      </c>
      <c r="AO710" s="24" t="s">
        <v>17</v>
      </c>
      <c r="AP710" s="1" t="s">
        <v>17</v>
      </c>
      <c r="AQ710" s="2" t="s">
        <v>17</v>
      </c>
      <c r="AR710" s="2" t="s">
        <v>17</v>
      </c>
      <c r="AS710" s="3"/>
      <c r="AT710" s="2"/>
      <c r="AU710" s="4"/>
      <c r="AV710" s="2"/>
      <c r="AW710" s="20" t="s">
        <v>17</v>
      </c>
      <c r="AX710" s="20" t="s">
        <v>17</v>
      </c>
      <c r="AY710" s="20" t="s">
        <v>17</v>
      </c>
      <c r="AZ710" s="5"/>
      <c r="BA710" s="6"/>
      <c r="BB710" s="4"/>
      <c r="BC710" s="6"/>
      <c r="BD710" s="6"/>
      <c r="BE710" s="6"/>
      <c r="BF710" s="7"/>
    </row>
    <row r="711" spans="1:58" ht="18" customHeight="1">
      <c r="A711" s="107" t="s">
        <v>15</v>
      </c>
      <c r="B711" s="93" t="s">
        <v>684</v>
      </c>
      <c r="C711" s="42">
        <v>1855.36</v>
      </c>
      <c r="D711" s="42">
        <v>1855.4449999999999</v>
      </c>
      <c r="E711" s="42">
        <v>1855.4024999999999</v>
      </c>
      <c r="F711" s="42">
        <v>1855.4024999999999</v>
      </c>
      <c r="G711" s="43">
        <v>143070.66280982501</v>
      </c>
      <c r="H711" s="43">
        <v>138804.97272152299</v>
      </c>
      <c r="I711" s="27">
        <f t="shared" si="30"/>
        <v>1</v>
      </c>
      <c r="J711" s="27">
        <f t="shared" si="32"/>
        <v>1</v>
      </c>
      <c r="K711" s="27">
        <f t="shared" si="31"/>
        <v>1</v>
      </c>
      <c r="L711" s="25">
        <v>408.134545</v>
      </c>
      <c r="M711" s="25">
        <v>410.59970176044425</v>
      </c>
      <c r="N711" s="38">
        <v>0.46749683206925852</v>
      </c>
      <c r="O711" s="38">
        <v>-7.5103765496368213</v>
      </c>
      <c r="P711" s="71">
        <v>-9.3803638779138545</v>
      </c>
      <c r="Q711" s="53">
        <v>43538</v>
      </c>
      <c r="R711" s="23">
        <v>10</v>
      </c>
      <c r="S711" s="24">
        <v>408.134545</v>
      </c>
      <c r="T711" s="24">
        <v>410.59970176044425</v>
      </c>
      <c r="U711" s="1">
        <v>0.46749683206925852</v>
      </c>
      <c r="V711" s="2">
        <v>-7.5103765496368213</v>
      </c>
      <c r="W711" s="2">
        <v>-9.3803638779138545</v>
      </c>
      <c r="X711" s="22" t="s">
        <v>17</v>
      </c>
      <c r="Y711" s="23"/>
      <c r="Z711" s="24" t="s">
        <v>17</v>
      </c>
      <c r="AA711" s="24" t="s">
        <v>17</v>
      </c>
      <c r="AB711" s="1" t="s">
        <v>17</v>
      </c>
      <c r="AC711" s="2" t="s">
        <v>17</v>
      </c>
      <c r="AD711" s="2" t="s">
        <v>17</v>
      </c>
      <c r="AE711" s="22" t="s">
        <v>17</v>
      </c>
      <c r="AF711" s="23"/>
      <c r="AG711" s="24" t="s">
        <v>17</v>
      </c>
      <c r="AH711" s="24" t="s">
        <v>17</v>
      </c>
      <c r="AI711" s="1" t="s">
        <v>17</v>
      </c>
      <c r="AJ711" s="2" t="s">
        <v>17</v>
      </c>
      <c r="AK711" s="2" t="s">
        <v>17</v>
      </c>
      <c r="AL711" s="22" t="s">
        <v>17</v>
      </c>
      <c r="AM711" s="4" t="s">
        <v>17</v>
      </c>
      <c r="AN711" s="24" t="s">
        <v>17</v>
      </c>
      <c r="AO711" s="24" t="s">
        <v>17</v>
      </c>
      <c r="AP711" s="1" t="s">
        <v>17</v>
      </c>
      <c r="AQ711" s="2" t="s">
        <v>17</v>
      </c>
      <c r="AR711" s="2" t="s">
        <v>17</v>
      </c>
      <c r="AS711" s="3"/>
      <c r="AT711" s="2"/>
      <c r="AU711" s="4"/>
      <c r="AV711" s="2"/>
      <c r="AW711" s="20" t="s">
        <v>17</v>
      </c>
      <c r="AX711" s="20" t="s">
        <v>17</v>
      </c>
      <c r="AY711" s="20" t="s">
        <v>17</v>
      </c>
      <c r="AZ711" s="5"/>
      <c r="BA711" s="6"/>
      <c r="BB711" s="4"/>
      <c r="BC711" s="6"/>
      <c r="BD711" s="6"/>
      <c r="BE711" s="6"/>
      <c r="BF711" s="7"/>
    </row>
    <row r="712" spans="1:58" ht="18" customHeight="1">
      <c r="A712" s="107" t="s">
        <v>15</v>
      </c>
      <c r="B712" s="93" t="s">
        <v>685</v>
      </c>
      <c r="C712" s="42">
        <v>1856</v>
      </c>
      <c r="D712" s="42">
        <v>1856.12</v>
      </c>
      <c r="E712" s="42">
        <v>1856.06</v>
      </c>
      <c r="F712" s="42">
        <v>1856.06</v>
      </c>
      <c r="G712" s="43">
        <v>143211.70928367201</v>
      </c>
      <c r="H712" s="43">
        <v>138929.67434669501</v>
      </c>
      <c r="I712" s="27">
        <f t="shared" si="30"/>
        <v>1</v>
      </c>
      <c r="J712" s="27">
        <f t="shared" si="32"/>
        <v>1</v>
      </c>
      <c r="K712" s="27">
        <f t="shared" si="31"/>
        <v>1</v>
      </c>
      <c r="L712" s="25">
        <v>387.76685399999997</v>
      </c>
      <c r="M712" s="25">
        <v>390.06967463607509</v>
      </c>
      <c r="N712" s="38">
        <v>0.45964963095346256</v>
      </c>
      <c r="O712" s="38">
        <v>-7.6244101378432072</v>
      </c>
      <c r="P712" s="71">
        <v>-9.4630086616570566</v>
      </c>
      <c r="Q712" s="53">
        <v>43535</v>
      </c>
      <c r="R712" s="23">
        <v>10</v>
      </c>
      <c r="S712" s="24">
        <v>387.76685399999997</v>
      </c>
      <c r="T712" s="24">
        <v>390.06967463607509</v>
      </c>
      <c r="U712" s="1">
        <v>0.45964963095346256</v>
      </c>
      <c r="V712" s="2">
        <v>-7.6244101378432072</v>
      </c>
      <c r="W712" s="2">
        <v>-9.4630086616570566</v>
      </c>
      <c r="X712" s="22" t="s">
        <v>17</v>
      </c>
      <c r="Y712" s="23"/>
      <c r="Z712" s="24" t="s">
        <v>17</v>
      </c>
      <c r="AA712" s="24" t="s">
        <v>17</v>
      </c>
      <c r="AB712" s="1" t="s">
        <v>17</v>
      </c>
      <c r="AC712" s="2" t="s">
        <v>17</v>
      </c>
      <c r="AD712" s="2" t="s">
        <v>17</v>
      </c>
      <c r="AE712" s="22" t="s">
        <v>17</v>
      </c>
      <c r="AF712" s="23"/>
      <c r="AG712" s="24" t="s">
        <v>17</v>
      </c>
      <c r="AH712" s="24" t="s">
        <v>17</v>
      </c>
      <c r="AI712" s="1" t="s">
        <v>17</v>
      </c>
      <c r="AJ712" s="2" t="s">
        <v>17</v>
      </c>
      <c r="AK712" s="2" t="s">
        <v>17</v>
      </c>
      <c r="AL712" s="22" t="s">
        <v>17</v>
      </c>
      <c r="AM712" s="4" t="s">
        <v>17</v>
      </c>
      <c r="AN712" s="24" t="s">
        <v>17</v>
      </c>
      <c r="AO712" s="24" t="s">
        <v>17</v>
      </c>
      <c r="AP712" s="1" t="s">
        <v>17</v>
      </c>
      <c r="AQ712" s="2" t="s">
        <v>17</v>
      </c>
      <c r="AR712" s="2" t="s">
        <v>17</v>
      </c>
      <c r="AS712" s="3"/>
      <c r="AT712" s="2"/>
      <c r="AU712" s="4"/>
      <c r="AV712" s="2"/>
      <c r="AW712" s="20" t="s">
        <v>17</v>
      </c>
      <c r="AX712" s="20" t="s">
        <v>17</v>
      </c>
      <c r="AY712" s="20" t="s">
        <v>17</v>
      </c>
      <c r="AZ712" s="5"/>
      <c r="BA712" s="6"/>
      <c r="BB712" s="4"/>
      <c r="BC712" s="6"/>
      <c r="BD712" s="6"/>
      <c r="BE712" s="6"/>
      <c r="BF712" s="7"/>
    </row>
    <row r="713" spans="1:58" ht="18" customHeight="1">
      <c r="A713" s="107" t="s">
        <v>15</v>
      </c>
      <c r="B713" s="93" t="s">
        <v>686</v>
      </c>
      <c r="C713" s="42">
        <v>1856.24</v>
      </c>
      <c r="D713" s="42">
        <v>1856.36</v>
      </c>
      <c r="E713" s="42">
        <v>1856.3</v>
      </c>
      <c r="F713" s="42">
        <v>1856.3</v>
      </c>
      <c r="G713" s="43">
        <v>143260.68999184199</v>
      </c>
      <c r="H713" s="43">
        <v>138974.14872400099</v>
      </c>
      <c r="I713" s="27">
        <f t="shared" si="30"/>
        <v>1</v>
      </c>
      <c r="J713" s="27">
        <f t="shared" si="32"/>
        <v>1</v>
      </c>
      <c r="K713" s="27">
        <f t="shared" si="31"/>
        <v>1</v>
      </c>
      <c r="L713" s="25">
        <v>379.09764749999999</v>
      </c>
      <c r="M713" s="25">
        <v>381.36670873445439</v>
      </c>
      <c r="N713" s="38">
        <v>0.46326833129528566</v>
      </c>
      <c r="O713" s="38">
        <v>-7.3471078890839925</v>
      </c>
      <c r="P713" s="71">
        <v>-9.200181214265136</v>
      </c>
      <c r="Q713" s="53">
        <v>43536</v>
      </c>
      <c r="R713" s="23">
        <v>10</v>
      </c>
      <c r="S713" s="24">
        <v>379.09764749999999</v>
      </c>
      <c r="T713" s="24">
        <v>381.36670873445439</v>
      </c>
      <c r="U713" s="1">
        <v>0.46326833129528566</v>
      </c>
      <c r="V713" s="2">
        <v>-7.3471078890839925</v>
      </c>
      <c r="W713" s="2">
        <v>-9.200181214265136</v>
      </c>
      <c r="X713" s="22" t="s">
        <v>17</v>
      </c>
      <c r="Y713" s="23"/>
      <c r="Z713" s="24" t="s">
        <v>17</v>
      </c>
      <c r="AA713" s="24" t="s">
        <v>17</v>
      </c>
      <c r="AB713" s="1" t="s">
        <v>17</v>
      </c>
      <c r="AC713" s="2" t="s">
        <v>17</v>
      </c>
      <c r="AD713" s="2" t="s">
        <v>17</v>
      </c>
      <c r="AE713" s="22" t="s">
        <v>17</v>
      </c>
      <c r="AF713" s="23"/>
      <c r="AG713" s="24" t="s">
        <v>17</v>
      </c>
      <c r="AH713" s="24" t="s">
        <v>17</v>
      </c>
      <c r="AI713" s="1" t="s">
        <v>17</v>
      </c>
      <c r="AJ713" s="2" t="s">
        <v>17</v>
      </c>
      <c r="AK713" s="2" t="s">
        <v>17</v>
      </c>
      <c r="AL713" s="22" t="s">
        <v>17</v>
      </c>
      <c r="AM713" s="4" t="s">
        <v>17</v>
      </c>
      <c r="AN713" s="24" t="s">
        <v>17</v>
      </c>
      <c r="AO713" s="24" t="s">
        <v>17</v>
      </c>
      <c r="AP713" s="1" t="s">
        <v>17</v>
      </c>
      <c r="AQ713" s="2" t="s">
        <v>17</v>
      </c>
      <c r="AR713" s="2" t="s">
        <v>17</v>
      </c>
      <c r="AS713" s="3"/>
      <c r="AT713" s="2"/>
      <c r="AU713" s="4"/>
      <c r="AV713" s="2"/>
      <c r="AW713" s="20" t="s">
        <v>17</v>
      </c>
      <c r="AX713" s="20" t="s">
        <v>17</v>
      </c>
      <c r="AY713" s="20" t="s">
        <v>17</v>
      </c>
      <c r="AZ713" s="5"/>
      <c r="BA713" s="6"/>
      <c r="BB713" s="4"/>
      <c r="BC713" s="6"/>
      <c r="BD713" s="6"/>
      <c r="BE713" s="6"/>
      <c r="BF713" s="7"/>
    </row>
    <row r="714" spans="1:58" ht="18" customHeight="1">
      <c r="A714" s="107" t="s">
        <v>15</v>
      </c>
      <c r="B714" s="93" t="s">
        <v>687</v>
      </c>
      <c r="C714" s="42">
        <v>1856.5</v>
      </c>
      <c r="D714" s="42">
        <v>1856.62</v>
      </c>
      <c r="E714" s="42">
        <v>1856.56</v>
      </c>
      <c r="F714" s="42">
        <v>1856.56</v>
      </c>
      <c r="G714" s="43">
        <v>143313.75242569399</v>
      </c>
      <c r="H714" s="43">
        <v>139022.329299417</v>
      </c>
      <c r="I714" s="27">
        <f t="shared" si="30"/>
        <v>1</v>
      </c>
      <c r="J714" s="27">
        <f t="shared" si="32"/>
        <v>1</v>
      </c>
      <c r="K714" s="27">
        <f t="shared" si="31"/>
        <v>1</v>
      </c>
      <c r="L714" s="25">
        <v>375.88710349999997</v>
      </c>
      <c r="M714" s="25">
        <v>378.13348195595449</v>
      </c>
      <c r="N714" s="38">
        <v>0.46255458068533706</v>
      </c>
      <c r="O714" s="38">
        <v>-7.4111115223768342</v>
      </c>
      <c r="P714" s="71">
        <v>-9.2613298451181834</v>
      </c>
      <c r="Q714" s="53">
        <v>43530</v>
      </c>
      <c r="R714" s="23">
        <v>10</v>
      </c>
      <c r="S714" s="24">
        <v>375.88710349999997</v>
      </c>
      <c r="T714" s="24">
        <v>378.13348195595449</v>
      </c>
      <c r="U714" s="1">
        <v>0.46255458068533706</v>
      </c>
      <c r="V714" s="2">
        <v>-7.4111115223768342</v>
      </c>
      <c r="W714" s="2">
        <v>-9.2613298451181834</v>
      </c>
      <c r="X714" s="22" t="s">
        <v>17</v>
      </c>
      <c r="Y714" s="23"/>
      <c r="Z714" s="24" t="s">
        <v>17</v>
      </c>
      <c r="AA714" s="24" t="s">
        <v>17</v>
      </c>
      <c r="AB714" s="1" t="s">
        <v>17</v>
      </c>
      <c r="AC714" s="2" t="s">
        <v>17</v>
      </c>
      <c r="AD714" s="2" t="s">
        <v>17</v>
      </c>
      <c r="AE714" s="22" t="s">
        <v>17</v>
      </c>
      <c r="AF714" s="23"/>
      <c r="AG714" s="24" t="s">
        <v>17</v>
      </c>
      <c r="AH714" s="24" t="s">
        <v>17</v>
      </c>
      <c r="AI714" s="1" t="s">
        <v>17</v>
      </c>
      <c r="AJ714" s="2" t="s">
        <v>17</v>
      </c>
      <c r="AK714" s="2" t="s">
        <v>17</v>
      </c>
      <c r="AL714" s="22" t="s">
        <v>17</v>
      </c>
      <c r="AM714" s="4" t="s">
        <v>17</v>
      </c>
      <c r="AN714" s="24" t="s">
        <v>17</v>
      </c>
      <c r="AO714" s="24" t="s">
        <v>17</v>
      </c>
      <c r="AP714" s="1" t="s">
        <v>17</v>
      </c>
      <c r="AQ714" s="2" t="s">
        <v>17</v>
      </c>
      <c r="AR714" s="2" t="s">
        <v>17</v>
      </c>
      <c r="AS714" s="3"/>
      <c r="AT714" s="2"/>
      <c r="AU714" s="4"/>
      <c r="AV714" s="2"/>
      <c r="AW714" s="20" t="s">
        <v>17</v>
      </c>
      <c r="AX714" s="20" t="s">
        <v>17</v>
      </c>
      <c r="AY714" s="20" t="s">
        <v>17</v>
      </c>
      <c r="AZ714" s="5"/>
      <c r="BA714" s="6"/>
      <c r="BB714" s="4"/>
      <c r="BC714" s="6"/>
      <c r="BD714" s="6"/>
      <c r="BE714" s="6"/>
      <c r="BF714" s="7"/>
    </row>
    <row r="715" spans="1:58" ht="18" customHeight="1">
      <c r="A715" s="107" t="s">
        <v>15</v>
      </c>
      <c r="B715" s="93" t="s">
        <v>688</v>
      </c>
      <c r="C715" s="42">
        <v>1856.75</v>
      </c>
      <c r="D715" s="42">
        <v>1856.87</v>
      </c>
      <c r="E715" s="42">
        <v>1856.81</v>
      </c>
      <c r="F715" s="42">
        <v>1856.81</v>
      </c>
      <c r="G715" s="43">
        <v>143364.773996704</v>
      </c>
      <c r="H715" s="43">
        <v>139068.656775777</v>
      </c>
      <c r="I715" s="27">
        <f t="shared" si="30"/>
        <v>1</v>
      </c>
      <c r="J715" s="27">
        <f t="shared" si="32"/>
        <v>1</v>
      </c>
      <c r="K715" s="27">
        <f t="shared" si="31"/>
        <v>1</v>
      </c>
      <c r="L715" s="25">
        <v>379.50045299999999</v>
      </c>
      <c r="M715" s="25">
        <v>381.84200805969652</v>
      </c>
      <c r="N715" s="38">
        <v>0.47756177972524405</v>
      </c>
      <c r="O715" s="38">
        <v>-7.9043061631755007</v>
      </c>
      <c r="P715" s="71">
        <v>-9.8145532820764778</v>
      </c>
      <c r="Q715" s="53">
        <v>43542</v>
      </c>
      <c r="R715" s="23">
        <v>10</v>
      </c>
      <c r="S715" s="24">
        <v>379.50045299999999</v>
      </c>
      <c r="T715" s="24">
        <v>381.84200805969652</v>
      </c>
      <c r="U715" s="1">
        <v>0.47756177972524405</v>
      </c>
      <c r="V715" s="2">
        <v>-7.9043061631755007</v>
      </c>
      <c r="W715" s="2">
        <v>-9.8145532820764778</v>
      </c>
      <c r="X715" s="22" t="s">
        <v>17</v>
      </c>
      <c r="Y715" s="23"/>
      <c r="Z715" s="24" t="s">
        <v>17</v>
      </c>
      <c r="AA715" s="24" t="s">
        <v>17</v>
      </c>
      <c r="AB715" s="1" t="s">
        <v>17</v>
      </c>
      <c r="AC715" s="2" t="s">
        <v>17</v>
      </c>
      <c r="AD715" s="2" t="s">
        <v>17</v>
      </c>
      <c r="AE715" s="22" t="s">
        <v>17</v>
      </c>
      <c r="AF715" s="23"/>
      <c r="AG715" s="24" t="s">
        <v>17</v>
      </c>
      <c r="AH715" s="24" t="s">
        <v>17</v>
      </c>
      <c r="AI715" s="1" t="s">
        <v>17</v>
      </c>
      <c r="AJ715" s="2" t="s">
        <v>17</v>
      </c>
      <c r="AK715" s="2" t="s">
        <v>17</v>
      </c>
      <c r="AL715" s="22" t="s">
        <v>17</v>
      </c>
      <c r="AM715" s="4" t="s">
        <v>17</v>
      </c>
      <c r="AN715" s="24" t="s">
        <v>17</v>
      </c>
      <c r="AO715" s="24" t="s">
        <v>17</v>
      </c>
      <c r="AP715" s="1" t="s">
        <v>17</v>
      </c>
      <c r="AQ715" s="2" t="s">
        <v>17</v>
      </c>
      <c r="AR715" s="2" t="s">
        <v>17</v>
      </c>
      <c r="AS715" s="3"/>
      <c r="AT715" s="2"/>
      <c r="AU715" s="4"/>
      <c r="AV715" s="2"/>
      <c r="AW715" s="20" t="s">
        <v>17</v>
      </c>
      <c r="AX715" s="20" t="s">
        <v>17</v>
      </c>
      <c r="AY715" s="20" t="s">
        <v>17</v>
      </c>
      <c r="AZ715" s="5"/>
      <c r="BA715" s="6"/>
      <c r="BB715" s="4"/>
      <c r="BC715" s="6"/>
      <c r="BD715" s="6"/>
      <c r="BE715" s="6"/>
      <c r="BF715" s="7"/>
    </row>
    <row r="716" spans="1:58" ht="18" customHeight="1">
      <c r="A716" s="107" t="s">
        <v>15</v>
      </c>
      <c r="B716" s="93" t="s">
        <v>689</v>
      </c>
      <c r="C716" s="42">
        <v>1857</v>
      </c>
      <c r="D716" s="42">
        <v>1857.12</v>
      </c>
      <c r="E716" s="42">
        <v>1857.06</v>
      </c>
      <c r="F716" s="42">
        <v>1857.06</v>
      </c>
      <c r="G716" s="43">
        <v>143415.25014341</v>
      </c>
      <c r="H716" s="43">
        <v>139117.41589995299</v>
      </c>
      <c r="I716" s="27">
        <f t="shared" si="30"/>
        <v>1</v>
      </c>
      <c r="J716" s="27">
        <f t="shared" si="32"/>
        <v>1</v>
      </c>
      <c r="K716" s="27">
        <f t="shared" si="31"/>
        <v>1</v>
      </c>
      <c r="L716" s="25">
        <v>383.98497850000001</v>
      </c>
      <c r="M716" s="25">
        <v>386.3319074558521</v>
      </c>
      <c r="N716" s="38">
        <v>0.47306758896081824</v>
      </c>
      <c r="O716" s="38">
        <v>-7.9730019426271781</v>
      </c>
      <c r="P716" s="71">
        <v>-9.8652722984704511</v>
      </c>
      <c r="Q716" s="53">
        <v>43531</v>
      </c>
      <c r="R716" s="23">
        <v>10</v>
      </c>
      <c r="S716" s="24">
        <v>383.98497850000001</v>
      </c>
      <c r="T716" s="24">
        <v>386.3319074558521</v>
      </c>
      <c r="U716" s="1">
        <v>0.47306758896081824</v>
      </c>
      <c r="V716" s="2">
        <v>-7.9730019426271781</v>
      </c>
      <c r="W716" s="2">
        <v>-9.8652722984704511</v>
      </c>
      <c r="X716" s="22" t="s">
        <v>17</v>
      </c>
      <c r="Y716" s="23"/>
      <c r="Z716" s="24" t="s">
        <v>17</v>
      </c>
      <c r="AA716" s="24" t="s">
        <v>17</v>
      </c>
      <c r="AB716" s="1" t="s">
        <v>17</v>
      </c>
      <c r="AC716" s="2" t="s">
        <v>17</v>
      </c>
      <c r="AD716" s="2" t="s">
        <v>17</v>
      </c>
      <c r="AE716" s="22" t="s">
        <v>17</v>
      </c>
      <c r="AF716" s="23"/>
      <c r="AG716" s="24" t="s">
        <v>17</v>
      </c>
      <c r="AH716" s="24" t="s">
        <v>17</v>
      </c>
      <c r="AI716" s="1" t="s">
        <v>17</v>
      </c>
      <c r="AJ716" s="2" t="s">
        <v>17</v>
      </c>
      <c r="AK716" s="2" t="s">
        <v>17</v>
      </c>
      <c r="AL716" s="22" t="s">
        <v>17</v>
      </c>
      <c r="AM716" s="4" t="s">
        <v>17</v>
      </c>
      <c r="AN716" s="24" t="s">
        <v>17</v>
      </c>
      <c r="AO716" s="24" t="s">
        <v>17</v>
      </c>
      <c r="AP716" s="1" t="s">
        <v>17</v>
      </c>
      <c r="AQ716" s="2" t="s">
        <v>17</v>
      </c>
      <c r="AR716" s="2" t="s">
        <v>17</v>
      </c>
      <c r="AS716" s="3"/>
      <c r="AT716" s="2"/>
      <c r="AU716" s="4"/>
      <c r="AV716" s="2"/>
      <c r="AW716" s="20" t="s">
        <v>17</v>
      </c>
      <c r="AX716" s="20" t="s">
        <v>17</v>
      </c>
      <c r="AY716" s="20" t="s">
        <v>17</v>
      </c>
      <c r="AZ716" s="5"/>
      <c r="BA716" s="6"/>
      <c r="BB716" s="4"/>
      <c r="BC716" s="6"/>
      <c r="BD716" s="6"/>
      <c r="BE716" s="6"/>
      <c r="BF716" s="7"/>
    </row>
    <row r="717" spans="1:58" ht="18" customHeight="1">
      <c r="A717" s="107" t="s">
        <v>15</v>
      </c>
      <c r="B717" s="93" t="s">
        <v>690</v>
      </c>
      <c r="C717" s="42">
        <v>1857.24</v>
      </c>
      <c r="D717" s="42">
        <v>1857.36</v>
      </c>
      <c r="E717" s="42">
        <v>1857.3</v>
      </c>
      <c r="F717" s="42">
        <v>1857.3</v>
      </c>
      <c r="G717" s="43">
        <v>143462.04915435999</v>
      </c>
      <c r="H717" s="43">
        <v>139171.616868521</v>
      </c>
      <c r="I717" s="27">
        <f t="shared" si="30"/>
        <v>1</v>
      </c>
      <c r="J717" s="27">
        <f t="shared" si="32"/>
        <v>1</v>
      </c>
      <c r="K717" s="27">
        <f t="shared" si="31"/>
        <v>1</v>
      </c>
      <c r="L717" s="25">
        <v>375.03942899999998</v>
      </c>
      <c r="M717" s="25">
        <v>377.31162769211676</v>
      </c>
      <c r="N717" s="38">
        <v>0.46892875318360616</v>
      </c>
      <c r="O717" s="38">
        <v>-7.0805553728294779</v>
      </c>
      <c r="P717" s="71">
        <v>-8.9562703855639025</v>
      </c>
      <c r="Q717" s="53">
        <v>43536</v>
      </c>
      <c r="R717" s="23">
        <v>10</v>
      </c>
      <c r="S717" s="24">
        <v>375.03942899999998</v>
      </c>
      <c r="T717" s="24">
        <v>377.31162769211676</v>
      </c>
      <c r="U717" s="1">
        <v>0.46892875318360616</v>
      </c>
      <c r="V717" s="2">
        <v>-7.0805553728294779</v>
      </c>
      <c r="W717" s="2">
        <v>-8.9562703855639025</v>
      </c>
      <c r="X717" s="22" t="s">
        <v>17</v>
      </c>
      <c r="Y717" s="23"/>
      <c r="Z717" s="24" t="s">
        <v>17</v>
      </c>
      <c r="AA717" s="24" t="s">
        <v>17</v>
      </c>
      <c r="AB717" s="1" t="s">
        <v>17</v>
      </c>
      <c r="AC717" s="2" t="s">
        <v>17</v>
      </c>
      <c r="AD717" s="2" t="s">
        <v>17</v>
      </c>
      <c r="AE717" s="22" t="s">
        <v>17</v>
      </c>
      <c r="AF717" s="23"/>
      <c r="AG717" s="24" t="s">
        <v>17</v>
      </c>
      <c r="AH717" s="24" t="s">
        <v>17</v>
      </c>
      <c r="AI717" s="1" t="s">
        <v>17</v>
      </c>
      <c r="AJ717" s="2" t="s">
        <v>17</v>
      </c>
      <c r="AK717" s="2" t="s">
        <v>17</v>
      </c>
      <c r="AL717" s="22" t="s">
        <v>17</v>
      </c>
      <c r="AM717" s="4" t="s">
        <v>17</v>
      </c>
      <c r="AN717" s="24" t="s">
        <v>17</v>
      </c>
      <c r="AO717" s="24" t="s">
        <v>17</v>
      </c>
      <c r="AP717" s="1" t="s">
        <v>17</v>
      </c>
      <c r="AQ717" s="2" t="s">
        <v>17</v>
      </c>
      <c r="AR717" s="2" t="s">
        <v>17</v>
      </c>
      <c r="AS717" s="3"/>
      <c r="AT717" s="2"/>
      <c r="AU717" s="4"/>
      <c r="AV717" s="2"/>
      <c r="AW717" s="20" t="s">
        <v>17</v>
      </c>
      <c r="AX717" s="20" t="s">
        <v>17</v>
      </c>
      <c r="AY717" s="20" t="s">
        <v>17</v>
      </c>
      <c r="AZ717" s="5"/>
      <c r="BA717" s="6"/>
      <c r="BB717" s="4"/>
      <c r="BC717" s="6"/>
      <c r="BD717" s="6"/>
      <c r="BE717" s="6"/>
      <c r="BF717" s="7"/>
    </row>
    <row r="718" spans="1:58" ht="18" customHeight="1">
      <c r="A718" s="107" t="s">
        <v>15</v>
      </c>
      <c r="B718" s="93" t="s">
        <v>691</v>
      </c>
      <c r="C718" s="42">
        <v>1858.0550000000001</v>
      </c>
      <c r="D718" s="42">
        <v>1858.12</v>
      </c>
      <c r="E718" s="42">
        <v>1858.0875000000001</v>
      </c>
      <c r="F718" s="42">
        <v>1858.0875000000001</v>
      </c>
      <c r="G718" s="43">
        <v>143616.72642163601</v>
      </c>
      <c r="H718" s="43">
        <v>139355.009935615</v>
      </c>
      <c r="I718" s="27">
        <f t="shared" si="30"/>
        <v>1</v>
      </c>
      <c r="J718" s="27">
        <f t="shared" si="32"/>
        <v>1</v>
      </c>
      <c r="K718" s="27">
        <f t="shared" si="31"/>
        <v>1</v>
      </c>
      <c r="L718" s="25">
        <v>359.23769100000004</v>
      </c>
      <c r="M718" s="25">
        <v>361.37556289284561</v>
      </c>
      <c r="N718" s="38">
        <v>0.46061414181219895</v>
      </c>
      <c r="O718" s="38">
        <v>-7.0651694807507548</v>
      </c>
      <c r="P718" s="71">
        <v>-8.9076260479995497</v>
      </c>
      <c r="Q718" s="53">
        <v>43530</v>
      </c>
      <c r="R718" s="23">
        <v>10</v>
      </c>
      <c r="S718" s="24">
        <v>359.23769100000004</v>
      </c>
      <c r="T718" s="24">
        <v>361.37556289284561</v>
      </c>
      <c r="U718" s="1">
        <v>0.46061414181219895</v>
      </c>
      <c r="V718" s="2">
        <v>-7.0651694807507548</v>
      </c>
      <c r="W718" s="2">
        <v>-8.9076260479995497</v>
      </c>
      <c r="X718" s="22" t="s">
        <v>17</v>
      </c>
      <c r="Y718" s="23"/>
      <c r="Z718" s="24" t="s">
        <v>17</v>
      </c>
      <c r="AA718" s="24" t="s">
        <v>17</v>
      </c>
      <c r="AB718" s="1" t="s">
        <v>17</v>
      </c>
      <c r="AC718" s="2" t="s">
        <v>17</v>
      </c>
      <c r="AD718" s="2" t="s">
        <v>17</v>
      </c>
      <c r="AE718" s="22" t="s">
        <v>17</v>
      </c>
      <c r="AF718" s="23"/>
      <c r="AG718" s="24" t="s">
        <v>17</v>
      </c>
      <c r="AH718" s="24" t="s">
        <v>17</v>
      </c>
      <c r="AI718" s="1" t="s">
        <v>17</v>
      </c>
      <c r="AJ718" s="2" t="s">
        <v>17</v>
      </c>
      <c r="AK718" s="2" t="s">
        <v>17</v>
      </c>
      <c r="AL718" s="22" t="s">
        <v>17</v>
      </c>
      <c r="AM718" s="4" t="s">
        <v>17</v>
      </c>
      <c r="AN718" s="24" t="s">
        <v>17</v>
      </c>
      <c r="AO718" s="24" t="s">
        <v>17</v>
      </c>
      <c r="AP718" s="1" t="s">
        <v>17</v>
      </c>
      <c r="AQ718" s="2" t="s">
        <v>17</v>
      </c>
      <c r="AR718" s="2" t="s">
        <v>17</v>
      </c>
      <c r="AS718" s="3"/>
      <c r="AT718" s="2"/>
      <c r="AU718" s="4"/>
      <c r="AV718" s="2"/>
      <c r="AW718" s="20" t="s">
        <v>17</v>
      </c>
      <c r="AX718" s="20" t="s">
        <v>17</v>
      </c>
      <c r="AY718" s="20" t="s">
        <v>17</v>
      </c>
      <c r="AZ718" s="5"/>
      <c r="BA718" s="6"/>
      <c r="BB718" s="4"/>
      <c r="BC718" s="6"/>
      <c r="BD718" s="6"/>
      <c r="BE718" s="6"/>
      <c r="BF718" s="7"/>
    </row>
    <row r="719" spans="1:58" ht="18" customHeight="1">
      <c r="A719" s="107" t="s">
        <v>15</v>
      </c>
      <c r="B719" s="93" t="s">
        <v>692</v>
      </c>
      <c r="C719" s="42">
        <v>1858.25</v>
      </c>
      <c r="D719" s="42">
        <v>1858.37</v>
      </c>
      <c r="E719" s="42">
        <v>1858.31</v>
      </c>
      <c r="F719" s="42">
        <v>1858.31</v>
      </c>
      <c r="G719" s="43">
        <v>143661.16679320601</v>
      </c>
      <c r="H719" s="43">
        <v>139416.871268174</v>
      </c>
      <c r="I719" s="27">
        <f t="shared" si="30"/>
        <v>1</v>
      </c>
      <c r="J719" s="27">
        <f t="shared" si="32"/>
        <v>1</v>
      </c>
      <c r="K719" s="27">
        <f t="shared" si="31"/>
        <v>1</v>
      </c>
      <c r="L719" s="25">
        <v>361.51536050000004</v>
      </c>
      <c r="M719" s="25">
        <v>363.6883161372038</v>
      </c>
      <c r="N719" s="38">
        <v>0.46522344335131471</v>
      </c>
      <c r="O719" s="38">
        <v>-7.1636249477885494</v>
      </c>
      <c r="P719" s="71">
        <v>-9.0245187211938074</v>
      </c>
      <c r="Q719" s="53">
        <v>43538</v>
      </c>
      <c r="R719" s="23">
        <v>10</v>
      </c>
      <c r="S719" s="24">
        <v>361.51536050000004</v>
      </c>
      <c r="T719" s="24">
        <v>363.6883161372038</v>
      </c>
      <c r="U719" s="1">
        <v>0.46522344335131471</v>
      </c>
      <c r="V719" s="2">
        <v>-7.1636249477885494</v>
      </c>
      <c r="W719" s="2">
        <v>-9.0245187211938074</v>
      </c>
      <c r="X719" s="22" t="s">
        <v>17</v>
      </c>
      <c r="Y719" s="23"/>
      <c r="Z719" s="24" t="s">
        <v>17</v>
      </c>
      <c r="AA719" s="24" t="s">
        <v>17</v>
      </c>
      <c r="AB719" s="1" t="s">
        <v>17</v>
      </c>
      <c r="AC719" s="2" t="s">
        <v>17</v>
      </c>
      <c r="AD719" s="2" t="s">
        <v>17</v>
      </c>
      <c r="AE719" s="22" t="s">
        <v>17</v>
      </c>
      <c r="AF719" s="23"/>
      <c r="AG719" s="24" t="s">
        <v>17</v>
      </c>
      <c r="AH719" s="24" t="s">
        <v>17</v>
      </c>
      <c r="AI719" s="1" t="s">
        <v>17</v>
      </c>
      <c r="AJ719" s="2" t="s">
        <v>17</v>
      </c>
      <c r="AK719" s="2" t="s">
        <v>17</v>
      </c>
      <c r="AL719" s="22" t="s">
        <v>17</v>
      </c>
      <c r="AM719" s="4" t="s">
        <v>17</v>
      </c>
      <c r="AN719" s="24" t="s">
        <v>17</v>
      </c>
      <c r="AO719" s="24" t="s">
        <v>17</v>
      </c>
      <c r="AP719" s="1" t="s">
        <v>17</v>
      </c>
      <c r="AQ719" s="2" t="s">
        <v>17</v>
      </c>
      <c r="AR719" s="2" t="s">
        <v>17</v>
      </c>
      <c r="AS719" s="3"/>
      <c r="AT719" s="2"/>
      <c r="AU719" s="4"/>
      <c r="AV719" s="2"/>
      <c r="AW719" s="20" t="s">
        <v>17</v>
      </c>
      <c r="AX719" s="20" t="s">
        <v>17</v>
      </c>
      <c r="AY719" s="20" t="s">
        <v>17</v>
      </c>
      <c r="AZ719" s="5"/>
      <c r="BA719" s="6"/>
      <c r="BB719" s="4"/>
      <c r="BC719" s="6"/>
      <c r="BD719" s="6"/>
      <c r="BE719" s="6"/>
      <c r="BF719" s="7"/>
    </row>
    <row r="720" spans="1:58" ht="18" customHeight="1">
      <c r="A720" s="107" t="s">
        <v>15</v>
      </c>
      <c r="B720" s="93" t="s">
        <v>693</v>
      </c>
      <c r="C720" s="42">
        <v>1858.5</v>
      </c>
      <c r="D720" s="42">
        <v>1858.62</v>
      </c>
      <c r="E720" s="42">
        <v>1858.56</v>
      </c>
      <c r="F720" s="42">
        <v>1858.56</v>
      </c>
      <c r="G720" s="43">
        <v>143711.66721544499</v>
      </c>
      <c r="H720" s="43">
        <v>139487.16823698999</v>
      </c>
      <c r="I720" s="27">
        <f t="shared" si="30"/>
        <v>2</v>
      </c>
      <c r="J720" s="27">
        <f t="shared" si="32"/>
        <v>2</v>
      </c>
      <c r="K720" s="27">
        <f t="shared" si="31"/>
        <v>2</v>
      </c>
      <c r="L720" s="25">
        <v>354.43313324999997</v>
      </c>
      <c r="M720" s="25">
        <v>349.15879500602614</v>
      </c>
      <c r="N720" s="38">
        <v>0.46735936394681765</v>
      </c>
      <c r="O720" s="38">
        <v>-7.1790326022541651</v>
      </c>
      <c r="P720" s="71">
        <v>-9.0484700580414348</v>
      </c>
      <c r="Q720" s="53">
        <v>42440</v>
      </c>
      <c r="R720" s="23">
        <v>9</v>
      </c>
      <c r="S720" s="24">
        <v>353.71659249999999</v>
      </c>
      <c r="T720" s="24">
        <v>348.43969802165668</v>
      </c>
      <c r="U720" s="1">
        <v>0.46775419433542353</v>
      </c>
      <c r="V720" s="2">
        <v>-7.1728916394182551</v>
      </c>
      <c r="W720" s="2">
        <v>-9.0439084167599493</v>
      </c>
      <c r="X720" s="22">
        <v>42440</v>
      </c>
      <c r="Y720" s="23">
        <v>9</v>
      </c>
      <c r="Z720" s="24">
        <v>355.149674</v>
      </c>
      <c r="AA720" s="24">
        <v>349.87789199039565</v>
      </c>
      <c r="AB720" s="1">
        <v>0.46696453355821177</v>
      </c>
      <c r="AC720" s="2">
        <v>-7.185173565090075</v>
      </c>
      <c r="AD720" s="2">
        <v>-9.0530316993229221</v>
      </c>
      <c r="AE720" s="22" t="s">
        <v>17</v>
      </c>
      <c r="AF720" s="23"/>
      <c r="AG720" s="24" t="s">
        <v>17</v>
      </c>
      <c r="AH720" s="24" t="s">
        <v>17</v>
      </c>
      <c r="AI720" s="1" t="s">
        <v>17</v>
      </c>
      <c r="AJ720" s="2" t="s">
        <v>17</v>
      </c>
      <c r="AK720" s="2" t="s">
        <v>17</v>
      </c>
      <c r="AL720" s="22" t="s">
        <v>17</v>
      </c>
      <c r="AM720" s="4" t="s">
        <v>17</v>
      </c>
      <c r="AN720" s="24" t="s">
        <v>17</v>
      </c>
      <c r="AO720" s="24" t="s">
        <v>17</v>
      </c>
      <c r="AP720" s="1" t="s">
        <v>17</v>
      </c>
      <c r="AQ720" s="2" t="s">
        <v>17</v>
      </c>
      <c r="AR720" s="2" t="s">
        <v>17</v>
      </c>
      <c r="AS720" s="3"/>
      <c r="AT720" s="2"/>
      <c r="AU720" s="4"/>
      <c r="AV720" s="2"/>
      <c r="AW720" s="20" t="s">
        <v>17</v>
      </c>
      <c r="AX720" s="20" t="s">
        <v>17</v>
      </c>
      <c r="AY720" s="20" t="s">
        <v>17</v>
      </c>
      <c r="AZ720" s="5"/>
      <c r="BA720" s="6"/>
      <c r="BB720" s="4"/>
      <c r="BC720" s="6"/>
      <c r="BD720" s="6"/>
      <c r="BE720" s="6"/>
      <c r="BF720" s="7"/>
    </row>
    <row r="721" spans="1:58" ht="18" customHeight="1">
      <c r="A721" s="107" t="s">
        <v>15</v>
      </c>
      <c r="B721" s="93" t="s">
        <v>694</v>
      </c>
      <c r="C721" s="42">
        <v>1858.74</v>
      </c>
      <c r="D721" s="42">
        <v>1858.86</v>
      </c>
      <c r="E721" s="42">
        <v>1858.8</v>
      </c>
      <c r="F721" s="42">
        <v>1858.8</v>
      </c>
      <c r="G721" s="43">
        <v>143760.14762079401</v>
      </c>
      <c r="H721" s="43">
        <v>139554.65332705399</v>
      </c>
      <c r="I721" s="27">
        <f t="shared" si="30"/>
        <v>1</v>
      </c>
      <c r="J721" s="27">
        <f t="shared" si="32"/>
        <v>1</v>
      </c>
      <c r="K721" s="27">
        <f t="shared" si="31"/>
        <v>1</v>
      </c>
      <c r="L721" s="25">
        <v>352.72468800000001</v>
      </c>
      <c r="M721" s="25">
        <v>354.83169720159179</v>
      </c>
      <c r="N721" s="38">
        <v>0.46234701766478814</v>
      </c>
      <c r="O721" s="38">
        <v>-6.9448584917805034</v>
      </c>
      <c r="P721" s="71">
        <v>-8.7942465624396569</v>
      </c>
      <c r="Q721" s="53">
        <v>43535</v>
      </c>
      <c r="R721" s="23">
        <v>10</v>
      </c>
      <c r="S721" s="24">
        <v>352.72468800000001</v>
      </c>
      <c r="T721" s="24">
        <v>354.83169720159179</v>
      </c>
      <c r="U721" s="1">
        <v>0.46234701766478814</v>
      </c>
      <c r="V721" s="2">
        <v>-6.9448584917805034</v>
      </c>
      <c r="W721" s="2">
        <v>-8.7942465624396569</v>
      </c>
      <c r="X721" s="22" t="s">
        <v>17</v>
      </c>
      <c r="Y721" s="23"/>
      <c r="Z721" s="24" t="s">
        <v>17</v>
      </c>
      <c r="AA721" s="24" t="s">
        <v>17</v>
      </c>
      <c r="AB721" s="1" t="s">
        <v>17</v>
      </c>
      <c r="AC721" s="2" t="s">
        <v>17</v>
      </c>
      <c r="AD721" s="2" t="s">
        <v>17</v>
      </c>
      <c r="AE721" s="22" t="s">
        <v>17</v>
      </c>
      <c r="AF721" s="23"/>
      <c r="AG721" s="24" t="s">
        <v>17</v>
      </c>
      <c r="AH721" s="24" t="s">
        <v>17</v>
      </c>
      <c r="AI721" s="1" t="s">
        <v>17</v>
      </c>
      <c r="AJ721" s="2" t="s">
        <v>17</v>
      </c>
      <c r="AK721" s="2" t="s">
        <v>17</v>
      </c>
      <c r="AL721" s="22" t="s">
        <v>17</v>
      </c>
      <c r="AM721" s="4" t="s">
        <v>17</v>
      </c>
      <c r="AN721" s="24" t="s">
        <v>17</v>
      </c>
      <c r="AO721" s="24" t="s">
        <v>17</v>
      </c>
      <c r="AP721" s="1" t="s">
        <v>17</v>
      </c>
      <c r="AQ721" s="2" t="s">
        <v>17</v>
      </c>
      <c r="AR721" s="2" t="s">
        <v>17</v>
      </c>
      <c r="AS721" s="3"/>
      <c r="AT721" s="2"/>
      <c r="AU721" s="4"/>
      <c r="AV721" s="2"/>
      <c r="AW721" s="20" t="s">
        <v>17</v>
      </c>
      <c r="AX721" s="20" t="s">
        <v>17</v>
      </c>
      <c r="AY721" s="20" t="s">
        <v>17</v>
      </c>
      <c r="AZ721" s="5"/>
      <c r="BA721" s="6"/>
      <c r="BB721" s="4"/>
      <c r="BC721" s="6"/>
      <c r="BD721" s="6"/>
      <c r="BE721" s="6"/>
      <c r="BF721" s="7"/>
    </row>
    <row r="722" spans="1:58" ht="18" customHeight="1">
      <c r="A722" s="107" t="s">
        <v>15</v>
      </c>
      <c r="B722" s="93" t="s">
        <v>695</v>
      </c>
      <c r="C722" s="42">
        <v>1859</v>
      </c>
      <c r="D722" s="42">
        <v>1859.12</v>
      </c>
      <c r="E722" s="42">
        <v>1859.06</v>
      </c>
      <c r="F722" s="42">
        <v>1859.06</v>
      </c>
      <c r="G722" s="43">
        <v>143814.00417722901</v>
      </c>
      <c r="H722" s="43">
        <v>139624.799802386</v>
      </c>
      <c r="I722" s="27">
        <f t="shared" si="30"/>
        <v>1</v>
      </c>
      <c r="J722" s="27">
        <f t="shared" si="32"/>
        <v>1</v>
      </c>
      <c r="K722" s="27">
        <f t="shared" si="31"/>
        <v>1</v>
      </c>
      <c r="L722" s="25">
        <v>351.45326950000003</v>
      </c>
      <c r="M722" s="25">
        <v>353.53517862513525</v>
      </c>
      <c r="N722" s="38">
        <v>0.4584918996681786</v>
      </c>
      <c r="O722" s="38">
        <v>-6.9199371809369747</v>
      </c>
      <c r="P722" s="71">
        <v>-8.7539047796096892</v>
      </c>
      <c r="Q722" s="53">
        <v>43530</v>
      </c>
      <c r="R722" s="23">
        <v>10</v>
      </c>
      <c r="S722" s="24">
        <v>351.45326950000003</v>
      </c>
      <c r="T722" s="24">
        <v>353.53517862513525</v>
      </c>
      <c r="U722" s="1">
        <v>0.4584918996681786</v>
      </c>
      <c r="V722" s="2">
        <v>-6.9199371809369747</v>
      </c>
      <c r="W722" s="2">
        <v>-8.7539047796096892</v>
      </c>
      <c r="X722" s="22" t="s">
        <v>17</v>
      </c>
      <c r="Y722" s="23"/>
      <c r="Z722" s="24" t="s">
        <v>17</v>
      </c>
      <c r="AA722" s="24" t="s">
        <v>17</v>
      </c>
      <c r="AB722" s="1" t="s">
        <v>17</v>
      </c>
      <c r="AC722" s="2" t="s">
        <v>17</v>
      </c>
      <c r="AD722" s="2" t="s">
        <v>17</v>
      </c>
      <c r="AE722" s="22" t="s">
        <v>17</v>
      </c>
      <c r="AF722" s="23"/>
      <c r="AG722" s="24" t="s">
        <v>17</v>
      </c>
      <c r="AH722" s="24" t="s">
        <v>17</v>
      </c>
      <c r="AI722" s="1" t="s">
        <v>17</v>
      </c>
      <c r="AJ722" s="2" t="s">
        <v>17</v>
      </c>
      <c r="AK722" s="2" t="s">
        <v>17</v>
      </c>
      <c r="AL722" s="22" t="s">
        <v>17</v>
      </c>
      <c r="AM722" s="4" t="s">
        <v>17</v>
      </c>
      <c r="AN722" s="24" t="s">
        <v>17</v>
      </c>
      <c r="AO722" s="24" t="s">
        <v>17</v>
      </c>
      <c r="AP722" s="1" t="s">
        <v>17</v>
      </c>
      <c r="AQ722" s="2" t="s">
        <v>17</v>
      </c>
      <c r="AR722" s="2" t="s">
        <v>17</v>
      </c>
      <c r="AS722" s="3"/>
      <c r="AT722" s="2"/>
      <c r="AU722" s="4"/>
      <c r="AV722" s="2"/>
      <c r="AW722" s="20" t="s">
        <v>17</v>
      </c>
      <c r="AX722" s="20" t="s">
        <v>17</v>
      </c>
      <c r="AY722" s="20" t="s">
        <v>17</v>
      </c>
      <c r="AZ722" s="5"/>
      <c r="BA722" s="6"/>
      <c r="BB722" s="4"/>
      <c r="BC722" s="6"/>
      <c r="BD722" s="6"/>
      <c r="BE722" s="6"/>
      <c r="BF722" s="7"/>
    </row>
    <row r="723" spans="1:58" ht="18" customHeight="1">
      <c r="A723" s="107" t="s">
        <v>15</v>
      </c>
      <c r="B723" s="93" t="s">
        <v>696</v>
      </c>
      <c r="C723" s="42">
        <v>1859.25</v>
      </c>
      <c r="D723" s="42">
        <v>1859.37</v>
      </c>
      <c r="E723" s="42">
        <v>1859.31</v>
      </c>
      <c r="F723" s="42">
        <v>1859.31</v>
      </c>
      <c r="G723" s="43">
        <v>143870.071754912</v>
      </c>
      <c r="H723" s="43">
        <v>139682.753553552</v>
      </c>
      <c r="I723" s="27">
        <f t="shared" si="30"/>
        <v>1</v>
      </c>
      <c r="J723" s="27">
        <f t="shared" si="32"/>
        <v>1</v>
      </c>
      <c r="K723" s="27">
        <f t="shared" si="31"/>
        <v>1</v>
      </c>
      <c r="L723" s="25">
        <v>347.386482</v>
      </c>
      <c r="M723" s="25">
        <v>349.46433724023137</v>
      </c>
      <c r="N723" s="38">
        <v>0.46295615209412944</v>
      </c>
      <c r="O723" s="38">
        <v>-7.4948839954762647</v>
      </c>
      <c r="P723" s="71">
        <v>-9.3467086038527825</v>
      </c>
      <c r="Q723" s="53">
        <v>43542</v>
      </c>
      <c r="R723" s="23">
        <v>10</v>
      </c>
      <c r="S723" s="24">
        <v>347.386482</v>
      </c>
      <c r="T723" s="24">
        <v>349.46433724023137</v>
      </c>
      <c r="U723" s="1">
        <v>0.46295615209412944</v>
      </c>
      <c r="V723" s="2">
        <v>-7.4948839954762647</v>
      </c>
      <c r="W723" s="2">
        <v>-9.3467086038527825</v>
      </c>
      <c r="X723" s="22" t="s">
        <v>17</v>
      </c>
      <c r="Y723" s="23"/>
      <c r="Z723" s="24" t="s">
        <v>17</v>
      </c>
      <c r="AA723" s="24" t="s">
        <v>17</v>
      </c>
      <c r="AB723" s="1" t="s">
        <v>17</v>
      </c>
      <c r="AC723" s="2" t="s">
        <v>17</v>
      </c>
      <c r="AD723" s="2" t="s">
        <v>17</v>
      </c>
      <c r="AE723" s="22" t="s">
        <v>17</v>
      </c>
      <c r="AF723" s="23"/>
      <c r="AG723" s="24" t="s">
        <v>17</v>
      </c>
      <c r="AH723" s="24" t="s">
        <v>17</v>
      </c>
      <c r="AI723" s="1" t="s">
        <v>17</v>
      </c>
      <c r="AJ723" s="2" t="s">
        <v>17</v>
      </c>
      <c r="AK723" s="2" t="s">
        <v>17</v>
      </c>
      <c r="AL723" s="22" t="s">
        <v>17</v>
      </c>
      <c r="AM723" s="4" t="s">
        <v>17</v>
      </c>
      <c r="AN723" s="24" t="s">
        <v>17</v>
      </c>
      <c r="AO723" s="24" t="s">
        <v>17</v>
      </c>
      <c r="AP723" s="1" t="s">
        <v>17</v>
      </c>
      <c r="AQ723" s="2" t="s">
        <v>17</v>
      </c>
      <c r="AR723" s="2" t="s">
        <v>17</v>
      </c>
      <c r="AS723" s="3"/>
      <c r="AT723" s="2"/>
      <c r="AU723" s="4"/>
      <c r="AV723" s="2"/>
      <c r="AW723" s="20" t="s">
        <v>17</v>
      </c>
      <c r="AX723" s="20" t="s">
        <v>17</v>
      </c>
      <c r="AY723" s="20" t="s">
        <v>17</v>
      </c>
      <c r="AZ723" s="5"/>
      <c r="BA723" s="6"/>
      <c r="BB723" s="4"/>
      <c r="BC723" s="6"/>
      <c r="BD723" s="6"/>
      <c r="BE723" s="6"/>
      <c r="BF723" s="7"/>
    </row>
    <row r="724" spans="1:58" ht="18" customHeight="1">
      <c r="A724" s="107" t="s">
        <v>15</v>
      </c>
      <c r="B724" s="93" t="s">
        <v>697</v>
      </c>
      <c r="C724" s="42">
        <v>1860</v>
      </c>
      <c r="D724" s="42">
        <v>1860.12</v>
      </c>
      <c r="E724" s="42">
        <v>1860.06</v>
      </c>
      <c r="F724" s="42">
        <v>1860.06</v>
      </c>
      <c r="G724" s="43">
        <v>144038.18492219999</v>
      </c>
      <c r="H724" s="43">
        <v>139853.20111507599</v>
      </c>
      <c r="I724" s="27">
        <f t="shared" si="30"/>
        <v>1</v>
      </c>
      <c r="J724" s="27">
        <f t="shared" si="32"/>
        <v>1</v>
      </c>
      <c r="K724" s="27">
        <f t="shared" si="31"/>
        <v>1</v>
      </c>
      <c r="L724" s="25">
        <v>351.49327349999999</v>
      </c>
      <c r="M724" s="25">
        <v>353.54941909095294</v>
      </c>
      <c r="N724" s="38">
        <v>0.45276654656833948</v>
      </c>
      <c r="O724" s="38">
        <v>-7.2274952943172099</v>
      </c>
      <c r="P724" s="71">
        <v>-9.0385614805905679</v>
      </c>
      <c r="Q724" s="53">
        <v>43535</v>
      </c>
      <c r="R724" s="23">
        <v>10</v>
      </c>
      <c r="S724" s="24">
        <v>351.49327349999999</v>
      </c>
      <c r="T724" s="24">
        <v>353.54941909095294</v>
      </c>
      <c r="U724" s="1">
        <v>0.45276654656833948</v>
      </c>
      <c r="V724" s="2">
        <v>-7.2274952943172099</v>
      </c>
      <c r="W724" s="2">
        <v>-9.0385614805905679</v>
      </c>
      <c r="X724" s="22" t="s">
        <v>17</v>
      </c>
      <c r="Y724" s="23"/>
      <c r="Z724" s="24" t="s">
        <v>17</v>
      </c>
      <c r="AA724" s="24" t="s">
        <v>17</v>
      </c>
      <c r="AB724" s="1" t="s">
        <v>17</v>
      </c>
      <c r="AC724" s="2" t="s">
        <v>17</v>
      </c>
      <c r="AD724" s="2" t="s">
        <v>17</v>
      </c>
      <c r="AE724" s="22" t="s">
        <v>17</v>
      </c>
      <c r="AF724" s="23"/>
      <c r="AG724" s="24" t="s">
        <v>17</v>
      </c>
      <c r="AH724" s="24" t="s">
        <v>17</v>
      </c>
      <c r="AI724" s="1" t="s">
        <v>17</v>
      </c>
      <c r="AJ724" s="2" t="s">
        <v>17</v>
      </c>
      <c r="AK724" s="2" t="s">
        <v>17</v>
      </c>
      <c r="AL724" s="22" t="s">
        <v>17</v>
      </c>
      <c r="AM724" s="4" t="s">
        <v>17</v>
      </c>
      <c r="AN724" s="24" t="s">
        <v>17</v>
      </c>
      <c r="AO724" s="24" t="s">
        <v>17</v>
      </c>
      <c r="AP724" s="1" t="s">
        <v>17</v>
      </c>
      <c r="AQ724" s="2" t="s">
        <v>17</v>
      </c>
      <c r="AR724" s="2" t="s">
        <v>17</v>
      </c>
      <c r="AS724" s="3"/>
      <c r="AT724" s="2"/>
      <c r="AU724" s="4"/>
      <c r="AV724" s="2"/>
      <c r="AW724" s="20" t="s">
        <v>17</v>
      </c>
      <c r="AX724" s="20" t="s">
        <v>17</v>
      </c>
      <c r="AY724" s="20" t="s">
        <v>17</v>
      </c>
      <c r="AZ724" s="5"/>
      <c r="BA724" s="6"/>
      <c r="BB724" s="4"/>
      <c r="BC724" s="6"/>
      <c r="BD724" s="6"/>
      <c r="BE724" s="6"/>
      <c r="BF724" s="7"/>
    </row>
    <row r="725" spans="1:58" ht="18" customHeight="1">
      <c r="A725" s="107" t="s">
        <v>15</v>
      </c>
      <c r="B725" s="93" t="s">
        <v>698</v>
      </c>
      <c r="C725" s="42">
        <v>1860.27</v>
      </c>
      <c r="D725" s="42">
        <v>1860.36</v>
      </c>
      <c r="E725" s="42">
        <v>1860.3150000000001</v>
      </c>
      <c r="F725" s="42">
        <v>1860.3150000000001</v>
      </c>
      <c r="G725" s="43">
        <v>144096.10708469499</v>
      </c>
      <c r="H725" s="43">
        <v>139898.68035107499</v>
      </c>
      <c r="I725" s="27">
        <f t="shared" si="30"/>
        <v>1</v>
      </c>
      <c r="J725" s="27">
        <f t="shared" si="32"/>
        <v>1</v>
      </c>
      <c r="K725" s="27">
        <f t="shared" si="31"/>
        <v>1</v>
      </c>
      <c r="L725" s="25">
        <v>347.7006255</v>
      </c>
      <c r="M725" s="25">
        <v>349.67296688578807</v>
      </c>
      <c r="N725" s="38">
        <v>0.43905012185829762</v>
      </c>
      <c r="O725" s="38">
        <v>-6.7207418451384893</v>
      </c>
      <c r="P725" s="71">
        <v>-8.4769423325716797</v>
      </c>
      <c r="Q725" s="53">
        <v>43536</v>
      </c>
      <c r="R725" s="23">
        <v>10</v>
      </c>
      <c r="S725" s="24"/>
      <c r="T725" s="24"/>
      <c r="U725" s="1">
        <v>0.43905012185829762</v>
      </c>
      <c r="V725" s="2">
        <v>-6.7207418451384893</v>
      </c>
      <c r="W725" s="2">
        <v>-8.4769423325716797</v>
      </c>
      <c r="X725" s="22">
        <v>43542</v>
      </c>
      <c r="Y725" s="23">
        <v>10</v>
      </c>
      <c r="Z725" s="24">
        <v>347.7006255</v>
      </c>
      <c r="AA725" s="24">
        <v>349.67296688578807</v>
      </c>
      <c r="AB725" s="1"/>
      <c r="AC725" s="2"/>
      <c r="AD725" s="2"/>
      <c r="AE725" s="22" t="s">
        <v>17</v>
      </c>
      <c r="AF725" s="23"/>
      <c r="AG725" s="24" t="s">
        <v>17</v>
      </c>
      <c r="AH725" s="24" t="s">
        <v>17</v>
      </c>
      <c r="AI725" s="1" t="s">
        <v>17</v>
      </c>
      <c r="AJ725" s="2" t="s">
        <v>17</v>
      </c>
      <c r="AK725" s="2" t="s">
        <v>17</v>
      </c>
      <c r="AL725" s="22" t="s">
        <v>17</v>
      </c>
      <c r="AM725" s="4" t="s">
        <v>17</v>
      </c>
      <c r="AN725" s="24" t="s">
        <v>17</v>
      </c>
      <c r="AO725" s="24" t="s">
        <v>17</v>
      </c>
      <c r="AP725" s="1" t="s">
        <v>17</v>
      </c>
      <c r="AQ725" s="2" t="s">
        <v>17</v>
      </c>
      <c r="AR725" s="2" t="s">
        <v>17</v>
      </c>
      <c r="AS725" s="3"/>
      <c r="AT725" s="2"/>
      <c r="AU725" s="4"/>
      <c r="AV725" s="2"/>
      <c r="AW725" s="20" t="s">
        <v>17</v>
      </c>
      <c r="AX725" s="20" t="s">
        <v>17</v>
      </c>
      <c r="AY725" s="20" t="s">
        <v>17</v>
      </c>
      <c r="AZ725" s="5"/>
      <c r="BA725" s="6"/>
      <c r="BB725" s="4"/>
      <c r="BC725" s="6"/>
      <c r="BD725" s="6"/>
      <c r="BE725" s="6"/>
      <c r="BF725" s="7"/>
    </row>
    <row r="726" spans="1:58" ht="18" customHeight="1">
      <c r="A726" s="107" t="s">
        <v>15</v>
      </c>
      <c r="B726" s="93" t="s">
        <v>699</v>
      </c>
      <c r="C726" s="42">
        <v>1860.5</v>
      </c>
      <c r="D726" s="42">
        <v>1860.62</v>
      </c>
      <c r="E726" s="42">
        <v>1860.56</v>
      </c>
      <c r="F726" s="42">
        <v>1860.56</v>
      </c>
      <c r="G726" s="43">
        <v>144149.57369623001</v>
      </c>
      <c r="H726" s="43">
        <v>139940.66118430599</v>
      </c>
      <c r="I726" s="27">
        <f t="shared" si="30"/>
        <v>1</v>
      </c>
      <c r="J726" s="27">
        <f t="shared" si="32"/>
        <v>1</v>
      </c>
      <c r="K726" s="27">
        <f t="shared" si="31"/>
        <v>1</v>
      </c>
      <c r="L726" s="25">
        <v>355.36253550000004</v>
      </c>
      <c r="M726" s="25">
        <v>357.47647997877107</v>
      </c>
      <c r="N726" s="38">
        <v>0.46042555803671448</v>
      </c>
      <c r="O726" s="38">
        <v>-7.0654777503381672</v>
      </c>
      <c r="P726" s="71">
        <v>-8.907179982485026</v>
      </c>
      <c r="Q726" s="53">
        <v>43535</v>
      </c>
      <c r="R726" s="23">
        <v>10</v>
      </c>
      <c r="S726" s="24">
        <v>355.36253550000004</v>
      </c>
      <c r="T726" s="24">
        <v>357.47647997877107</v>
      </c>
      <c r="U726" s="1">
        <v>0.46042555803671448</v>
      </c>
      <c r="V726" s="2">
        <v>-7.0654777503381672</v>
      </c>
      <c r="W726" s="2">
        <v>-8.907179982485026</v>
      </c>
      <c r="X726" s="22" t="s">
        <v>17</v>
      </c>
      <c r="Y726" s="23"/>
      <c r="Z726" s="24" t="s">
        <v>17</v>
      </c>
      <c r="AA726" s="24" t="s">
        <v>17</v>
      </c>
      <c r="AB726" s="1" t="s">
        <v>17</v>
      </c>
      <c r="AC726" s="2" t="s">
        <v>17</v>
      </c>
      <c r="AD726" s="2" t="s">
        <v>17</v>
      </c>
      <c r="AE726" s="22" t="s">
        <v>17</v>
      </c>
      <c r="AF726" s="23"/>
      <c r="AG726" s="24" t="s">
        <v>17</v>
      </c>
      <c r="AH726" s="24" t="s">
        <v>17</v>
      </c>
      <c r="AI726" s="1" t="s">
        <v>17</v>
      </c>
      <c r="AJ726" s="2" t="s">
        <v>17</v>
      </c>
      <c r="AK726" s="2" t="s">
        <v>17</v>
      </c>
      <c r="AL726" s="22" t="s">
        <v>17</v>
      </c>
      <c r="AM726" s="4" t="s">
        <v>17</v>
      </c>
      <c r="AN726" s="24" t="s">
        <v>17</v>
      </c>
      <c r="AO726" s="24" t="s">
        <v>17</v>
      </c>
      <c r="AP726" s="1" t="s">
        <v>17</v>
      </c>
      <c r="AQ726" s="2" t="s">
        <v>17</v>
      </c>
      <c r="AR726" s="2" t="s">
        <v>17</v>
      </c>
      <c r="AS726" s="3"/>
      <c r="AT726" s="2"/>
      <c r="AU726" s="4"/>
      <c r="AV726" s="2"/>
      <c r="AW726" s="20" t="s">
        <v>17</v>
      </c>
      <c r="AX726" s="20" t="s">
        <v>17</v>
      </c>
      <c r="AY726" s="20" t="s">
        <v>17</v>
      </c>
      <c r="AZ726" s="5"/>
      <c r="BA726" s="6"/>
      <c r="BB726" s="4"/>
      <c r="BC726" s="6"/>
      <c r="BD726" s="6"/>
      <c r="BE726" s="6"/>
      <c r="BF726" s="7"/>
    </row>
    <row r="727" spans="1:58" ht="18" customHeight="1">
      <c r="A727" s="107" t="s">
        <v>15</v>
      </c>
      <c r="B727" s="93" t="s">
        <v>700</v>
      </c>
      <c r="C727" s="42">
        <v>1860.75</v>
      </c>
      <c r="D727" s="42">
        <v>1860.87</v>
      </c>
      <c r="E727" s="42">
        <v>1860.81</v>
      </c>
      <c r="F727" s="42">
        <v>1860.81</v>
      </c>
      <c r="G727" s="43">
        <v>144205.26808324401</v>
      </c>
      <c r="H727" s="43">
        <v>139984.39121892001</v>
      </c>
      <c r="I727" s="27">
        <f t="shared" si="30"/>
        <v>1</v>
      </c>
      <c r="J727" s="27">
        <f t="shared" si="32"/>
        <v>1</v>
      </c>
      <c r="K727" s="27">
        <f t="shared" si="31"/>
        <v>1</v>
      </c>
      <c r="L727" s="25">
        <v>353.21835550000003</v>
      </c>
      <c r="M727" s="25">
        <v>355.33911019765787</v>
      </c>
      <c r="N727" s="38">
        <v>0.46471282673166137</v>
      </c>
      <c r="O727" s="38">
        <v>-6.580695693024885</v>
      </c>
      <c r="P727" s="71">
        <v>-8.4395469999515313</v>
      </c>
      <c r="Q727" s="53">
        <v>43538</v>
      </c>
      <c r="R727" s="23">
        <v>10</v>
      </c>
      <c r="S727" s="24">
        <v>353.21835550000003</v>
      </c>
      <c r="T727" s="24">
        <v>355.33911019765787</v>
      </c>
      <c r="U727" s="1">
        <v>0.46471282673166137</v>
      </c>
      <c r="V727" s="2">
        <v>-6.580695693024885</v>
      </c>
      <c r="W727" s="2">
        <v>-8.4395469999515313</v>
      </c>
      <c r="X727" s="22" t="s">
        <v>17</v>
      </c>
      <c r="Y727" s="23"/>
      <c r="Z727" s="24" t="s">
        <v>17</v>
      </c>
      <c r="AA727" s="24" t="s">
        <v>17</v>
      </c>
      <c r="AB727" s="1" t="s">
        <v>17</v>
      </c>
      <c r="AC727" s="2" t="s">
        <v>17</v>
      </c>
      <c r="AD727" s="2" t="s">
        <v>17</v>
      </c>
      <c r="AE727" s="22" t="s">
        <v>17</v>
      </c>
      <c r="AF727" s="23"/>
      <c r="AG727" s="24" t="s">
        <v>17</v>
      </c>
      <c r="AH727" s="24" t="s">
        <v>17</v>
      </c>
      <c r="AI727" s="1" t="s">
        <v>17</v>
      </c>
      <c r="AJ727" s="2" t="s">
        <v>17</v>
      </c>
      <c r="AK727" s="2" t="s">
        <v>17</v>
      </c>
      <c r="AL727" s="22" t="s">
        <v>17</v>
      </c>
      <c r="AM727" s="4" t="s">
        <v>17</v>
      </c>
      <c r="AN727" s="24" t="s">
        <v>17</v>
      </c>
      <c r="AO727" s="24" t="s">
        <v>17</v>
      </c>
      <c r="AP727" s="1" t="s">
        <v>17</v>
      </c>
      <c r="AQ727" s="2" t="s">
        <v>17</v>
      </c>
      <c r="AR727" s="2" t="s">
        <v>17</v>
      </c>
      <c r="AS727" s="3"/>
      <c r="AT727" s="2"/>
      <c r="AU727" s="4"/>
      <c r="AV727" s="2"/>
      <c r="AW727" s="20" t="s">
        <v>17</v>
      </c>
      <c r="AX727" s="20" t="s">
        <v>17</v>
      </c>
      <c r="AY727" s="20" t="s">
        <v>17</v>
      </c>
      <c r="AZ727" s="5"/>
      <c r="BA727" s="6"/>
      <c r="BB727" s="4"/>
      <c r="BC727" s="6"/>
      <c r="BD727" s="6"/>
      <c r="BE727" s="6"/>
      <c r="BF727" s="7"/>
    </row>
    <row r="728" spans="1:58" ht="18" customHeight="1">
      <c r="A728" s="107" t="s">
        <v>15</v>
      </c>
      <c r="B728" s="93" t="s">
        <v>701</v>
      </c>
      <c r="C728" s="42">
        <v>1861</v>
      </c>
      <c r="D728" s="42">
        <v>1861.12</v>
      </c>
      <c r="E728" s="42">
        <v>1861.06</v>
      </c>
      <c r="F728" s="42">
        <v>1861.06</v>
      </c>
      <c r="G728" s="43">
        <v>144258.402364562</v>
      </c>
      <c r="H728" s="43">
        <v>140028.809917434</v>
      </c>
      <c r="I728" s="27">
        <f t="shared" si="30"/>
        <v>1</v>
      </c>
      <c r="J728" s="27">
        <f t="shared" si="32"/>
        <v>1</v>
      </c>
      <c r="K728" s="27">
        <f t="shared" si="31"/>
        <v>1</v>
      </c>
      <c r="L728" s="25">
        <v>352.09088150000002</v>
      </c>
      <c r="M728" s="25">
        <v>354.18744489949916</v>
      </c>
      <c r="N728" s="38">
        <v>0.46088302045266261</v>
      </c>
      <c r="O728" s="38">
        <v>-6.8536384960964369</v>
      </c>
      <c r="P728" s="71">
        <v>-8.6971705779070874</v>
      </c>
      <c r="Q728" s="53">
        <v>42560</v>
      </c>
      <c r="R728" s="23">
        <v>9</v>
      </c>
      <c r="S728" s="24">
        <v>352.09088150000002</v>
      </c>
      <c r="T728" s="24">
        <v>354.18744489949916</v>
      </c>
      <c r="U728" s="1">
        <v>0.46088302045266261</v>
      </c>
      <c r="V728" s="2">
        <v>-6.8536384960964369</v>
      </c>
      <c r="W728" s="2">
        <v>-8.6971705779070874</v>
      </c>
      <c r="X728" s="22"/>
      <c r="Y728" s="23"/>
      <c r="Z728" s="24"/>
      <c r="AA728" s="24"/>
      <c r="AB728" s="1"/>
      <c r="AC728" s="2"/>
      <c r="AD728" s="2"/>
      <c r="AE728" s="22" t="s">
        <v>17</v>
      </c>
      <c r="AF728" s="23"/>
      <c r="AG728" s="24" t="s">
        <v>17</v>
      </c>
      <c r="AH728" s="24" t="s">
        <v>17</v>
      </c>
      <c r="AI728" s="1" t="s">
        <v>17</v>
      </c>
      <c r="AJ728" s="2" t="s">
        <v>17</v>
      </c>
      <c r="AK728" s="2" t="s">
        <v>17</v>
      </c>
      <c r="AL728" s="22" t="s">
        <v>17</v>
      </c>
      <c r="AM728" s="4" t="s">
        <v>17</v>
      </c>
      <c r="AN728" s="24" t="s">
        <v>17</v>
      </c>
      <c r="AO728" s="24" t="s">
        <v>17</v>
      </c>
      <c r="AP728" s="1" t="s">
        <v>17</v>
      </c>
      <c r="AQ728" s="2" t="s">
        <v>17</v>
      </c>
      <c r="AR728" s="2" t="s">
        <v>17</v>
      </c>
      <c r="AS728" s="3"/>
      <c r="AT728" s="2"/>
      <c r="AU728" s="4"/>
      <c r="AV728" s="2"/>
      <c r="AW728" s="20" t="s">
        <v>17</v>
      </c>
      <c r="AX728" s="20" t="s">
        <v>17</v>
      </c>
      <c r="AY728" s="20" t="s">
        <v>17</v>
      </c>
      <c r="AZ728" s="5"/>
      <c r="BA728" s="6"/>
      <c r="BB728" s="4"/>
      <c r="BC728" s="6"/>
      <c r="BD728" s="6"/>
      <c r="BE728" s="6"/>
      <c r="BF728" s="7"/>
    </row>
    <row r="729" spans="1:58" ht="18" customHeight="1">
      <c r="A729" s="107" t="s">
        <v>15</v>
      </c>
      <c r="B729" s="93" t="s">
        <v>702</v>
      </c>
      <c r="C729" s="42">
        <v>1863.5</v>
      </c>
      <c r="D729" s="42">
        <v>1863.58</v>
      </c>
      <c r="E729" s="42">
        <v>1863.54</v>
      </c>
      <c r="F729" s="42">
        <v>1863.54</v>
      </c>
      <c r="G729" s="43">
        <v>144728.784662094</v>
      </c>
      <c r="H729" s="43">
        <v>140525.338297209</v>
      </c>
      <c r="I729" s="27">
        <f t="shared" si="30"/>
        <v>1</v>
      </c>
      <c r="J729" s="27">
        <f t="shared" si="32"/>
        <v>1</v>
      </c>
      <c r="K729" s="27">
        <f t="shared" si="31"/>
        <v>1</v>
      </c>
      <c r="L729" s="25">
        <v>355.88473399999998</v>
      </c>
      <c r="M729" s="25">
        <v>350.61533607892437</v>
      </c>
      <c r="N729" s="38">
        <v>0.46650911529710903</v>
      </c>
      <c r="O729" s="38">
        <v>-6.6973519952399085</v>
      </c>
      <c r="P729" s="71">
        <v>-8.5633884564283456</v>
      </c>
      <c r="Q729" s="53">
        <v>42466</v>
      </c>
      <c r="R729" s="23">
        <v>9</v>
      </c>
      <c r="S729" s="24">
        <v>355.88473399999998</v>
      </c>
      <c r="T729" s="24">
        <v>350.61533607892437</v>
      </c>
      <c r="U729" s="1">
        <v>0.46650911529710903</v>
      </c>
      <c r="V729" s="2">
        <v>-6.6973519952399085</v>
      </c>
      <c r="W729" s="2">
        <v>-8.5633884564283456</v>
      </c>
      <c r="X729" s="22" t="s">
        <v>17</v>
      </c>
      <c r="Y729" s="23"/>
      <c r="Z729" s="24" t="s">
        <v>17</v>
      </c>
      <c r="AA729" s="24" t="s">
        <v>17</v>
      </c>
      <c r="AB729" s="1" t="s">
        <v>17</v>
      </c>
      <c r="AC729" s="2" t="s">
        <v>17</v>
      </c>
      <c r="AD729" s="2" t="s">
        <v>17</v>
      </c>
      <c r="AE729" s="22" t="s">
        <v>17</v>
      </c>
      <c r="AF729" s="23"/>
      <c r="AG729" s="24" t="s">
        <v>17</v>
      </c>
      <c r="AH729" s="24" t="s">
        <v>17</v>
      </c>
      <c r="AI729" s="1" t="s">
        <v>17</v>
      </c>
      <c r="AJ729" s="2" t="s">
        <v>17</v>
      </c>
      <c r="AK729" s="2" t="s">
        <v>17</v>
      </c>
      <c r="AL729" s="22" t="s">
        <v>17</v>
      </c>
      <c r="AM729" s="4" t="s">
        <v>17</v>
      </c>
      <c r="AN729" s="24" t="s">
        <v>17</v>
      </c>
      <c r="AO729" s="24" t="s">
        <v>17</v>
      </c>
      <c r="AP729" s="1" t="s">
        <v>17</v>
      </c>
      <c r="AQ729" s="2" t="s">
        <v>17</v>
      </c>
      <c r="AR729" s="2" t="s">
        <v>17</v>
      </c>
      <c r="AS729" s="3"/>
      <c r="AT729" s="2"/>
      <c r="AU729" s="4"/>
      <c r="AV729" s="2"/>
      <c r="AW729" s="20" t="s">
        <v>17</v>
      </c>
      <c r="AX729" s="20" t="s">
        <v>17</v>
      </c>
      <c r="AY729" s="20" t="s">
        <v>17</v>
      </c>
      <c r="AZ729" s="5"/>
      <c r="BA729" s="6"/>
      <c r="BB729" s="4"/>
      <c r="BC729" s="6"/>
      <c r="BD729" s="6"/>
      <c r="BE729" s="6"/>
      <c r="BF729" s="7"/>
    </row>
    <row r="730" spans="1:58" ht="18" customHeight="1">
      <c r="A730" s="107" t="s">
        <v>15</v>
      </c>
      <c r="B730" s="93" t="s">
        <v>703</v>
      </c>
      <c r="C730" s="42">
        <v>1866</v>
      </c>
      <c r="D730" s="42">
        <v>1866.12</v>
      </c>
      <c r="E730" s="42">
        <v>1866.06</v>
      </c>
      <c r="F730" s="42">
        <v>1866.06</v>
      </c>
      <c r="G730" s="43">
        <v>145212.40874069501</v>
      </c>
      <c r="H730" s="43">
        <v>141083.25489266199</v>
      </c>
      <c r="I730" s="27">
        <f t="shared" si="30"/>
        <v>1</v>
      </c>
      <c r="J730" s="27">
        <f t="shared" si="32"/>
        <v>1</v>
      </c>
      <c r="K730" s="27">
        <f t="shared" si="31"/>
        <v>1</v>
      </c>
      <c r="L730" s="25">
        <v>354.202811</v>
      </c>
      <c r="M730" s="25">
        <v>356.23885013565115</v>
      </c>
      <c r="N730" s="38">
        <v>0.44490942335873029</v>
      </c>
      <c r="O730" s="38">
        <v>-6.3739985943728206</v>
      </c>
      <c r="P730" s="71">
        <v>-8.1536362878077426</v>
      </c>
      <c r="Q730" s="53">
        <v>42565</v>
      </c>
      <c r="R730" s="23">
        <v>9</v>
      </c>
      <c r="S730" s="24">
        <v>354.202811</v>
      </c>
      <c r="T730" s="24">
        <v>356.23885013565115</v>
      </c>
      <c r="U730" s="1">
        <v>0.44490942335873029</v>
      </c>
      <c r="V730" s="2">
        <v>-6.3739985943728206</v>
      </c>
      <c r="W730" s="2">
        <v>-8.1536362878077426</v>
      </c>
      <c r="X730" s="22" t="s">
        <v>17</v>
      </c>
      <c r="Y730" s="23"/>
      <c r="Z730" s="24" t="s">
        <v>17</v>
      </c>
      <c r="AA730" s="24" t="s">
        <v>17</v>
      </c>
      <c r="AB730" s="1" t="s">
        <v>17</v>
      </c>
      <c r="AC730" s="2" t="s">
        <v>17</v>
      </c>
      <c r="AD730" s="2" t="s">
        <v>17</v>
      </c>
      <c r="AE730" s="22" t="s">
        <v>17</v>
      </c>
      <c r="AF730" s="23"/>
      <c r="AG730" s="24" t="s">
        <v>17</v>
      </c>
      <c r="AH730" s="24" t="s">
        <v>17</v>
      </c>
      <c r="AI730" s="1" t="s">
        <v>17</v>
      </c>
      <c r="AJ730" s="2" t="s">
        <v>17</v>
      </c>
      <c r="AK730" s="2" t="s">
        <v>17</v>
      </c>
      <c r="AL730" s="22" t="s">
        <v>17</v>
      </c>
      <c r="AM730" s="4" t="s">
        <v>17</v>
      </c>
      <c r="AN730" s="24" t="s">
        <v>17</v>
      </c>
      <c r="AO730" s="24" t="s">
        <v>17</v>
      </c>
      <c r="AP730" s="1" t="s">
        <v>17</v>
      </c>
      <c r="AQ730" s="2" t="s">
        <v>17</v>
      </c>
      <c r="AR730" s="2" t="s">
        <v>17</v>
      </c>
      <c r="AS730" s="3"/>
      <c r="AT730" s="2"/>
      <c r="AU730" s="4"/>
      <c r="AV730" s="2"/>
      <c r="AW730" s="20" t="s">
        <v>17</v>
      </c>
      <c r="AX730" s="20" t="s">
        <v>17</v>
      </c>
      <c r="AY730" s="20" t="s">
        <v>17</v>
      </c>
      <c r="AZ730" s="5"/>
      <c r="BA730" s="6"/>
      <c r="BB730" s="4"/>
      <c r="BC730" s="6"/>
      <c r="BD730" s="6"/>
      <c r="BE730" s="6"/>
      <c r="BF730" s="7"/>
    </row>
    <row r="731" spans="1:58" ht="18" customHeight="1">
      <c r="A731" s="107" t="s">
        <v>15</v>
      </c>
      <c r="B731" s="93" t="s">
        <v>704</v>
      </c>
      <c r="C731" s="42">
        <v>1868.5</v>
      </c>
      <c r="D731" s="42">
        <v>1868.62</v>
      </c>
      <c r="E731" s="42">
        <v>1868.56</v>
      </c>
      <c r="F731" s="42">
        <v>1868.56</v>
      </c>
      <c r="G731" s="43">
        <v>145686.282862038</v>
      </c>
      <c r="H731" s="43">
        <v>141588.34795934</v>
      </c>
      <c r="I731" s="27">
        <f t="shared" si="30"/>
        <v>1</v>
      </c>
      <c r="J731" s="27">
        <f t="shared" si="32"/>
        <v>2</v>
      </c>
      <c r="K731" s="27">
        <f t="shared" si="31"/>
        <v>2</v>
      </c>
      <c r="L731" s="25">
        <v>353.64872500000001</v>
      </c>
      <c r="M731" s="25">
        <v>355.77567572588737</v>
      </c>
      <c r="N731" s="38">
        <v>0.45785890714844513</v>
      </c>
      <c r="O731" s="38">
        <v>-6.1148612018322996</v>
      </c>
      <c r="P731" s="71">
        <v>-7.9462968304260801</v>
      </c>
      <c r="Q731" s="53">
        <v>42416</v>
      </c>
      <c r="R731" s="23">
        <v>9</v>
      </c>
      <c r="S731" s="24"/>
      <c r="T731" s="24"/>
      <c r="U731" s="1">
        <v>0.45021445588289133</v>
      </c>
      <c r="V731" s="2">
        <v>-6.1526438753648494</v>
      </c>
      <c r="W731" s="2">
        <v>-7.9535016988964147</v>
      </c>
      <c r="X731" s="22">
        <v>42416</v>
      </c>
      <c r="Y731" s="23">
        <v>9</v>
      </c>
      <c r="Z731" s="24">
        <v>353.64872500000001</v>
      </c>
      <c r="AA731" s="24">
        <v>355.77567572588737</v>
      </c>
      <c r="AB731" s="1">
        <v>0.46550335841399892</v>
      </c>
      <c r="AC731" s="2">
        <v>-6.0770785282997508</v>
      </c>
      <c r="AD731" s="2">
        <v>-7.9390919619557465</v>
      </c>
      <c r="AE731" s="22" t="s">
        <v>17</v>
      </c>
      <c r="AF731" s="23"/>
      <c r="AG731" s="24" t="s">
        <v>17</v>
      </c>
      <c r="AH731" s="24" t="s">
        <v>17</v>
      </c>
      <c r="AI731" s="1" t="s">
        <v>17</v>
      </c>
      <c r="AJ731" s="2" t="s">
        <v>17</v>
      </c>
      <c r="AK731" s="2" t="s">
        <v>17</v>
      </c>
      <c r="AL731" s="22" t="s">
        <v>17</v>
      </c>
      <c r="AM731" s="4" t="s">
        <v>17</v>
      </c>
      <c r="AN731" s="24" t="s">
        <v>17</v>
      </c>
      <c r="AO731" s="24" t="s">
        <v>17</v>
      </c>
      <c r="AP731" s="1" t="s">
        <v>17</v>
      </c>
      <c r="AQ731" s="2" t="s">
        <v>17</v>
      </c>
      <c r="AR731" s="2" t="s">
        <v>17</v>
      </c>
      <c r="AS731" s="3"/>
      <c r="AT731" s="2"/>
      <c r="AU731" s="4"/>
      <c r="AV731" s="2"/>
      <c r="AW731" s="20" t="s">
        <v>17</v>
      </c>
      <c r="AX731" s="20" t="s">
        <v>17</v>
      </c>
      <c r="AY731" s="20" t="s">
        <v>17</v>
      </c>
      <c r="AZ731" s="5"/>
      <c r="BA731" s="6"/>
      <c r="BB731" s="4"/>
      <c r="BC731" s="6"/>
      <c r="BD731" s="6"/>
      <c r="BE731" s="6"/>
      <c r="BF731" s="7"/>
    </row>
    <row r="732" spans="1:58" ht="18" customHeight="1">
      <c r="A732" s="107" t="s">
        <v>15</v>
      </c>
      <c r="B732" s="93" t="s">
        <v>705</v>
      </c>
      <c r="C732" s="42">
        <v>1870.5</v>
      </c>
      <c r="D732" s="42">
        <v>1870.62</v>
      </c>
      <c r="E732" s="42">
        <v>1870.56</v>
      </c>
      <c r="F732" s="42">
        <v>1870.56</v>
      </c>
      <c r="G732" s="43">
        <v>146079.74765142999</v>
      </c>
      <c r="H732" s="43">
        <v>141986.60796989701</v>
      </c>
      <c r="I732" s="27">
        <f t="shared" si="30"/>
        <v>1</v>
      </c>
      <c r="J732" s="27">
        <f t="shared" si="32"/>
        <v>1</v>
      </c>
      <c r="K732" s="27">
        <f t="shared" si="31"/>
        <v>1</v>
      </c>
      <c r="L732" s="25">
        <v>357.00004049999995</v>
      </c>
      <c r="M732" s="25">
        <v>359.09920921641884</v>
      </c>
      <c r="N732" s="38">
        <v>0.45511019726607316</v>
      </c>
      <c r="O732" s="38">
        <v>-5.493853580286312</v>
      </c>
      <c r="P732" s="71">
        <v>-7.3142943693506046</v>
      </c>
      <c r="Q732" s="53">
        <v>42573</v>
      </c>
      <c r="R732" s="23">
        <v>9</v>
      </c>
      <c r="S732" s="24">
        <v>357.00004049999995</v>
      </c>
      <c r="T732" s="24">
        <v>359.09920921641884</v>
      </c>
      <c r="U732" s="1">
        <v>0.45511019726607316</v>
      </c>
      <c r="V732" s="2">
        <v>-5.493853580286312</v>
      </c>
      <c r="W732" s="2">
        <v>-7.3142943693506046</v>
      </c>
      <c r="X732" s="22" t="s">
        <v>17</v>
      </c>
      <c r="Y732" s="23"/>
      <c r="Z732" s="24" t="s">
        <v>17</v>
      </c>
      <c r="AA732" s="24" t="s">
        <v>17</v>
      </c>
      <c r="AB732" s="1" t="s">
        <v>17</v>
      </c>
      <c r="AC732" s="2" t="s">
        <v>17</v>
      </c>
      <c r="AD732" s="2" t="s">
        <v>17</v>
      </c>
      <c r="AE732" s="22" t="s">
        <v>17</v>
      </c>
      <c r="AF732" s="23"/>
      <c r="AG732" s="24" t="s">
        <v>17</v>
      </c>
      <c r="AH732" s="24" t="s">
        <v>17</v>
      </c>
      <c r="AI732" s="1" t="s">
        <v>17</v>
      </c>
      <c r="AJ732" s="2" t="s">
        <v>17</v>
      </c>
      <c r="AK732" s="2" t="s">
        <v>17</v>
      </c>
      <c r="AL732" s="22" t="s">
        <v>17</v>
      </c>
      <c r="AM732" s="4" t="s">
        <v>17</v>
      </c>
      <c r="AN732" s="24" t="s">
        <v>17</v>
      </c>
      <c r="AO732" s="24" t="s">
        <v>17</v>
      </c>
      <c r="AP732" s="1" t="s">
        <v>17</v>
      </c>
      <c r="AQ732" s="2" t="s">
        <v>17</v>
      </c>
      <c r="AR732" s="2" t="s">
        <v>17</v>
      </c>
      <c r="AS732" s="3"/>
      <c r="AT732" s="2"/>
      <c r="AU732" s="4"/>
      <c r="AV732" s="2"/>
      <c r="AW732" s="20" t="s">
        <v>17</v>
      </c>
      <c r="AX732" s="20" t="s">
        <v>17</v>
      </c>
      <c r="AY732" s="20" t="s">
        <v>17</v>
      </c>
      <c r="AZ732" s="5"/>
      <c r="BA732" s="6"/>
      <c r="BB732" s="4"/>
      <c r="BC732" s="6"/>
      <c r="BD732" s="6"/>
      <c r="BE732" s="6"/>
      <c r="BF732" s="7"/>
    </row>
    <row r="733" spans="1:58" ht="18" customHeight="1">
      <c r="A733" s="107" t="s">
        <v>15</v>
      </c>
      <c r="B733" s="93" t="s">
        <v>706</v>
      </c>
      <c r="C733" s="42">
        <v>1873.5</v>
      </c>
      <c r="D733" s="42">
        <v>1873.595</v>
      </c>
      <c r="E733" s="42">
        <v>1873.5475000000001</v>
      </c>
      <c r="F733" s="42">
        <v>1873.5475000000001</v>
      </c>
      <c r="G733" s="43">
        <v>146676.97601784801</v>
      </c>
      <c r="H733" s="43">
        <v>142566.93494462801</v>
      </c>
      <c r="I733" s="27">
        <f t="shared" si="30"/>
        <v>1</v>
      </c>
      <c r="J733" s="27">
        <f t="shared" si="32"/>
        <v>1</v>
      </c>
      <c r="K733" s="27">
        <f t="shared" si="31"/>
        <v>1</v>
      </c>
      <c r="L733" s="25">
        <v>355.23588299999994</v>
      </c>
      <c r="M733" s="25">
        <v>350.01755655439393</v>
      </c>
      <c r="N733" s="38">
        <v>0.4787425526420197</v>
      </c>
      <c r="O733" s="38">
        <v>-6.2877164630088522</v>
      </c>
      <c r="P733" s="71">
        <v>-8.202686673576931</v>
      </c>
      <c r="Q733" s="53">
        <v>42461</v>
      </c>
      <c r="R733" s="23">
        <v>11</v>
      </c>
      <c r="S733" s="24">
        <v>355.23588299999994</v>
      </c>
      <c r="T733" s="24">
        <v>350.01755655439393</v>
      </c>
      <c r="U733" s="1">
        <v>0.4787425526420197</v>
      </c>
      <c r="V733" s="2">
        <v>-6.2877164630088522</v>
      </c>
      <c r="W733" s="2">
        <v>-8.202686673576931</v>
      </c>
      <c r="X733" s="22" t="s">
        <v>17</v>
      </c>
      <c r="Y733" s="23"/>
      <c r="Z733" s="24" t="s">
        <v>17</v>
      </c>
      <c r="AA733" s="24" t="s">
        <v>17</v>
      </c>
      <c r="AB733" s="1" t="s">
        <v>17</v>
      </c>
      <c r="AC733" s="2" t="s">
        <v>17</v>
      </c>
      <c r="AD733" s="2" t="s">
        <v>17</v>
      </c>
      <c r="AE733" s="22" t="s">
        <v>17</v>
      </c>
      <c r="AF733" s="23"/>
      <c r="AG733" s="24" t="s">
        <v>17</v>
      </c>
      <c r="AH733" s="24" t="s">
        <v>17</v>
      </c>
      <c r="AI733" s="1" t="s">
        <v>17</v>
      </c>
      <c r="AJ733" s="2" t="s">
        <v>17</v>
      </c>
      <c r="AK733" s="2" t="s">
        <v>17</v>
      </c>
      <c r="AL733" s="22" t="s">
        <v>17</v>
      </c>
      <c r="AM733" s="4" t="s">
        <v>17</v>
      </c>
      <c r="AN733" s="24" t="s">
        <v>17</v>
      </c>
      <c r="AO733" s="24" t="s">
        <v>17</v>
      </c>
      <c r="AP733" s="1" t="s">
        <v>17</v>
      </c>
      <c r="AQ733" s="2" t="s">
        <v>17</v>
      </c>
      <c r="AR733" s="2" t="s">
        <v>17</v>
      </c>
      <c r="AS733" s="3"/>
      <c r="AT733" s="2"/>
      <c r="AU733" s="4"/>
      <c r="AV733" s="2"/>
      <c r="AW733" s="1" t="s">
        <v>17</v>
      </c>
      <c r="AX733" s="2" t="s">
        <v>17</v>
      </c>
      <c r="AY733" s="2" t="s">
        <v>17</v>
      </c>
      <c r="AZ733" s="5"/>
      <c r="BA733" s="6"/>
      <c r="BB733" s="4"/>
      <c r="BC733" s="6"/>
      <c r="BD733" s="6"/>
      <c r="BE733" s="6"/>
      <c r="BF733" s="7"/>
    </row>
    <row r="734" spans="1:58" ht="18" customHeight="1">
      <c r="A734" s="107" t="s">
        <v>15</v>
      </c>
      <c r="B734" s="93" t="s">
        <v>707</v>
      </c>
      <c r="C734" s="42">
        <v>1876</v>
      </c>
      <c r="D734" s="42">
        <v>1876.12</v>
      </c>
      <c r="E734" s="42">
        <v>1876.06</v>
      </c>
      <c r="F734" s="42">
        <v>1876.06</v>
      </c>
      <c r="G734" s="43">
        <v>147142.32592597301</v>
      </c>
      <c r="H734" s="43">
        <v>143085.70355503901</v>
      </c>
      <c r="I734" s="27">
        <f t="shared" si="30"/>
        <v>1</v>
      </c>
      <c r="J734" s="27">
        <f t="shared" si="32"/>
        <v>1</v>
      </c>
      <c r="K734" s="27">
        <f t="shared" si="31"/>
        <v>1</v>
      </c>
      <c r="L734" s="25">
        <v>389.33157400000005</v>
      </c>
      <c r="M734" s="25">
        <v>391.40476926140457</v>
      </c>
      <c r="N734" s="38">
        <v>0.412152623204598</v>
      </c>
      <c r="O734" s="38">
        <v>-5.1677021632379194</v>
      </c>
      <c r="P734" s="71">
        <v>-6.8163126560563114</v>
      </c>
      <c r="Q734" s="53">
        <v>42560</v>
      </c>
      <c r="R734" s="23">
        <v>9</v>
      </c>
      <c r="S734" s="24">
        <v>389.33157400000005</v>
      </c>
      <c r="T734" s="24">
        <v>391.40476926140457</v>
      </c>
      <c r="U734" s="1">
        <v>0.412152623204598</v>
      </c>
      <c r="V734" s="2">
        <v>-5.1677021632379194</v>
      </c>
      <c r="W734" s="2">
        <v>-6.8163126560563114</v>
      </c>
      <c r="X734" s="22" t="s">
        <v>17</v>
      </c>
      <c r="Y734" s="23"/>
      <c r="Z734" s="24" t="s">
        <v>17</v>
      </c>
      <c r="AA734" s="24" t="s">
        <v>17</v>
      </c>
      <c r="AB734" s="1" t="s">
        <v>17</v>
      </c>
      <c r="AC734" s="2" t="s">
        <v>17</v>
      </c>
      <c r="AD734" s="2" t="s">
        <v>17</v>
      </c>
      <c r="AE734" s="22" t="s">
        <v>17</v>
      </c>
      <c r="AF734" s="23"/>
      <c r="AG734" s="24" t="s">
        <v>17</v>
      </c>
      <c r="AH734" s="24" t="s">
        <v>17</v>
      </c>
      <c r="AI734" s="1" t="s">
        <v>17</v>
      </c>
      <c r="AJ734" s="2" t="s">
        <v>17</v>
      </c>
      <c r="AK734" s="2" t="s">
        <v>17</v>
      </c>
      <c r="AL734" s="22" t="s">
        <v>17</v>
      </c>
      <c r="AM734" s="4" t="s">
        <v>17</v>
      </c>
      <c r="AN734" s="24" t="s">
        <v>17</v>
      </c>
      <c r="AO734" s="24" t="s">
        <v>17</v>
      </c>
      <c r="AP734" s="1" t="s">
        <v>17</v>
      </c>
      <c r="AQ734" s="2" t="s">
        <v>17</v>
      </c>
      <c r="AR734" s="2" t="s">
        <v>17</v>
      </c>
      <c r="AS734" s="3"/>
      <c r="AT734" s="2"/>
      <c r="AU734" s="4"/>
      <c r="AV734" s="2"/>
      <c r="AW734" s="20" t="s">
        <v>17</v>
      </c>
      <c r="AX734" s="20" t="s">
        <v>17</v>
      </c>
      <c r="AY734" s="20" t="s">
        <v>17</v>
      </c>
      <c r="AZ734" s="5"/>
      <c r="BA734" s="6"/>
      <c r="BB734" s="4"/>
      <c r="BC734" s="6"/>
      <c r="BD734" s="6"/>
      <c r="BE734" s="6"/>
      <c r="BF734" s="7"/>
    </row>
    <row r="735" spans="1:58" ht="18" customHeight="1">
      <c r="A735" s="107" t="s">
        <v>15</v>
      </c>
      <c r="B735" s="93" t="s">
        <v>708</v>
      </c>
      <c r="C735" s="42">
        <v>1879</v>
      </c>
      <c r="D735" s="42">
        <v>1879.12</v>
      </c>
      <c r="E735" s="42">
        <v>1879.06</v>
      </c>
      <c r="F735" s="42">
        <v>1879.06</v>
      </c>
      <c r="G735" s="43">
        <v>147741.93828552001</v>
      </c>
      <c r="H735" s="43">
        <v>143692.607684555</v>
      </c>
      <c r="I735" s="27">
        <f t="shared" si="30"/>
        <v>2</v>
      </c>
      <c r="J735" s="27">
        <f t="shared" si="32"/>
        <v>2</v>
      </c>
      <c r="K735" s="27">
        <f t="shared" si="31"/>
        <v>2</v>
      </c>
      <c r="L735" s="25">
        <v>397.23328249999997</v>
      </c>
      <c r="M735" s="25">
        <v>399.61088357014722</v>
      </c>
      <c r="N735" s="38">
        <v>0.4632735189924464</v>
      </c>
      <c r="O735" s="38">
        <v>-4.7198465244574495</v>
      </c>
      <c r="P735" s="71">
        <v>-6.572940600427235</v>
      </c>
      <c r="Q735" s="53">
        <v>42418</v>
      </c>
      <c r="R735" s="23">
        <v>9</v>
      </c>
      <c r="S735" s="24">
        <v>398.02057249999996</v>
      </c>
      <c r="T735" s="24">
        <v>400.38456772712925</v>
      </c>
      <c r="U735" s="1">
        <v>0.45970429532427026</v>
      </c>
      <c r="V735" s="2">
        <v>-4.7400130320767175</v>
      </c>
      <c r="W735" s="2">
        <v>-6.5788302133737986</v>
      </c>
      <c r="X735" s="22">
        <v>42418</v>
      </c>
      <c r="Y735" s="23">
        <v>12</v>
      </c>
      <c r="Z735" s="24">
        <v>396.44599249999999</v>
      </c>
      <c r="AA735" s="24">
        <v>398.83719941316519</v>
      </c>
      <c r="AB735" s="1">
        <v>0.46684274266062253</v>
      </c>
      <c r="AC735" s="2">
        <v>-4.6996800168381814</v>
      </c>
      <c r="AD735" s="2">
        <v>-6.5670509874806715</v>
      </c>
      <c r="AE735" s="22" t="s">
        <v>17</v>
      </c>
      <c r="AF735" s="23"/>
      <c r="AG735" s="24" t="s">
        <v>17</v>
      </c>
      <c r="AH735" s="24" t="s">
        <v>17</v>
      </c>
      <c r="AI735" s="1" t="s">
        <v>17</v>
      </c>
      <c r="AJ735" s="2" t="s">
        <v>17</v>
      </c>
      <c r="AK735" s="2" t="s">
        <v>17</v>
      </c>
      <c r="AL735" s="22" t="s">
        <v>17</v>
      </c>
      <c r="AM735" s="4" t="s">
        <v>17</v>
      </c>
      <c r="AN735" s="24" t="s">
        <v>17</v>
      </c>
      <c r="AO735" s="24" t="s">
        <v>17</v>
      </c>
      <c r="AP735" s="1" t="s">
        <v>17</v>
      </c>
      <c r="AQ735" s="2" t="s">
        <v>17</v>
      </c>
      <c r="AR735" s="2" t="s">
        <v>17</v>
      </c>
      <c r="AS735" s="3"/>
      <c r="AT735" s="2"/>
      <c r="AU735" s="4"/>
      <c r="AV735" s="2"/>
      <c r="AW735" s="20" t="s">
        <v>17</v>
      </c>
      <c r="AX735" s="20" t="s">
        <v>17</v>
      </c>
      <c r="AY735" s="20" t="s">
        <v>17</v>
      </c>
      <c r="AZ735" s="5"/>
      <c r="BA735" s="6"/>
      <c r="BB735" s="4"/>
      <c r="BC735" s="6"/>
      <c r="BD735" s="6"/>
      <c r="BE735" s="6"/>
      <c r="BF735" s="7"/>
    </row>
    <row r="736" spans="1:58" ht="18" customHeight="1">
      <c r="A736" s="107" t="s">
        <v>15</v>
      </c>
      <c r="B736" s="93" t="s">
        <v>709</v>
      </c>
      <c r="C736" s="42">
        <v>1881</v>
      </c>
      <c r="D736" s="42">
        <v>1881.08</v>
      </c>
      <c r="E736" s="42">
        <v>1881.04</v>
      </c>
      <c r="F736" s="42">
        <v>1881.04</v>
      </c>
      <c r="G736" s="43">
        <v>148137.37935631801</v>
      </c>
      <c r="H736" s="43">
        <v>144100.95337799101</v>
      </c>
      <c r="I736" s="27">
        <f t="shared" si="30"/>
        <v>1</v>
      </c>
      <c r="J736" s="27">
        <f t="shared" si="32"/>
        <v>1</v>
      </c>
      <c r="K736" s="27">
        <f t="shared" si="31"/>
        <v>1</v>
      </c>
      <c r="L736" s="25">
        <v>384.24047100000001</v>
      </c>
      <c r="M736" s="25">
        <v>386.5695561139151</v>
      </c>
      <c r="N736" s="38">
        <v>0.46915866303698373</v>
      </c>
      <c r="O736" s="38">
        <v>-5.1019556081728368</v>
      </c>
      <c r="P736" s="71">
        <v>-6.9785902603207717</v>
      </c>
      <c r="Q736" s="53">
        <v>42573</v>
      </c>
      <c r="R736" s="23">
        <v>9</v>
      </c>
      <c r="S736" s="24">
        <v>384.24047100000001</v>
      </c>
      <c r="T736" s="24">
        <v>386.5695561139151</v>
      </c>
      <c r="U736" s="1">
        <v>0.46915866303698373</v>
      </c>
      <c r="V736" s="2">
        <v>-5.1019556081728368</v>
      </c>
      <c r="W736" s="2">
        <v>-6.9785902603207717</v>
      </c>
      <c r="X736" s="22" t="s">
        <v>17</v>
      </c>
      <c r="Y736" s="23"/>
      <c r="Z736" s="24" t="s">
        <v>17</v>
      </c>
      <c r="AA736" s="24" t="s">
        <v>17</v>
      </c>
      <c r="AB736" s="1" t="s">
        <v>17</v>
      </c>
      <c r="AC736" s="2" t="s">
        <v>17</v>
      </c>
      <c r="AD736" s="2" t="s">
        <v>17</v>
      </c>
      <c r="AE736" s="22" t="s">
        <v>17</v>
      </c>
      <c r="AF736" s="23"/>
      <c r="AG736" s="24" t="s">
        <v>17</v>
      </c>
      <c r="AH736" s="24" t="s">
        <v>17</v>
      </c>
      <c r="AI736" s="1" t="s">
        <v>17</v>
      </c>
      <c r="AJ736" s="2" t="s">
        <v>17</v>
      </c>
      <c r="AK736" s="2" t="s">
        <v>17</v>
      </c>
      <c r="AL736" s="22" t="s">
        <v>17</v>
      </c>
      <c r="AM736" s="4" t="s">
        <v>17</v>
      </c>
      <c r="AN736" s="24" t="s">
        <v>17</v>
      </c>
      <c r="AO736" s="24" t="s">
        <v>17</v>
      </c>
      <c r="AP736" s="1" t="s">
        <v>17</v>
      </c>
      <c r="AQ736" s="2" t="s">
        <v>17</v>
      </c>
      <c r="AR736" s="2" t="s">
        <v>17</v>
      </c>
      <c r="AS736" s="3"/>
      <c r="AT736" s="2"/>
      <c r="AU736" s="4"/>
      <c r="AV736" s="2"/>
      <c r="AW736" s="20" t="s">
        <v>17</v>
      </c>
      <c r="AX736" s="20" t="s">
        <v>17</v>
      </c>
      <c r="AY736" s="20" t="s">
        <v>17</v>
      </c>
      <c r="AZ736" s="5"/>
      <c r="BA736" s="6"/>
      <c r="BB736" s="4"/>
      <c r="BC736" s="6"/>
      <c r="BD736" s="6"/>
      <c r="BE736" s="6"/>
      <c r="BF736" s="7"/>
    </row>
    <row r="737" spans="1:58" ht="18" customHeight="1">
      <c r="A737" s="107" t="s">
        <v>15</v>
      </c>
      <c r="B737" s="93" t="s">
        <v>710</v>
      </c>
      <c r="C737" s="42">
        <v>1883.56</v>
      </c>
      <c r="D737" s="42">
        <v>1883.62</v>
      </c>
      <c r="E737" s="42">
        <v>1883.59</v>
      </c>
      <c r="F737" s="42">
        <v>1883.59</v>
      </c>
      <c r="G737" s="43">
        <v>148591.47284453499</v>
      </c>
      <c r="H737" s="43">
        <v>144608.98336143399</v>
      </c>
      <c r="I737" s="27">
        <f t="shared" si="30"/>
        <v>2</v>
      </c>
      <c r="J737" s="27">
        <f t="shared" si="32"/>
        <v>1</v>
      </c>
      <c r="K737" s="27">
        <f t="shared" si="31"/>
        <v>1</v>
      </c>
      <c r="L737" s="25">
        <v>436.96486049999999</v>
      </c>
      <c r="M737" s="25">
        <v>435.92024093002181</v>
      </c>
      <c r="N737" s="38">
        <v>0.47166699633205411</v>
      </c>
      <c r="O737" s="38">
        <v>-4.4676783026537104</v>
      </c>
      <c r="P737" s="71">
        <v>-6.3543462879819268</v>
      </c>
      <c r="Q737" s="53">
        <v>42458</v>
      </c>
      <c r="R737" s="23">
        <v>9</v>
      </c>
      <c r="S737" s="24">
        <v>442.09999449999998</v>
      </c>
      <c r="T737" s="24">
        <v>437.37921195611875</v>
      </c>
      <c r="U737" s="1">
        <v>0.47166699633205411</v>
      </c>
      <c r="V737" s="2">
        <v>-4.4676783026537104</v>
      </c>
      <c r="W737" s="2">
        <v>-6.3543462879819268</v>
      </c>
      <c r="X737" s="22">
        <v>42586</v>
      </c>
      <c r="Y737" s="23">
        <v>9</v>
      </c>
      <c r="Z737" s="24">
        <v>431.82972649999999</v>
      </c>
      <c r="AA737" s="24">
        <v>434.46126990392492</v>
      </c>
      <c r="AB737" s="1"/>
      <c r="AC737" s="2"/>
      <c r="AD737" s="2"/>
      <c r="AE737" s="22" t="s">
        <v>17</v>
      </c>
      <c r="AF737" s="23"/>
      <c r="AG737" s="24" t="s">
        <v>17</v>
      </c>
      <c r="AH737" s="24" t="s">
        <v>17</v>
      </c>
      <c r="AI737" s="1" t="s">
        <v>17</v>
      </c>
      <c r="AJ737" s="2" t="s">
        <v>17</v>
      </c>
      <c r="AK737" s="2" t="s">
        <v>17</v>
      </c>
      <c r="AL737" s="22" t="s">
        <v>17</v>
      </c>
      <c r="AM737" s="4" t="s">
        <v>17</v>
      </c>
      <c r="AN737" s="24" t="s">
        <v>17</v>
      </c>
      <c r="AO737" s="24" t="s">
        <v>17</v>
      </c>
      <c r="AP737" s="1" t="s">
        <v>17</v>
      </c>
      <c r="AQ737" s="2" t="s">
        <v>17</v>
      </c>
      <c r="AR737" s="2" t="s">
        <v>17</v>
      </c>
      <c r="AS737" s="3"/>
      <c r="AT737" s="2"/>
      <c r="AU737" s="4"/>
      <c r="AV737" s="2"/>
      <c r="AW737" s="20" t="s">
        <v>17</v>
      </c>
      <c r="AX737" s="20" t="s">
        <v>17</v>
      </c>
      <c r="AY737" s="20" t="s">
        <v>17</v>
      </c>
      <c r="AZ737" s="5"/>
      <c r="BA737" s="6"/>
      <c r="BB737" s="4"/>
      <c r="BC737" s="6"/>
      <c r="BD737" s="6"/>
      <c r="BE737" s="6"/>
      <c r="BF737" s="7"/>
    </row>
    <row r="738" spans="1:58" ht="18" customHeight="1">
      <c r="A738" s="107" t="s">
        <v>15</v>
      </c>
      <c r="B738" s="93" t="s">
        <v>711</v>
      </c>
      <c r="C738" s="42">
        <v>1886</v>
      </c>
      <c r="D738" s="42">
        <v>1886.12</v>
      </c>
      <c r="E738" s="42">
        <v>1886.06</v>
      </c>
      <c r="F738" s="42">
        <v>1886.06</v>
      </c>
      <c r="G738" s="43">
        <v>149044.55124119</v>
      </c>
      <c r="H738" s="43">
        <v>145090.988678669</v>
      </c>
      <c r="I738" s="27">
        <f t="shared" si="30"/>
        <v>1</v>
      </c>
      <c r="J738" s="27">
        <f t="shared" si="32"/>
        <v>3</v>
      </c>
      <c r="K738" s="27">
        <f t="shared" si="31"/>
        <v>3</v>
      </c>
      <c r="L738" s="25">
        <v>370.91929099999999</v>
      </c>
      <c r="M738" s="25">
        <v>373.17485685498082</v>
      </c>
      <c r="N738" s="38">
        <v>0.47350629788304549</v>
      </c>
      <c r="O738" s="38">
        <v>-4.5583442067687798</v>
      </c>
      <c r="P738" s="71">
        <v>-6.452369398300962</v>
      </c>
      <c r="Q738" s="53">
        <v>42577</v>
      </c>
      <c r="R738" s="23">
        <v>9</v>
      </c>
      <c r="S738" s="24">
        <v>370.91929099999999</v>
      </c>
      <c r="T738" s="24">
        <v>373.17485685498082</v>
      </c>
      <c r="U738" s="1">
        <v>0.47066681290597323</v>
      </c>
      <c r="V738" s="2">
        <v>-4.6424171723237206</v>
      </c>
      <c r="W738" s="2">
        <v>-6.5250844239476136</v>
      </c>
      <c r="X738" s="22">
        <v>42888</v>
      </c>
      <c r="Y738" s="23">
        <v>9</v>
      </c>
      <c r="Z738" s="24"/>
      <c r="AA738" s="24"/>
      <c r="AB738" s="1">
        <v>0.4773200987198134</v>
      </c>
      <c r="AC738" s="2">
        <v>-4.5017096882293828</v>
      </c>
      <c r="AD738" s="2">
        <v>-6.4109900831086364</v>
      </c>
      <c r="AE738" s="22">
        <v>42888</v>
      </c>
      <c r="AF738" s="23">
        <v>9</v>
      </c>
      <c r="AG738" s="24"/>
      <c r="AH738" s="24"/>
      <c r="AI738" s="1">
        <v>0.47253198202334978</v>
      </c>
      <c r="AJ738" s="2">
        <v>-4.5309057597532343</v>
      </c>
      <c r="AK738" s="2">
        <v>-6.4210336878466334</v>
      </c>
      <c r="AL738" s="22" t="s">
        <v>17</v>
      </c>
      <c r="AM738" s="4" t="s">
        <v>17</v>
      </c>
      <c r="AN738" s="24" t="s">
        <v>17</v>
      </c>
      <c r="AO738" s="24" t="s">
        <v>17</v>
      </c>
      <c r="AP738" s="1" t="s">
        <v>17</v>
      </c>
      <c r="AQ738" s="2" t="s">
        <v>17</v>
      </c>
      <c r="AR738" s="2" t="s">
        <v>17</v>
      </c>
      <c r="AS738" s="3"/>
      <c r="AT738" s="2"/>
      <c r="AU738" s="4"/>
      <c r="AV738" s="2"/>
      <c r="AW738" s="20" t="s">
        <v>17</v>
      </c>
      <c r="AX738" s="20" t="s">
        <v>17</v>
      </c>
      <c r="AY738" s="20" t="s">
        <v>17</v>
      </c>
      <c r="AZ738" s="5"/>
      <c r="BA738" s="6"/>
      <c r="BB738" s="4"/>
      <c r="BC738" s="6"/>
      <c r="BD738" s="6"/>
      <c r="BE738" s="6"/>
      <c r="BF738" s="7"/>
    </row>
    <row r="739" spans="1:58" ht="18" customHeight="1">
      <c r="A739" s="107" t="s">
        <v>15</v>
      </c>
      <c r="B739" s="93" t="s">
        <v>712</v>
      </c>
      <c r="C739" s="42">
        <v>1889</v>
      </c>
      <c r="D739" s="42">
        <v>1889.1</v>
      </c>
      <c r="E739" s="42">
        <v>1889.05</v>
      </c>
      <c r="F739" s="42">
        <v>1889.05</v>
      </c>
      <c r="G739" s="43">
        <v>149589.32821759401</v>
      </c>
      <c r="H739" s="43">
        <v>145659.06801483501</v>
      </c>
      <c r="I739" s="27">
        <f t="shared" si="30"/>
        <v>1</v>
      </c>
      <c r="J739" s="27">
        <f t="shared" si="32"/>
        <v>2</v>
      </c>
      <c r="K739" s="27">
        <f t="shared" si="31"/>
        <v>2</v>
      </c>
      <c r="L739" s="25">
        <v>399.64257399999997</v>
      </c>
      <c r="M739" s="25">
        <v>394.7105459641428</v>
      </c>
      <c r="N739" s="38">
        <v>0.47842809155496102</v>
      </c>
      <c r="O739" s="38">
        <v>-4.3778854512385168</v>
      </c>
      <c r="P739" s="71">
        <v>-6.2915978174583609</v>
      </c>
      <c r="Q739" s="53">
        <v>42458</v>
      </c>
      <c r="R739" s="23">
        <v>9</v>
      </c>
      <c r="S739" s="24">
        <v>399.64257399999997</v>
      </c>
      <c r="T739" s="24">
        <v>394.7105459641428</v>
      </c>
      <c r="U739" s="1">
        <v>0.48103674065291813</v>
      </c>
      <c r="V739" s="2">
        <v>-4.3370007934490085</v>
      </c>
      <c r="W739" s="2">
        <v>-6.261147756060681</v>
      </c>
      <c r="X739" s="22">
        <v>42458</v>
      </c>
      <c r="Y739" s="23">
        <v>9</v>
      </c>
      <c r="Z739" s="24"/>
      <c r="AA739" s="24"/>
      <c r="AB739" s="1">
        <v>0.47581944245700392</v>
      </c>
      <c r="AC739" s="2">
        <v>-4.4187701090280251</v>
      </c>
      <c r="AD739" s="2">
        <v>-6.3220478788560408</v>
      </c>
      <c r="AE739" s="22" t="s">
        <v>17</v>
      </c>
      <c r="AF739" s="23"/>
      <c r="AG739" s="24" t="s">
        <v>17</v>
      </c>
      <c r="AH739" s="24" t="s">
        <v>17</v>
      </c>
      <c r="AI739" s="1" t="s">
        <v>17</v>
      </c>
      <c r="AJ739" s="2" t="s">
        <v>17</v>
      </c>
      <c r="AK739" s="2" t="s">
        <v>17</v>
      </c>
      <c r="AL739" s="22" t="s">
        <v>17</v>
      </c>
      <c r="AM739" s="4" t="s">
        <v>17</v>
      </c>
      <c r="AN739" s="24" t="s">
        <v>17</v>
      </c>
      <c r="AO739" s="24" t="s">
        <v>17</v>
      </c>
      <c r="AP739" s="1" t="s">
        <v>17</v>
      </c>
      <c r="AQ739" s="2" t="s">
        <v>17</v>
      </c>
      <c r="AR739" s="2" t="s">
        <v>17</v>
      </c>
      <c r="AS739" s="3"/>
      <c r="AT739" s="2"/>
      <c r="AU739" s="4"/>
      <c r="AV739" s="2"/>
      <c r="AW739" s="20" t="s">
        <v>17</v>
      </c>
      <c r="AX739" s="20" t="s">
        <v>17</v>
      </c>
      <c r="AY739" s="20" t="s">
        <v>17</v>
      </c>
      <c r="AZ739" s="5"/>
      <c r="BA739" s="6"/>
      <c r="BB739" s="4"/>
      <c r="BC739" s="6"/>
      <c r="BD739" s="6"/>
      <c r="BE739" s="6"/>
      <c r="BF739" s="7"/>
    </row>
    <row r="740" spans="1:58" ht="18" customHeight="1">
      <c r="A740" s="107" t="s">
        <v>15</v>
      </c>
      <c r="B740" s="93" t="s">
        <v>713</v>
      </c>
      <c r="C740" s="42">
        <v>1892.5</v>
      </c>
      <c r="D740" s="42">
        <v>1892.62</v>
      </c>
      <c r="E740" s="42">
        <v>1892.56</v>
      </c>
      <c r="F740" s="42">
        <v>1892.56</v>
      </c>
      <c r="G740" s="43">
        <v>150261.75692466801</v>
      </c>
      <c r="H740" s="43">
        <v>146355.49276962099</v>
      </c>
      <c r="I740" s="27">
        <f t="shared" si="30"/>
        <v>2</v>
      </c>
      <c r="J740" s="27">
        <f t="shared" si="32"/>
        <v>1</v>
      </c>
      <c r="K740" s="27">
        <f t="shared" si="31"/>
        <v>1</v>
      </c>
      <c r="L740" s="25">
        <v>423.54722724999999</v>
      </c>
      <c r="M740" s="25">
        <v>426.15268110214015</v>
      </c>
      <c r="N740" s="38">
        <v>0.47612285454179393</v>
      </c>
      <c r="O740" s="38">
        <v>-4.4337950510987545</v>
      </c>
      <c r="P740" s="71">
        <v>-6.3382864692659302</v>
      </c>
      <c r="Q740" s="53">
        <v>42577</v>
      </c>
      <c r="R740" s="23">
        <v>9</v>
      </c>
      <c r="S740" s="24">
        <v>424.81197350000002</v>
      </c>
      <c r="T740" s="24">
        <v>427.42520744790528</v>
      </c>
      <c r="U740" s="1">
        <v>0.47612285454179393</v>
      </c>
      <c r="V740" s="2">
        <v>-4.4337950510987545</v>
      </c>
      <c r="W740" s="2">
        <v>-6.3382864692659302</v>
      </c>
      <c r="X740" s="22">
        <v>42586</v>
      </c>
      <c r="Y740" s="23">
        <v>10</v>
      </c>
      <c r="Z740" s="24">
        <v>422.28248099999996</v>
      </c>
      <c r="AA740" s="24">
        <v>424.88015475637508</v>
      </c>
      <c r="AB740" s="1"/>
      <c r="AC740" s="2"/>
      <c r="AD740" s="2"/>
      <c r="AE740" s="22" t="s">
        <v>17</v>
      </c>
      <c r="AF740" s="23"/>
      <c r="AG740" s="24" t="s">
        <v>17</v>
      </c>
      <c r="AH740" s="24" t="s">
        <v>17</v>
      </c>
      <c r="AI740" s="1" t="s">
        <v>17</v>
      </c>
      <c r="AJ740" s="2" t="s">
        <v>17</v>
      </c>
      <c r="AK740" s="2" t="s">
        <v>17</v>
      </c>
      <c r="AL740" s="22" t="s">
        <v>17</v>
      </c>
      <c r="AM740" s="4" t="s">
        <v>17</v>
      </c>
      <c r="AN740" s="24" t="s">
        <v>17</v>
      </c>
      <c r="AO740" s="24" t="s">
        <v>17</v>
      </c>
      <c r="AP740" s="1" t="s">
        <v>17</v>
      </c>
      <c r="AQ740" s="2" t="s">
        <v>17</v>
      </c>
      <c r="AR740" s="2" t="s">
        <v>17</v>
      </c>
      <c r="AS740" s="3"/>
      <c r="AT740" s="2"/>
      <c r="AU740" s="4"/>
      <c r="AV740" s="2"/>
      <c r="AW740" s="1" t="s">
        <v>17</v>
      </c>
      <c r="AX740" s="2" t="s">
        <v>17</v>
      </c>
      <c r="AY740" s="2" t="s">
        <v>17</v>
      </c>
      <c r="AZ740" s="5"/>
      <c r="BA740" s="6"/>
      <c r="BB740" s="4"/>
      <c r="BC740" s="6"/>
      <c r="BD740" s="6"/>
      <c r="BE740" s="6"/>
      <c r="BF740" s="7"/>
    </row>
    <row r="741" spans="1:58" ht="18" customHeight="1">
      <c r="A741" s="107" t="s">
        <v>15</v>
      </c>
      <c r="B741" s="93" t="s">
        <v>714</v>
      </c>
      <c r="C741" s="42">
        <v>1893.7365750000004</v>
      </c>
      <c r="D741" s="42">
        <v>1893.7604250000004</v>
      </c>
      <c r="E741" s="42">
        <v>1893.7485000000004</v>
      </c>
      <c r="F741" s="42">
        <v>1893.7485000000004</v>
      </c>
      <c r="G741" s="43">
        <v>150480.460155318</v>
      </c>
      <c r="H741" s="43">
        <v>146599.84875260899</v>
      </c>
      <c r="I741" s="27">
        <f t="shared" si="30"/>
        <v>0</v>
      </c>
      <c r="J741" s="27">
        <f t="shared" si="32"/>
        <v>1</v>
      </c>
      <c r="K741" s="27">
        <f t="shared" si="31"/>
        <v>1</v>
      </c>
      <c r="L741" s="25"/>
      <c r="M741" s="25"/>
      <c r="N741" s="38">
        <v>0.47706158277558419</v>
      </c>
      <c r="O741" s="38">
        <v>-4.0143175353848646</v>
      </c>
      <c r="P741" s="71">
        <v>-5.9225638664872022</v>
      </c>
      <c r="Q741" s="53">
        <v>43354</v>
      </c>
      <c r="R741" s="23">
        <v>11</v>
      </c>
      <c r="S741" s="24"/>
      <c r="T741" s="24"/>
      <c r="U741" s="38">
        <v>0.47706158277558419</v>
      </c>
      <c r="V741" s="2">
        <v>-4.0143175353848646</v>
      </c>
      <c r="W741" s="2">
        <v>-5.9225638664872022</v>
      </c>
      <c r="X741" s="22"/>
      <c r="Y741" s="23"/>
      <c r="Z741" s="24"/>
      <c r="AA741" s="24"/>
      <c r="AB741" s="1"/>
      <c r="AC741" s="2"/>
      <c r="AD741" s="2"/>
      <c r="AE741" s="22"/>
      <c r="AF741" s="23"/>
      <c r="AG741" s="24"/>
      <c r="AH741" s="24"/>
      <c r="AI741" s="1"/>
      <c r="AJ741" s="2"/>
      <c r="AK741" s="2"/>
      <c r="AL741" s="22"/>
      <c r="AM741" s="4"/>
      <c r="AN741" s="24"/>
      <c r="AO741" s="24"/>
      <c r="AP741" s="1"/>
      <c r="AQ741" s="2"/>
      <c r="AR741" s="2"/>
      <c r="AS741" s="3"/>
      <c r="AT741" s="2"/>
      <c r="AU741" s="4"/>
      <c r="AV741" s="2"/>
      <c r="AW741" s="1"/>
      <c r="AX741" s="2"/>
      <c r="AY741" s="2"/>
      <c r="AZ741" s="5"/>
      <c r="BA741" s="6"/>
      <c r="BB741" s="4"/>
      <c r="BC741" s="6"/>
      <c r="BD741" s="6"/>
      <c r="BE741" s="6"/>
      <c r="BF741" s="7"/>
    </row>
    <row r="742" spans="1:58" ht="18" customHeight="1">
      <c r="A742" s="107" t="s">
        <v>15</v>
      </c>
      <c r="B742" s="93" t="s">
        <v>715</v>
      </c>
      <c r="C742" s="42">
        <v>1894.5</v>
      </c>
      <c r="D742" s="42">
        <v>1894.62</v>
      </c>
      <c r="E742" s="42">
        <v>1894.56</v>
      </c>
      <c r="F742" s="42">
        <v>1894.56</v>
      </c>
      <c r="G742" s="43">
        <v>150623.66149422299</v>
      </c>
      <c r="H742" s="43">
        <v>146760.210601581</v>
      </c>
      <c r="I742" s="27">
        <f t="shared" si="30"/>
        <v>2</v>
      </c>
      <c r="J742" s="27">
        <f t="shared" si="32"/>
        <v>2</v>
      </c>
      <c r="K742" s="27">
        <f t="shared" si="31"/>
        <v>2</v>
      </c>
      <c r="L742" s="25">
        <v>403.11041975000001</v>
      </c>
      <c r="M742" s="25">
        <v>398.20098351711067</v>
      </c>
      <c r="N742" s="38">
        <v>0.4812471028193821</v>
      </c>
      <c r="O742" s="38">
        <v>-3.8505178206857948</v>
      </c>
      <c r="P742" s="71">
        <v>-5.7755062319633232</v>
      </c>
      <c r="Q742" s="53">
        <v>42432</v>
      </c>
      <c r="R742" s="23">
        <v>9</v>
      </c>
      <c r="S742" s="24">
        <v>404.37186800000001</v>
      </c>
      <c r="T742" s="24">
        <v>399.45885113291121</v>
      </c>
      <c r="U742" s="1">
        <v>0.47901279178752532</v>
      </c>
      <c r="V742" s="2">
        <v>-3.869598690994569</v>
      </c>
      <c r="W742" s="2">
        <v>-5.7856498581446703</v>
      </c>
      <c r="X742" s="22">
        <v>42432</v>
      </c>
      <c r="Y742" s="23">
        <v>9</v>
      </c>
      <c r="Z742" s="24">
        <v>401.8489715</v>
      </c>
      <c r="AA742" s="24">
        <v>396.94311590131019</v>
      </c>
      <c r="AB742" s="1">
        <v>0.48348141385123888</v>
      </c>
      <c r="AC742" s="2">
        <v>-3.8314369503770207</v>
      </c>
      <c r="AD742" s="2">
        <v>-5.7653626057819762</v>
      </c>
      <c r="AE742" s="22" t="s">
        <v>17</v>
      </c>
      <c r="AF742" s="23"/>
      <c r="AG742" s="24" t="s">
        <v>17</v>
      </c>
      <c r="AH742" s="24" t="s">
        <v>17</v>
      </c>
      <c r="AI742" s="1" t="s">
        <v>17</v>
      </c>
      <c r="AJ742" s="2" t="s">
        <v>17</v>
      </c>
      <c r="AK742" s="2" t="s">
        <v>17</v>
      </c>
      <c r="AL742" s="22" t="s">
        <v>17</v>
      </c>
      <c r="AM742" s="4" t="s">
        <v>17</v>
      </c>
      <c r="AN742" s="24" t="s">
        <v>17</v>
      </c>
      <c r="AO742" s="24" t="s">
        <v>17</v>
      </c>
      <c r="AP742" s="1" t="s">
        <v>17</v>
      </c>
      <c r="AQ742" s="2" t="s">
        <v>17</v>
      </c>
      <c r="AR742" s="2" t="s">
        <v>17</v>
      </c>
      <c r="AS742" s="3"/>
      <c r="AT742" s="2"/>
      <c r="AU742" s="4"/>
      <c r="AV742" s="2"/>
      <c r="AW742" s="20" t="s">
        <v>17</v>
      </c>
      <c r="AX742" s="20" t="s">
        <v>17</v>
      </c>
      <c r="AY742" s="20" t="s">
        <v>17</v>
      </c>
      <c r="AZ742" s="5"/>
      <c r="BA742" s="6"/>
      <c r="BB742" s="4"/>
      <c r="BC742" s="6"/>
      <c r="BD742" s="6"/>
      <c r="BE742" s="6"/>
      <c r="BF742" s="7"/>
    </row>
    <row r="743" spans="1:58" ht="18" customHeight="1">
      <c r="A743" s="107" t="s">
        <v>15</v>
      </c>
      <c r="B743" s="93" t="s">
        <v>716</v>
      </c>
      <c r="C743" s="42">
        <v>1897.51</v>
      </c>
      <c r="D743" s="42">
        <v>1897.6299999999999</v>
      </c>
      <c r="E743" s="42">
        <v>1897.57</v>
      </c>
      <c r="F743" s="42">
        <v>1897.57</v>
      </c>
      <c r="G743" s="43">
        <v>151185.85079711999</v>
      </c>
      <c r="H743" s="43">
        <v>147375.893179709</v>
      </c>
      <c r="I743" s="27">
        <f t="shared" ref="I743:I806" si="33">COUNT(T743,AA743,AH743,AO743,AV743,BC743)</f>
        <v>1</v>
      </c>
      <c r="J743" s="27">
        <f t="shared" si="32"/>
        <v>1</v>
      </c>
      <c r="K743" s="27">
        <f t="shared" ref="K743:K806" si="34">COUNT(V743,AC743,AJ743,AQ743,AX743,BF743)</f>
        <v>1</v>
      </c>
      <c r="L743" s="25">
        <v>413.93757300000004</v>
      </c>
      <c r="M743" s="25">
        <v>416.45641853597044</v>
      </c>
      <c r="N743" s="38">
        <v>0.47098185220173505</v>
      </c>
      <c r="O743" s="38">
        <v>-4.0394714013685107</v>
      </c>
      <c r="P743" s="71">
        <v>-5.9233988101754509</v>
      </c>
      <c r="Q743" s="53">
        <v>42560</v>
      </c>
      <c r="R743" s="23">
        <v>9</v>
      </c>
      <c r="S743" s="24">
        <v>413.93757300000004</v>
      </c>
      <c r="T743" s="24">
        <v>416.45641853597044</v>
      </c>
      <c r="U743" s="1">
        <v>0.47098185220173505</v>
      </c>
      <c r="V743" s="2">
        <v>-4.0394714013685107</v>
      </c>
      <c r="W743" s="2">
        <v>-5.9233988101754509</v>
      </c>
      <c r="X743" s="22" t="s">
        <v>17</v>
      </c>
      <c r="Y743" s="23"/>
      <c r="Z743" s="24" t="s">
        <v>17</v>
      </c>
      <c r="AA743" s="24" t="s">
        <v>17</v>
      </c>
      <c r="AB743" s="1" t="s">
        <v>17</v>
      </c>
      <c r="AC743" s="2" t="s">
        <v>17</v>
      </c>
      <c r="AD743" s="2" t="s">
        <v>17</v>
      </c>
      <c r="AE743" s="22" t="s">
        <v>17</v>
      </c>
      <c r="AF743" s="23"/>
      <c r="AG743" s="24" t="s">
        <v>17</v>
      </c>
      <c r="AH743" s="24" t="s">
        <v>17</v>
      </c>
      <c r="AI743" s="1" t="s">
        <v>17</v>
      </c>
      <c r="AJ743" s="2" t="s">
        <v>17</v>
      </c>
      <c r="AK743" s="2" t="s">
        <v>17</v>
      </c>
      <c r="AL743" s="22" t="s">
        <v>17</v>
      </c>
      <c r="AM743" s="4" t="s">
        <v>17</v>
      </c>
      <c r="AN743" s="24" t="s">
        <v>17</v>
      </c>
      <c r="AO743" s="24" t="s">
        <v>17</v>
      </c>
      <c r="AP743" s="1" t="s">
        <v>17</v>
      </c>
      <c r="AQ743" s="2" t="s">
        <v>17</v>
      </c>
      <c r="AR743" s="2" t="s">
        <v>17</v>
      </c>
      <c r="AS743" s="3"/>
      <c r="AT743" s="2"/>
      <c r="AU743" s="4"/>
      <c r="AV743" s="2"/>
      <c r="AW743" s="20" t="s">
        <v>17</v>
      </c>
      <c r="AX743" s="20" t="s">
        <v>17</v>
      </c>
      <c r="AY743" s="20" t="s">
        <v>17</v>
      </c>
      <c r="AZ743" s="5"/>
      <c r="BA743" s="6"/>
      <c r="BB743" s="4"/>
      <c r="BC743" s="6"/>
      <c r="BD743" s="6"/>
      <c r="BE743" s="6"/>
      <c r="BF743" s="7"/>
    </row>
    <row r="744" spans="1:58" ht="18" customHeight="1">
      <c r="A744" s="107" t="s">
        <v>15</v>
      </c>
      <c r="B744" s="93" t="s">
        <v>717</v>
      </c>
      <c r="C744" s="42">
        <v>1901.5</v>
      </c>
      <c r="D744" s="42">
        <v>1901.62</v>
      </c>
      <c r="E744" s="42">
        <v>1901.56</v>
      </c>
      <c r="F744" s="42">
        <v>1901.56</v>
      </c>
      <c r="G744" s="43">
        <v>151944.38500780601</v>
      </c>
      <c r="H744" s="43">
        <v>148221.64724821699</v>
      </c>
      <c r="I744" s="27">
        <f t="shared" si="33"/>
        <v>2</v>
      </c>
      <c r="J744" s="27">
        <f t="shared" ref="J744:J807" si="35">COUNT(U744,AB744,AI744,AP744,AW744,BD744)</f>
        <v>2</v>
      </c>
      <c r="K744" s="27">
        <f t="shared" si="34"/>
        <v>2</v>
      </c>
      <c r="L744" s="25">
        <v>469.23183425000002</v>
      </c>
      <c r="M744" s="25">
        <v>464.70367338476012</v>
      </c>
      <c r="N744" s="38">
        <v>0.47623704749111262</v>
      </c>
      <c r="O744" s="38">
        <v>-4.5737615901768613</v>
      </c>
      <c r="P744" s="71">
        <v>-6.4787097801413118</v>
      </c>
      <c r="Q744" s="53">
        <v>42440</v>
      </c>
      <c r="R744" s="23">
        <v>9</v>
      </c>
      <c r="S744" s="24">
        <v>471.67809550000004</v>
      </c>
      <c r="T744" s="24">
        <v>467.16711618773218</v>
      </c>
      <c r="U744" s="1">
        <v>0.4765939536348629</v>
      </c>
      <c r="V744" s="2">
        <v>-4.5833652707172323</v>
      </c>
      <c r="W744" s="2">
        <v>-6.4897410852566839</v>
      </c>
      <c r="X744" s="22">
        <v>42440</v>
      </c>
      <c r="Y744" s="23">
        <v>9</v>
      </c>
      <c r="Z744" s="24">
        <v>466.785573</v>
      </c>
      <c r="AA744" s="24">
        <v>462.24023058178813</v>
      </c>
      <c r="AB744" s="1">
        <v>0.47588014134736234</v>
      </c>
      <c r="AC744" s="2">
        <v>-4.5641579096364904</v>
      </c>
      <c r="AD744" s="2">
        <v>-6.4676784750259397</v>
      </c>
      <c r="AE744" s="22" t="s">
        <v>17</v>
      </c>
      <c r="AF744" s="23"/>
      <c r="AG744" s="24" t="s">
        <v>17</v>
      </c>
      <c r="AH744" s="24" t="s">
        <v>17</v>
      </c>
      <c r="AI744" s="1" t="s">
        <v>17</v>
      </c>
      <c r="AJ744" s="2" t="s">
        <v>17</v>
      </c>
      <c r="AK744" s="2" t="s">
        <v>17</v>
      </c>
      <c r="AL744" s="22" t="s">
        <v>17</v>
      </c>
      <c r="AM744" s="4" t="s">
        <v>17</v>
      </c>
      <c r="AN744" s="24" t="s">
        <v>17</v>
      </c>
      <c r="AO744" s="24" t="s">
        <v>17</v>
      </c>
      <c r="AP744" s="1" t="s">
        <v>17</v>
      </c>
      <c r="AQ744" s="2" t="s">
        <v>17</v>
      </c>
      <c r="AR744" s="2" t="s">
        <v>17</v>
      </c>
      <c r="AS744" s="3"/>
      <c r="AT744" s="2"/>
      <c r="AU744" s="4"/>
      <c r="AV744" s="2"/>
      <c r="AW744" s="20" t="s">
        <v>17</v>
      </c>
      <c r="AX744" s="20" t="s">
        <v>17</v>
      </c>
      <c r="AY744" s="20" t="s">
        <v>17</v>
      </c>
      <c r="AZ744" s="5"/>
      <c r="BA744" s="6"/>
      <c r="BB744" s="4"/>
      <c r="BC744" s="6"/>
      <c r="BD744" s="6"/>
      <c r="BE744" s="6"/>
      <c r="BF744" s="7"/>
    </row>
    <row r="745" spans="1:58" ht="18" customHeight="1">
      <c r="A745" s="107" t="s">
        <v>15</v>
      </c>
      <c r="B745" s="93" t="s">
        <v>718</v>
      </c>
      <c r="C745" s="42">
        <v>1903.5</v>
      </c>
      <c r="D745" s="42">
        <v>1903.62</v>
      </c>
      <c r="E745" s="42">
        <v>1903.56</v>
      </c>
      <c r="F745" s="42">
        <v>1903.56</v>
      </c>
      <c r="G745" s="43">
        <v>152346.166413156</v>
      </c>
      <c r="H745" s="43">
        <v>148599.65136828599</v>
      </c>
      <c r="I745" s="27">
        <f t="shared" si="33"/>
        <v>1</v>
      </c>
      <c r="J745" s="27">
        <f t="shared" si="35"/>
        <v>1</v>
      </c>
      <c r="K745" s="27">
        <f t="shared" si="34"/>
        <v>1</v>
      </c>
      <c r="L745" s="25">
        <v>424.8181275</v>
      </c>
      <c r="M745" s="25">
        <v>427.37717794770668</v>
      </c>
      <c r="N745" s="38">
        <v>0.4662440401654866</v>
      </c>
      <c r="O745" s="38">
        <v>-4.8608664180657124</v>
      </c>
      <c r="P745" s="71">
        <v>-6.7258425787276588</v>
      </c>
      <c r="Q745" s="53">
        <v>42560</v>
      </c>
      <c r="R745" s="23">
        <v>9</v>
      </c>
      <c r="S745" s="24">
        <v>424.8181275</v>
      </c>
      <c r="T745" s="24">
        <v>427.37717794770668</v>
      </c>
      <c r="U745" s="1">
        <v>0.4662440401654866</v>
      </c>
      <c r="V745" s="2">
        <v>-4.8608664180657124</v>
      </c>
      <c r="W745" s="2">
        <v>-6.7258425787276588</v>
      </c>
      <c r="X745" s="22" t="s">
        <v>17</v>
      </c>
      <c r="Y745" s="23"/>
      <c r="Z745" s="24" t="s">
        <v>17</v>
      </c>
      <c r="AA745" s="24" t="s">
        <v>17</v>
      </c>
      <c r="AB745" s="1" t="s">
        <v>17</v>
      </c>
      <c r="AC745" s="2" t="s">
        <v>17</v>
      </c>
      <c r="AD745" s="2" t="s">
        <v>17</v>
      </c>
      <c r="AE745" s="22" t="s">
        <v>17</v>
      </c>
      <c r="AF745" s="23"/>
      <c r="AG745" s="24" t="s">
        <v>17</v>
      </c>
      <c r="AH745" s="24" t="s">
        <v>17</v>
      </c>
      <c r="AI745" s="1" t="s">
        <v>17</v>
      </c>
      <c r="AJ745" s="2" t="s">
        <v>17</v>
      </c>
      <c r="AK745" s="2" t="s">
        <v>17</v>
      </c>
      <c r="AL745" s="22" t="s">
        <v>17</v>
      </c>
      <c r="AM745" s="4" t="s">
        <v>17</v>
      </c>
      <c r="AN745" s="24" t="s">
        <v>17</v>
      </c>
      <c r="AO745" s="24" t="s">
        <v>17</v>
      </c>
      <c r="AP745" s="1" t="s">
        <v>17</v>
      </c>
      <c r="AQ745" s="2" t="s">
        <v>17</v>
      </c>
      <c r="AR745" s="2" t="s">
        <v>17</v>
      </c>
      <c r="AS745" s="3"/>
      <c r="AT745" s="2"/>
      <c r="AU745" s="4"/>
      <c r="AV745" s="2"/>
      <c r="AW745" s="20" t="s">
        <v>17</v>
      </c>
      <c r="AX745" s="20" t="s">
        <v>17</v>
      </c>
      <c r="AY745" s="20" t="s">
        <v>17</v>
      </c>
      <c r="AZ745" s="5"/>
      <c r="BA745" s="6"/>
      <c r="BB745" s="4"/>
      <c r="BC745" s="6"/>
      <c r="BD745" s="6"/>
      <c r="BE745" s="6"/>
      <c r="BF745" s="7"/>
    </row>
    <row r="746" spans="1:58" ht="18" customHeight="1">
      <c r="A746" s="107" t="s">
        <v>15</v>
      </c>
      <c r="B746" s="93" t="s">
        <v>719</v>
      </c>
      <c r="C746" s="42">
        <v>1906</v>
      </c>
      <c r="D746" s="42">
        <v>1906.11</v>
      </c>
      <c r="E746" s="42">
        <v>1906.0549999999998</v>
      </c>
      <c r="F746" s="42">
        <v>1906.0549999999998</v>
      </c>
      <c r="G746" s="43">
        <v>152852.01942701501</v>
      </c>
      <c r="H746" s="43">
        <v>149081.31497990599</v>
      </c>
      <c r="I746" s="27">
        <f t="shared" si="33"/>
        <v>1</v>
      </c>
      <c r="J746" s="27">
        <f t="shared" si="35"/>
        <v>1</v>
      </c>
      <c r="K746" s="27">
        <f t="shared" si="34"/>
        <v>1</v>
      </c>
      <c r="L746" s="25">
        <v>430.65218700000003</v>
      </c>
      <c r="M746" s="25">
        <v>425.85139131465763</v>
      </c>
      <c r="N746" s="38">
        <v>0.46979256208556919</v>
      </c>
      <c r="O746" s="38">
        <v>-5.1579921919938654</v>
      </c>
      <c r="P746" s="71">
        <v>-7.0371624403361421</v>
      </c>
      <c r="Q746" s="53">
        <v>42458</v>
      </c>
      <c r="R746" s="23">
        <v>9</v>
      </c>
      <c r="S746" s="24">
        <v>430.65218700000003</v>
      </c>
      <c r="T746" s="24">
        <v>425.85139131465763</v>
      </c>
      <c r="U746" s="1">
        <v>0.46979256208556919</v>
      </c>
      <c r="V746" s="2">
        <v>-5.1579921919938654</v>
      </c>
      <c r="W746" s="2">
        <v>-7.0371624403361421</v>
      </c>
      <c r="X746" s="22" t="s">
        <v>17</v>
      </c>
      <c r="Y746" s="23"/>
      <c r="Z746" s="24" t="s">
        <v>17</v>
      </c>
      <c r="AA746" s="24" t="s">
        <v>17</v>
      </c>
      <c r="AB746" s="1" t="s">
        <v>17</v>
      </c>
      <c r="AC746" s="2" t="s">
        <v>17</v>
      </c>
      <c r="AD746" s="2" t="s">
        <v>17</v>
      </c>
      <c r="AE746" s="22" t="s">
        <v>17</v>
      </c>
      <c r="AF746" s="23"/>
      <c r="AG746" s="24" t="s">
        <v>17</v>
      </c>
      <c r="AH746" s="24" t="s">
        <v>17</v>
      </c>
      <c r="AI746" s="1" t="s">
        <v>17</v>
      </c>
      <c r="AJ746" s="2" t="s">
        <v>17</v>
      </c>
      <c r="AK746" s="2" t="s">
        <v>17</v>
      </c>
      <c r="AL746" s="22" t="s">
        <v>17</v>
      </c>
      <c r="AM746" s="4" t="s">
        <v>17</v>
      </c>
      <c r="AN746" s="24" t="s">
        <v>17</v>
      </c>
      <c r="AO746" s="24" t="s">
        <v>17</v>
      </c>
      <c r="AP746" s="1" t="s">
        <v>17</v>
      </c>
      <c r="AQ746" s="2" t="s">
        <v>17</v>
      </c>
      <c r="AR746" s="2" t="s">
        <v>17</v>
      </c>
      <c r="AS746" s="3"/>
      <c r="AT746" s="2"/>
      <c r="AU746" s="4"/>
      <c r="AV746" s="2"/>
      <c r="AW746" s="20" t="s">
        <v>17</v>
      </c>
      <c r="AX746" s="20" t="s">
        <v>17</v>
      </c>
      <c r="AY746" s="20" t="s">
        <v>17</v>
      </c>
      <c r="AZ746" s="5"/>
      <c r="BA746" s="6"/>
      <c r="BB746" s="4"/>
      <c r="BC746" s="6"/>
      <c r="BD746" s="6"/>
      <c r="BE746" s="6"/>
      <c r="BF746" s="7"/>
    </row>
    <row r="747" spans="1:58" ht="18" customHeight="1">
      <c r="A747" s="107" t="s">
        <v>15</v>
      </c>
      <c r="B747" s="93" t="s">
        <v>720</v>
      </c>
      <c r="C747" s="42">
        <v>1908.5</v>
      </c>
      <c r="D747" s="42">
        <v>1908.62</v>
      </c>
      <c r="E747" s="42">
        <v>1908.56</v>
      </c>
      <c r="F747" s="42">
        <v>1908.56</v>
      </c>
      <c r="G747" s="43">
        <v>153377.77783904999</v>
      </c>
      <c r="H747" s="43">
        <v>149570.44756551701</v>
      </c>
      <c r="I747" s="27">
        <f t="shared" si="33"/>
        <v>1</v>
      </c>
      <c r="J747" s="27">
        <f t="shared" si="35"/>
        <v>1</v>
      </c>
      <c r="K747" s="27">
        <f t="shared" si="34"/>
        <v>1</v>
      </c>
      <c r="L747" s="25">
        <v>433.26608850000002</v>
      </c>
      <c r="M747" s="25">
        <v>435.87419872869049</v>
      </c>
      <c r="N747" s="38">
        <v>0.46591718606592281</v>
      </c>
      <c r="O747" s="38">
        <v>-5.1015607664295359</v>
      </c>
      <c r="P747" s="71">
        <v>-6.9652295106932272</v>
      </c>
      <c r="Q747" s="53">
        <v>42577</v>
      </c>
      <c r="R747" s="23">
        <v>9</v>
      </c>
      <c r="S747" s="24">
        <v>433.26608850000002</v>
      </c>
      <c r="T747" s="24">
        <v>435.87419872869049</v>
      </c>
      <c r="U747" s="1">
        <v>0.46591718606592281</v>
      </c>
      <c r="V747" s="2">
        <v>-5.1015607664295359</v>
      </c>
      <c r="W747" s="2">
        <v>-6.9652295106932272</v>
      </c>
      <c r="X747" s="22"/>
      <c r="Y747" s="23"/>
      <c r="Z747" s="24"/>
      <c r="AA747" s="24"/>
      <c r="AB747" s="1"/>
      <c r="AC747" s="2"/>
      <c r="AD747" s="2"/>
      <c r="AE747" s="22" t="s">
        <v>17</v>
      </c>
      <c r="AF747" s="23"/>
      <c r="AG747" s="24" t="s">
        <v>17</v>
      </c>
      <c r="AH747" s="24" t="s">
        <v>17</v>
      </c>
      <c r="AI747" s="1" t="s">
        <v>17</v>
      </c>
      <c r="AJ747" s="2" t="s">
        <v>17</v>
      </c>
      <c r="AK747" s="2" t="s">
        <v>17</v>
      </c>
      <c r="AL747" s="22" t="s">
        <v>17</v>
      </c>
      <c r="AM747" s="4" t="s">
        <v>17</v>
      </c>
      <c r="AN747" s="24" t="s">
        <v>17</v>
      </c>
      <c r="AO747" s="24" t="s">
        <v>17</v>
      </c>
      <c r="AP747" s="1" t="s">
        <v>17</v>
      </c>
      <c r="AQ747" s="2" t="s">
        <v>17</v>
      </c>
      <c r="AR747" s="2" t="s">
        <v>17</v>
      </c>
      <c r="AS747" s="3"/>
      <c r="AT747" s="2"/>
      <c r="AU747" s="4"/>
      <c r="AV747" s="2"/>
      <c r="AW747" s="20" t="s">
        <v>17</v>
      </c>
      <c r="AX747" s="20" t="s">
        <v>17</v>
      </c>
      <c r="AY747" s="20" t="s">
        <v>17</v>
      </c>
      <c r="AZ747" s="5"/>
      <c r="BA747" s="6"/>
      <c r="BB747" s="4"/>
      <c r="BC747" s="6"/>
      <c r="BD747" s="6"/>
      <c r="BE747" s="6"/>
      <c r="BF747" s="7"/>
    </row>
    <row r="748" spans="1:58" ht="18" customHeight="1">
      <c r="A748" s="107" t="s">
        <v>15</v>
      </c>
      <c r="B748" s="93" t="s">
        <v>721</v>
      </c>
      <c r="C748" s="42">
        <v>1911</v>
      </c>
      <c r="D748" s="42">
        <v>1911.12</v>
      </c>
      <c r="E748" s="42">
        <v>1911.06</v>
      </c>
      <c r="F748" s="42">
        <v>1911.06</v>
      </c>
      <c r="G748" s="43">
        <v>153969.19962675899</v>
      </c>
      <c r="H748" s="43">
        <v>150058.206586755</v>
      </c>
      <c r="I748" s="27">
        <f t="shared" si="33"/>
        <v>1</v>
      </c>
      <c r="J748" s="27">
        <f t="shared" si="35"/>
        <v>1</v>
      </c>
      <c r="K748" s="27">
        <f t="shared" si="34"/>
        <v>1</v>
      </c>
      <c r="L748" s="25">
        <v>452.12401399999999</v>
      </c>
      <c r="M748" s="25">
        <v>454.93035960059365</v>
      </c>
      <c r="N748" s="38">
        <v>0.48041998452807988</v>
      </c>
      <c r="O748" s="38">
        <v>-5.3241714764341586</v>
      </c>
      <c r="P748" s="71">
        <v>-7.2458514145464781</v>
      </c>
      <c r="Q748" s="53">
        <v>42528</v>
      </c>
      <c r="R748" s="23">
        <v>9</v>
      </c>
      <c r="S748" s="24">
        <v>452.12401399999999</v>
      </c>
      <c r="T748" s="24">
        <v>454.93035960059365</v>
      </c>
      <c r="U748" s="1">
        <v>0.48041998452807988</v>
      </c>
      <c r="V748" s="2">
        <v>-5.3241714764341586</v>
      </c>
      <c r="W748" s="2">
        <v>-7.2458514145464781</v>
      </c>
      <c r="X748" s="22" t="s">
        <v>17</v>
      </c>
      <c r="Y748" s="23"/>
      <c r="Z748" s="24" t="s">
        <v>17</v>
      </c>
      <c r="AA748" s="24" t="s">
        <v>17</v>
      </c>
      <c r="AB748" s="1" t="s">
        <v>17</v>
      </c>
      <c r="AC748" s="2" t="s">
        <v>17</v>
      </c>
      <c r="AD748" s="2" t="s">
        <v>17</v>
      </c>
      <c r="AE748" s="22" t="s">
        <v>17</v>
      </c>
      <c r="AF748" s="23"/>
      <c r="AG748" s="24" t="s">
        <v>17</v>
      </c>
      <c r="AH748" s="24" t="s">
        <v>17</v>
      </c>
      <c r="AI748" s="1" t="s">
        <v>17</v>
      </c>
      <c r="AJ748" s="2" t="s">
        <v>17</v>
      </c>
      <c r="AK748" s="2" t="s">
        <v>17</v>
      </c>
      <c r="AL748" s="22" t="s">
        <v>17</v>
      </c>
      <c r="AM748" s="4" t="s">
        <v>17</v>
      </c>
      <c r="AN748" s="24" t="s">
        <v>17</v>
      </c>
      <c r="AO748" s="24" t="s">
        <v>17</v>
      </c>
      <c r="AP748" s="1" t="s">
        <v>17</v>
      </c>
      <c r="AQ748" s="2" t="s">
        <v>17</v>
      </c>
      <c r="AR748" s="2" t="s">
        <v>17</v>
      </c>
      <c r="AS748" s="3"/>
      <c r="AT748" s="2"/>
      <c r="AU748" s="4"/>
      <c r="AV748" s="2"/>
      <c r="AW748" s="20" t="s">
        <v>17</v>
      </c>
      <c r="AX748" s="20" t="s">
        <v>17</v>
      </c>
      <c r="AY748" s="20" t="s">
        <v>17</v>
      </c>
      <c r="AZ748" s="5"/>
      <c r="BA748" s="6"/>
      <c r="BB748" s="4"/>
      <c r="BC748" s="6"/>
      <c r="BD748" s="6"/>
      <c r="BE748" s="6"/>
      <c r="BF748" s="7"/>
    </row>
    <row r="749" spans="1:58" ht="18" customHeight="1">
      <c r="A749" s="107" t="s">
        <v>15</v>
      </c>
      <c r="B749" s="93" t="s">
        <v>722</v>
      </c>
      <c r="C749" s="42">
        <v>1914</v>
      </c>
      <c r="D749" s="42">
        <v>1914.12</v>
      </c>
      <c r="E749" s="42">
        <v>1914.06</v>
      </c>
      <c r="F749" s="42">
        <v>1914.06</v>
      </c>
      <c r="G749" s="43">
        <v>154621.23609966901</v>
      </c>
      <c r="H749" s="43">
        <v>150635.93652327501</v>
      </c>
      <c r="I749" s="27">
        <f t="shared" si="33"/>
        <v>1</v>
      </c>
      <c r="J749" s="27">
        <f t="shared" si="35"/>
        <v>1</v>
      </c>
      <c r="K749" s="27">
        <f t="shared" si="34"/>
        <v>1</v>
      </c>
      <c r="L749" s="25">
        <v>404.30623549999996</v>
      </c>
      <c r="M749" s="25">
        <v>406.76976418601674</v>
      </c>
      <c r="N749" s="38">
        <v>0.47161180845289863</v>
      </c>
      <c r="O749" s="38">
        <v>-5.5380311536088467</v>
      </c>
      <c r="P749" s="71">
        <v>-7.4244783874204412</v>
      </c>
      <c r="Q749" s="53">
        <v>42578</v>
      </c>
      <c r="R749" s="23">
        <v>9</v>
      </c>
      <c r="S749" s="24">
        <v>404.30623549999996</v>
      </c>
      <c r="T749" s="24">
        <v>406.76976418601674</v>
      </c>
      <c r="U749" s="1">
        <v>0.47161180845289863</v>
      </c>
      <c r="V749" s="2">
        <v>-5.5380311536088467</v>
      </c>
      <c r="W749" s="2">
        <v>-7.4244783874204412</v>
      </c>
      <c r="X749" s="22" t="s">
        <v>17</v>
      </c>
      <c r="Y749" s="23"/>
      <c r="Z749" s="24" t="s">
        <v>17</v>
      </c>
      <c r="AA749" s="24" t="s">
        <v>17</v>
      </c>
      <c r="AB749" s="1" t="s">
        <v>17</v>
      </c>
      <c r="AC749" s="2" t="s">
        <v>17</v>
      </c>
      <c r="AD749" s="2" t="s">
        <v>17</v>
      </c>
      <c r="AE749" s="22" t="s">
        <v>17</v>
      </c>
      <c r="AF749" s="23"/>
      <c r="AG749" s="24" t="s">
        <v>17</v>
      </c>
      <c r="AH749" s="24" t="s">
        <v>17</v>
      </c>
      <c r="AI749" s="1" t="s">
        <v>17</v>
      </c>
      <c r="AJ749" s="2" t="s">
        <v>17</v>
      </c>
      <c r="AK749" s="2" t="s">
        <v>17</v>
      </c>
      <c r="AL749" s="22" t="s">
        <v>17</v>
      </c>
      <c r="AM749" s="4" t="s">
        <v>17</v>
      </c>
      <c r="AN749" s="24" t="s">
        <v>17</v>
      </c>
      <c r="AO749" s="24" t="s">
        <v>17</v>
      </c>
      <c r="AP749" s="1" t="s">
        <v>17</v>
      </c>
      <c r="AQ749" s="2" t="s">
        <v>17</v>
      </c>
      <c r="AR749" s="2" t="s">
        <v>17</v>
      </c>
      <c r="AS749" s="3"/>
      <c r="AT749" s="2"/>
      <c r="AU749" s="4"/>
      <c r="AV749" s="2"/>
      <c r="AW749" s="20" t="s">
        <v>17</v>
      </c>
      <c r="AX749" s="20" t="s">
        <v>17</v>
      </c>
      <c r="AY749" s="20" t="s">
        <v>17</v>
      </c>
      <c r="AZ749" s="5"/>
      <c r="BA749" s="6"/>
      <c r="BB749" s="4"/>
      <c r="BC749" s="6"/>
      <c r="BD749" s="6"/>
      <c r="BE749" s="6"/>
      <c r="BF749" s="7"/>
    </row>
    <row r="750" spans="1:58" ht="18" customHeight="1">
      <c r="A750" s="107" t="s">
        <v>15</v>
      </c>
      <c r="B750" s="93" t="s">
        <v>723</v>
      </c>
      <c r="C750" s="42">
        <v>1916</v>
      </c>
      <c r="D750" s="42">
        <v>1916.12</v>
      </c>
      <c r="E750" s="42">
        <v>1916.06</v>
      </c>
      <c r="F750" s="42">
        <v>1916.06</v>
      </c>
      <c r="G750" s="43">
        <v>155127.77931254701</v>
      </c>
      <c r="H750" s="43">
        <v>151022.03265070901</v>
      </c>
      <c r="I750" s="27">
        <f t="shared" si="33"/>
        <v>1</v>
      </c>
      <c r="J750" s="27">
        <f t="shared" si="35"/>
        <v>1</v>
      </c>
      <c r="K750" s="27">
        <f t="shared" si="34"/>
        <v>1</v>
      </c>
      <c r="L750" s="25">
        <v>418.80052849999998</v>
      </c>
      <c r="M750" s="25">
        <v>421.34137648574244</v>
      </c>
      <c r="N750" s="38">
        <v>0.46957930430591155</v>
      </c>
      <c r="O750" s="38">
        <v>-5.6058722699974251</v>
      </c>
      <c r="P750" s="71">
        <v>-7.4841894872210712</v>
      </c>
      <c r="Q750" s="53">
        <v>42577</v>
      </c>
      <c r="R750" s="23">
        <v>9</v>
      </c>
      <c r="S750" s="24">
        <v>418.80052849999998</v>
      </c>
      <c r="T750" s="24">
        <v>421.34137648574244</v>
      </c>
      <c r="U750" s="1">
        <v>0.46957930430591155</v>
      </c>
      <c r="V750" s="2">
        <v>-5.6058722699974251</v>
      </c>
      <c r="W750" s="2">
        <v>-7.4841894872210712</v>
      </c>
      <c r="X750" s="22"/>
      <c r="Y750" s="23"/>
      <c r="Z750" s="24"/>
      <c r="AA750" s="24"/>
      <c r="AB750" s="1"/>
      <c r="AC750" s="2"/>
      <c r="AD750" s="2"/>
      <c r="AE750" s="22"/>
      <c r="AF750" s="23"/>
      <c r="AG750" s="24"/>
      <c r="AH750" s="24"/>
      <c r="AI750" s="1"/>
      <c r="AJ750" s="2"/>
      <c r="AK750" s="2"/>
      <c r="AL750" s="22" t="s">
        <v>17</v>
      </c>
      <c r="AM750" s="4" t="s">
        <v>17</v>
      </c>
      <c r="AN750" s="24" t="s">
        <v>17</v>
      </c>
      <c r="AO750" s="24" t="s">
        <v>17</v>
      </c>
      <c r="AP750" s="1" t="s">
        <v>17</v>
      </c>
      <c r="AQ750" s="2" t="s">
        <v>17</v>
      </c>
      <c r="AR750" s="2" t="s">
        <v>17</v>
      </c>
      <c r="AS750" s="3"/>
      <c r="AT750" s="2"/>
      <c r="AU750" s="4"/>
      <c r="AV750" s="2"/>
      <c r="AW750" s="20" t="s">
        <v>17</v>
      </c>
      <c r="AX750" s="20" t="s">
        <v>17</v>
      </c>
      <c r="AY750" s="20" t="s">
        <v>17</v>
      </c>
      <c r="AZ750" s="5"/>
      <c r="BA750" s="6"/>
      <c r="BB750" s="4"/>
      <c r="BC750" s="6"/>
      <c r="BD750" s="6"/>
      <c r="BE750" s="6"/>
      <c r="BF750" s="7"/>
    </row>
    <row r="751" spans="1:58" ht="18" customHeight="1">
      <c r="A751" s="107" t="s">
        <v>15</v>
      </c>
      <c r="B751" s="93" t="s">
        <v>724</v>
      </c>
      <c r="C751" s="42">
        <v>1918.5</v>
      </c>
      <c r="D751" s="42">
        <v>1918.59</v>
      </c>
      <c r="E751" s="42">
        <v>1918.5450000000001</v>
      </c>
      <c r="F751" s="42">
        <v>1918.5450000000001</v>
      </c>
      <c r="G751" s="43">
        <v>155739.37437658801</v>
      </c>
      <c r="H751" s="43">
        <v>151554.52146210201</v>
      </c>
      <c r="I751" s="27">
        <f t="shared" si="33"/>
        <v>1</v>
      </c>
      <c r="J751" s="27">
        <f t="shared" si="35"/>
        <v>2</v>
      </c>
      <c r="K751" s="27">
        <f t="shared" si="34"/>
        <v>1</v>
      </c>
      <c r="L751" s="25">
        <v>420.24996250000004</v>
      </c>
      <c r="M751" s="25">
        <v>422.8806932151565</v>
      </c>
      <c r="N751" s="38">
        <v>0.48344373072395364</v>
      </c>
      <c r="O751" s="38">
        <v>-6.1638924373179638</v>
      </c>
      <c r="P751" s="71">
        <v>-8.1019478480206519</v>
      </c>
      <c r="Q751" s="53">
        <v>42531</v>
      </c>
      <c r="R751" s="23">
        <v>9</v>
      </c>
      <c r="S751" s="24">
        <v>420.24996250000004</v>
      </c>
      <c r="T751" s="24">
        <v>422.8806932151565</v>
      </c>
      <c r="U751" s="1">
        <v>0.48451385267567204</v>
      </c>
      <c r="V751" s="2">
        <v>-6.1638924373179638</v>
      </c>
      <c r="W751" s="2">
        <v>-8.1019478480206519</v>
      </c>
      <c r="X751" s="22">
        <v>42585</v>
      </c>
      <c r="Y751" s="23" t="s">
        <v>88</v>
      </c>
      <c r="Z751" s="24" t="s">
        <v>17</v>
      </c>
      <c r="AA751" s="24" t="s">
        <v>17</v>
      </c>
      <c r="AB751" s="1">
        <v>0.48237360877223523</v>
      </c>
      <c r="AC751" s="2"/>
      <c r="AD751" s="2"/>
      <c r="AE751" s="22" t="s">
        <v>17</v>
      </c>
      <c r="AF751" s="23"/>
      <c r="AG751" s="24" t="s">
        <v>17</v>
      </c>
      <c r="AH751" s="24" t="s">
        <v>17</v>
      </c>
      <c r="AI751" s="1" t="s">
        <v>17</v>
      </c>
      <c r="AJ751" s="2" t="s">
        <v>17</v>
      </c>
      <c r="AK751" s="2" t="s">
        <v>17</v>
      </c>
      <c r="AL751" s="22" t="s">
        <v>17</v>
      </c>
      <c r="AM751" s="4" t="s">
        <v>17</v>
      </c>
      <c r="AN751" s="24" t="s">
        <v>17</v>
      </c>
      <c r="AO751" s="24" t="s">
        <v>17</v>
      </c>
      <c r="AP751" s="1" t="s">
        <v>17</v>
      </c>
      <c r="AQ751" s="2" t="s">
        <v>17</v>
      </c>
      <c r="AR751" s="2" t="s">
        <v>17</v>
      </c>
      <c r="AS751" s="3"/>
      <c r="AT751" s="2"/>
      <c r="AU751" s="4"/>
      <c r="AV751" s="2"/>
      <c r="AW751" s="20" t="s">
        <v>17</v>
      </c>
      <c r="AX751" s="20" t="s">
        <v>17</v>
      </c>
      <c r="AY751" s="20" t="s">
        <v>17</v>
      </c>
      <c r="AZ751" s="5"/>
      <c r="BA751" s="6"/>
      <c r="BB751" s="4"/>
      <c r="BC751" s="6"/>
      <c r="BD751" s="6"/>
      <c r="BE751" s="6"/>
      <c r="BF751" s="7"/>
    </row>
    <row r="752" spans="1:58" ht="18" customHeight="1">
      <c r="A752" s="107" t="s">
        <v>15</v>
      </c>
      <c r="B752" s="93" t="s">
        <v>725</v>
      </c>
      <c r="C752" s="42">
        <v>1920</v>
      </c>
      <c r="D752" s="42">
        <v>1920.12</v>
      </c>
      <c r="E752" s="42">
        <v>1920.06</v>
      </c>
      <c r="F752" s="42">
        <v>1920.06</v>
      </c>
      <c r="G752" s="43">
        <v>156129.97337922</v>
      </c>
      <c r="H752" s="43">
        <v>151870.08594098201</v>
      </c>
      <c r="I752" s="27">
        <f t="shared" si="33"/>
        <v>1</v>
      </c>
      <c r="J752" s="27">
        <f t="shared" si="35"/>
        <v>1</v>
      </c>
      <c r="K752" s="27">
        <f t="shared" si="34"/>
        <v>1</v>
      </c>
      <c r="L752" s="25">
        <v>426.89439049999999</v>
      </c>
      <c r="M752" s="25">
        <v>429.38601431336542</v>
      </c>
      <c r="N752" s="38">
        <v>0.45175140419972948</v>
      </c>
      <c r="O752" s="38">
        <v>-6.2566392928598002</v>
      </c>
      <c r="P752" s="71">
        <v>-8.0636449096587182</v>
      </c>
      <c r="Q752" s="53">
        <v>42579</v>
      </c>
      <c r="R752" s="23">
        <v>9</v>
      </c>
      <c r="S752" s="24">
        <v>426.89439049999999</v>
      </c>
      <c r="T752" s="24">
        <v>429.38601431336542</v>
      </c>
      <c r="U752" s="1">
        <v>0.45175140419972948</v>
      </c>
      <c r="V752" s="2">
        <v>-6.2566392928598002</v>
      </c>
      <c r="W752" s="2">
        <v>-8.0636449096587182</v>
      </c>
      <c r="X752" s="22" t="s">
        <v>17</v>
      </c>
      <c r="Y752" s="23"/>
      <c r="Z752" s="24" t="s">
        <v>17</v>
      </c>
      <c r="AA752" s="24" t="s">
        <v>17</v>
      </c>
      <c r="AB752" s="1" t="s">
        <v>17</v>
      </c>
      <c r="AC752" s="2" t="s">
        <v>17</v>
      </c>
      <c r="AD752" s="2" t="s">
        <v>17</v>
      </c>
      <c r="AE752" s="22" t="s">
        <v>17</v>
      </c>
      <c r="AF752" s="23"/>
      <c r="AG752" s="24" t="s">
        <v>17</v>
      </c>
      <c r="AH752" s="24" t="s">
        <v>17</v>
      </c>
      <c r="AI752" s="1" t="s">
        <v>17</v>
      </c>
      <c r="AJ752" s="2" t="s">
        <v>17</v>
      </c>
      <c r="AK752" s="2" t="s">
        <v>17</v>
      </c>
      <c r="AL752" s="22" t="s">
        <v>17</v>
      </c>
      <c r="AM752" s="4" t="s">
        <v>17</v>
      </c>
      <c r="AN752" s="24" t="s">
        <v>17</v>
      </c>
      <c r="AO752" s="24" t="s">
        <v>17</v>
      </c>
      <c r="AP752" s="1" t="s">
        <v>17</v>
      </c>
      <c r="AQ752" s="2" t="s">
        <v>17</v>
      </c>
      <c r="AR752" s="2" t="s">
        <v>17</v>
      </c>
      <c r="AS752" s="3"/>
      <c r="AT752" s="2"/>
      <c r="AU752" s="4"/>
      <c r="AV752" s="2"/>
      <c r="AW752" s="20" t="s">
        <v>17</v>
      </c>
      <c r="AX752" s="20" t="s">
        <v>17</v>
      </c>
      <c r="AY752" s="20" t="s">
        <v>17</v>
      </c>
      <c r="AZ752" s="5"/>
      <c r="BA752" s="6"/>
      <c r="BB752" s="4"/>
      <c r="BC752" s="6"/>
      <c r="BD752" s="6"/>
      <c r="BE752" s="6"/>
      <c r="BF752" s="7"/>
    </row>
    <row r="753" spans="1:58" ht="18" customHeight="1">
      <c r="A753" s="107" t="s">
        <v>15</v>
      </c>
      <c r="B753" s="93" t="s">
        <v>726</v>
      </c>
      <c r="C753" s="42">
        <v>1921.5</v>
      </c>
      <c r="D753" s="42">
        <v>1921.62</v>
      </c>
      <c r="E753" s="42">
        <v>1921.56</v>
      </c>
      <c r="F753" s="42">
        <v>1921.56</v>
      </c>
      <c r="G753" s="43">
        <v>156517.360379872</v>
      </c>
      <c r="H753" s="43">
        <v>152171.504820184</v>
      </c>
      <c r="I753" s="27">
        <f t="shared" si="33"/>
        <v>1</v>
      </c>
      <c r="J753" s="27">
        <f t="shared" si="35"/>
        <v>1</v>
      </c>
      <c r="K753" s="27">
        <f t="shared" si="34"/>
        <v>1</v>
      </c>
      <c r="L753" s="25">
        <v>430.52296000000001</v>
      </c>
      <c r="M753" s="25">
        <v>433.12736688858058</v>
      </c>
      <c r="N753" s="38">
        <v>0.46822004694080377</v>
      </c>
      <c r="O753" s="38">
        <v>-6.6207618634975818</v>
      </c>
      <c r="P753" s="71">
        <v>-8.493642051260796</v>
      </c>
      <c r="Q753" s="53">
        <v>42577</v>
      </c>
      <c r="R753" s="23">
        <v>9</v>
      </c>
      <c r="S753" s="24">
        <v>430.52296000000001</v>
      </c>
      <c r="T753" s="24">
        <v>433.12736688858058</v>
      </c>
      <c r="U753" s="1">
        <v>0.46822004694080377</v>
      </c>
      <c r="V753" s="2">
        <v>-6.6207618634975818</v>
      </c>
      <c r="W753" s="2">
        <v>-8.493642051260796</v>
      </c>
      <c r="X753" s="22" t="s">
        <v>17</v>
      </c>
      <c r="Y753" s="23"/>
      <c r="Z753" s="24" t="s">
        <v>17</v>
      </c>
      <c r="AA753" s="24" t="s">
        <v>17</v>
      </c>
      <c r="AB753" s="1" t="s">
        <v>17</v>
      </c>
      <c r="AC753" s="2" t="s">
        <v>17</v>
      </c>
      <c r="AD753" s="2" t="s">
        <v>17</v>
      </c>
      <c r="AE753" s="22" t="s">
        <v>17</v>
      </c>
      <c r="AF753" s="23"/>
      <c r="AG753" s="24" t="s">
        <v>17</v>
      </c>
      <c r="AH753" s="24" t="s">
        <v>17</v>
      </c>
      <c r="AI753" s="1" t="s">
        <v>17</v>
      </c>
      <c r="AJ753" s="2" t="s">
        <v>17</v>
      </c>
      <c r="AK753" s="2" t="s">
        <v>17</v>
      </c>
      <c r="AL753" s="22" t="s">
        <v>17</v>
      </c>
      <c r="AM753" s="4" t="s">
        <v>17</v>
      </c>
      <c r="AN753" s="24" t="s">
        <v>17</v>
      </c>
      <c r="AO753" s="24" t="s">
        <v>17</v>
      </c>
      <c r="AP753" s="1" t="s">
        <v>17</v>
      </c>
      <c r="AQ753" s="2" t="s">
        <v>17</v>
      </c>
      <c r="AR753" s="2" t="s">
        <v>17</v>
      </c>
      <c r="AS753" s="3"/>
      <c r="AT753" s="2"/>
      <c r="AU753" s="4"/>
      <c r="AV753" s="2"/>
      <c r="AW753" s="20" t="s">
        <v>17</v>
      </c>
      <c r="AX753" s="20" t="s">
        <v>17</v>
      </c>
      <c r="AY753" s="20" t="s">
        <v>17</v>
      </c>
      <c r="AZ753" s="5"/>
      <c r="BA753" s="6"/>
      <c r="BB753" s="4"/>
      <c r="BC753" s="6"/>
      <c r="BD753" s="6"/>
      <c r="BE753" s="6"/>
      <c r="BF753" s="7"/>
    </row>
    <row r="754" spans="1:58" ht="18" customHeight="1">
      <c r="A754" s="107" t="s">
        <v>15</v>
      </c>
      <c r="B754" s="93" t="s">
        <v>727</v>
      </c>
      <c r="C754" s="42">
        <v>1924</v>
      </c>
      <c r="D754" s="42">
        <v>1924.12</v>
      </c>
      <c r="E754" s="42">
        <v>1924.06</v>
      </c>
      <c r="F754" s="42">
        <v>1924.06</v>
      </c>
      <c r="G754" s="43">
        <v>157136.42238414101</v>
      </c>
      <c r="H754" s="43">
        <v>152690.60852938099</v>
      </c>
      <c r="I754" s="27">
        <f t="shared" si="33"/>
        <v>1</v>
      </c>
      <c r="J754" s="27">
        <f t="shared" si="35"/>
        <v>1</v>
      </c>
      <c r="K754" s="27">
        <f t="shared" si="34"/>
        <v>1</v>
      </c>
      <c r="L754" s="25">
        <v>425.15440799999999</v>
      </c>
      <c r="M754" s="25">
        <v>427.58430155073887</v>
      </c>
      <c r="N754" s="38">
        <v>0.44236223995386403</v>
      </c>
      <c r="O754" s="38">
        <v>-6.3157975013348189</v>
      </c>
      <c r="P754" s="71">
        <v>-8.085246461150275</v>
      </c>
      <c r="Q754" s="53">
        <v>42579</v>
      </c>
      <c r="R754" s="23">
        <v>9</v>
      </c>
      <c r="S754" s="24">
        <v>425.15440799999999</v>
      </c>
      <c r="T754" s="24">
        <v>427.58430155073887</v>
      </c>
      <c r="U754" s="1">
        <v>0.44236223995386403</v>
      </c>
      <c r="V754" s="2">
        <v>-6.3157975013348189</v>
      </c>
      <c r="W754" s="2">
        <v>-8.085246461150275</v>
      </c>
      <c r="X754" s="22" t="s">
        <v>17</v>
      </c>
      <c r="Y754" s="23"/>
      <c r="Z754" s="24" t="s">
        <v>17</v>
      </c>
      <c r="AA754" s="24" t="s">
        <v>17</v>
      </c>
      <c r="AB754" s="1" t="s">
        <v>17</v>
      </c>
      <c r="AC754" s="2" t="s">
        <v>17</v>
      </c>
      <c r="AD754" s="2" t="s">
        <v>17</v>
      </c>
      <c r="AE754" s="22" t="s">
        <v>17</v>
      </c>
      <c r="AF754" s="23"/>
      <c r="AG754" s="24" t="s">
        <v>17</v>
      </c>
      <c r="AH754" s="24" t="s">
        <v>17</v>
      </c>
      <c r="AI754" s="1" t="s">
        <v>17</v>
      </c>
      <c r="AJ754" s="2" t="s">
        <v>17</v>
      </c>
      <c r="AK754" s="2" t="s">
        <v>17</v>
      </c>
      <c r="AL754" s="22" t="s">
        <v>17</v>
      </c>
      <c r="AM754" s="4" t="s">
        <v>17</v>
      </c>
      <c r="AN754" s="24" t="s">
        <v>17</v>
      </c>
      <c r="AO754" s="24" t="s">
        <v>17</v>
      </c>
      <c r="AP754" s="1" t="s">
        <v>17</v>
      </c>
      <c r="AQ754" s="2" t="s">
        <v>17</v>
      </c>
      <c r="AR754" s="2" t="s">
        <v>17</v>
      </c>
      <c r="AS754" s="3"/>
      <c r="AT754" s="2"/>
      <c r="AU754" s="4"/>
      <c r="AV754" s="2"/>
      <c r="AW754" s="20" t="s">
        <v>17</v>
      </c>
      <c r="AX754" s="20" t="s">
        <v>17</v>
      </c>
      <c r="AY754" s="20" t="s">
        <v>17</v>
      </c>
      <c r="AZ754" s="5"/>
      <c r="BA754" s="6"/>
      <c r="BB754" s="4"/>
      <c r="BC754" s="6"/>
      <c r="BD754" s="6"/>
      <c r="BE754" s="6"/>
      <c r="BF754" s="7"/>
    </row>
    <row r="755" spans="1:58" ht="18" customHeight="1">
      <c r="A755" s="107" t="s">
        <v>15</v>
      </c>
      <c r="B755" s="93" t="s">
        <v>728</v>
      </c>
      <c r="C755" s="42">
        <v>1925.5</v>
      </c>
      <c r="D755" s="42">
        <v>1925.62</v>
      </c>
      <c r="E755" s="42">
        <v>1925.56</v>
      </c>
      <c r="F755" s="42">
        <v>1925.56</v>
      </c>
      <c r="G755" s="43">
        <v>157536.19455638499</v>
      </c>
      <c r="H755" s="43">
        <v>152984.72121809999</v>
      </c>
      <c r="I755" s="27">
        <f t="shared" si="33"/>
        <v>1</v>
      </c>
      <c r="J755" s="27">
        <f t="shared" si="35"/>
        <v>1</v>
      </c>
      <c r="K755" s="27">
        <f t="shared" si="34"/>
        <v>1</v>
      </c>
      <c r="L755" s="25">
        <v>419.27941299999998</v>
      </c>
      <c r="M755" s="24">
        <v>421.81700510246208</v>
      </c>
      <c r="N755" s="38">
        <v>0.46844193007422597</v>
      </c>
      <c r="O755" s="38">
        <v>-7.0023644284850084</v>
      </c>
      <c r="P755" s="71">
        <v>-8.8761321487819131</v>
      </c>
      <c r="Q755" s="53">
        <v>42578</v>
      </c>
      <c r="R755" s="23">
        <v>9</v>
      </c>
      <c r="S755" s="24">
        <v>419.27941299999998</v>
      </c>
      <c r="T755" s="24">
        <v>421.81700510246208</v>
      </c>
      <c r="U755" s="1">
        <v>0.46844193007422597</v>
      </c>
      <c r="V755" s="2">
        <v>-7.0023644284850084</v>
      </c>
      <c r="W755" s="2">
        <v>-8.8761321487819131</v>
      </c>
      <c r="X755" s="22" t="s">
        <v>17</v>
      </c>
      <c r="Y755" s="23"/>
      <c r="Z755" s="24" t="s">
        <v>17</v>
      </c>
      <c r="AA755" s="24" t="s">
        <v>17</v>
      </c>
      <c r="AB755" s="1" t="s">
        <v>17</v>
      </c>
      <c r="AC755" s="2" t="s">
        <v>17</v>
      </c>
      <c r="AD755" s="2" t="s">
        <v>17</v>
      </c>
      <c r="AE755" s="22" t="s">
        <v>17</v>
      </c>
      <c r="AF755" s="23"/>
      <c r="AG755" s="24" t="s">
        <v>17</v>
      </c>
      <c r="AH755" s="24" t="s">
        <v>17</v>
      </c>
      <c r="AI755" s="1" t="s">
        <v>17</v>
      </c>
      <c r="AJ755" s="2" t="s">
        <v>17</v>
      </c>
      <c r="AK755" s="2" t="s">
        <v>17</v>
      </c>
      <c r="AL755" s="22" t="s">
        <v>17</v>
      </c>
      <c r="AM755" s="4" t="s">
        <v>17</v>
      </c>
      <c r="AN755" s="24" t="s">
        <v>17</v>
      </c>
      <c r="AO755" s="24" t="s">
        <v>17</v>
      </c>
      <c r="AP755" s="1" t="s">
        <v>17</v>
      </c>
      <c r="AQ755" s="2" t="s">
        <v>17</v>
      </c>
      <c r="AR755" s="2" t="s">
        <v>17</v>
      </c>
      <c r="AS755" s="3"/>
      <c r="AT755" s="2"/>
      <c r="AU755" s="4"/>
      <c r="AV755" s="2"/>
      <c r="AW755" s="20" t="s">
        <v>17</v>
      </c>
      <c r="AX755" s="20" t="s">
        <v>17</v>
      </c>
      <c r="AY755" s="20" t="s">
        <v>17</v>
      </c>
      <c r="AZ755" s="5"/>
      <c r="BA755" s="6"/>
      <c r="BB755" s="4"/>
      <c r="BC755" s="6"/>
      <c r="BD755" s="6"/>
      <c r="BE755" s="6"/>
      <c r="BF755" s="7"/>
    </row>
    <row r="756" spans="1:58" ht="18" customHeight="1">
      <c r="A756" s="107" t="s">
        <v>15</v>
      </c>
      <c r="B756" s="93" t="s">
        <v>729</v>
      </c>
      <c r="C756" s="42">
        <v>1927.5</v>
      </c>
      <c r="D756" s="42">
        <v>1927.62</v>
      </c>
      <c r="E756" s="42">
        <v>1927.56</v>
      </c>
      <c r="F756" s="42">
        <v>1927.56</v>
      </c>
      <c r="G756" s="43">
        <v>158062.385024627</v>
      </c>
      <c r="H756" s="43">
        <v>153388.95155532</v>
      </c>
      <c r="I756" s="27">
        <f t="shared" si="33"/>
        <v>1</v>
      </c>
      <c r="J756" s="27">
        <f t="shared" si="35"/>
        <v>1</v>
      </c>
      <c r="K756" s="27">
        <f t="shared" si="34"/>
        <v>1</v>
      </c>
      <c r="L756" s="25">
        <v>416.5690725</v>
      </c>
      <c r="M756" s="25">
        <v>419.12875771451507</v>
      </c>
      <c r="N756" s="38">
        <v>0.47559471823022115</v>
      </c>
      <c r="O756" s="38">
        <v>-6.9925409864950439</v>
      </c>
      <c r="P756" s="71">
        <v>-8.8949198594159284</v>
      </c>
      <c r="Q756" s="53">
        <v>42578</v>
      </c>
      <c r="R756" s="23">
        <v>9</v>
      </c>
      <c r="S756" s="24">
        <v>416.5690725</v>
      </c>
      <c r="T756" s="24">
        <v>419.12875771451507</v>
      </c>
      <c r="U756" s="1">
        <v>0.47559471823022115</v>
      </c>
      <c r="V756" s="2">
        <v>-6.9925409864950439</v>
      </c>
      <c r="W756" s="2">
        <v>-8.8949198594159284</v>
      </c>
      <c r="X756" s="22" t="s">
        <v>17</v>
      </c>
      <c r="Y756" s="23"/>
      <c r="Z756" s="24" t="s">
        <v>17</v>
      </c>
      <c r="AA756" s="24" t="s">
        <v>17</v>
      </c>
      <c r="AB756" s="1" t="s">
        <v>17</v>
      </c>
      <c r="AC756" s="2" t="s">
        <v>17</v>
      </c>
      <c r="AD756" s="2" t="s">
        <v>17</v>
      </c>
      <c r="AE756" s="22" t="s">
        <v>17</v>
      </c>
      <c r="AF756" s="23"/>
      <c r="AG756" s="24" t="s">
        <v>17</v>
      </c>
      <c r="AH756" s="24" t="s">
        <v>17</v>
      </c>
      <c r="AI756" s="1" t="s">
        <v>17</v>
      </c>
      <c r="AJ756" s="2" t="s">
        <v>17</v>
      </c>
      <c r="AK756" s="2" t="s">
        <v>17</v>
      </c>
      <c r="AL756" s="22" t="s">
        <v>17</v>
      </c>
      <c r="AM756" s="4" t="s">
        <v>17</v>
      </c>
      <c r="AN756" s="24" t="s">
        <v>17</v>
      </c>
      <c r="AO756" s="24" t="s">
        <v>17</v>
      </c>
      <c r="AP756" s="1" t="s">
        <v>17</v>
      </c>
      <c r="AQ756" s="2" t="s">
        <v>17</v>
      </c>
      <c r="AR756" s="2" t="s">
        <v>17</v>
      </c>
      <c r="AS756" s="3"/>
      <c r="AT756" s="2"/>
      <c r="AU756" s="4"/>
      <c r="AV756" s="2"/>
      <c r="AW756" s="20" t="s">
        <v>17</v>
      </c>
      <c r="AX756" s="20" t="s">
        <v>17</v>
      </c>
      <c r="AY756" s="20" t="s">
        <v>17</v>
      </c>
      <c r="AZ756" s="5"/>
      <c r="BA756" s="6"/>
      <c r="BB756" s="4"/>
      <c r="BC756" s="6"/>
      <c r="BD756" s="6"/>
      <c r="BE756" s="6"/>
      <c r="BF756" s="7"/>
    </row>
    <row r="757" spans="1:58" ht="18" customHeight="1">
      <c r="A757" s="107" t="s">
        <v>15</v>
      </c>
      <c r="B757" s="93" t="s">
        <v>730</v>
      </c>
      <c r="C757" s="42">
        <v>1929</v>
      </c>
      <c r="D757" s="42">
        <v>1929.12</v>
      </c>
      <c r="E757" s="42">
        <v>1929.06</v>
      </c>
      <c r="F757" s="42">
        <v>1929.06</v>
      </c>
      <c r="G757" s="43">
        <v>158448.074543325</v>
      </c>
      <c r="H757" s="43">
        <v>153729.837844483</v>
      </c>
      <c r="I757" s="27">
        <f t="shared" si="33"/>
        <v>1</v>
      </c>
      <c r="J757" s="27">
        <f t="shared" si="35"/>
        <v>1</v>
      </c>
      <c r="K757" s="27">
        <f t="shared" si="34"/>
        <v>1</v>
      </c>
      <c r="L757" s="25">
        <v>410.80390450000004</v>
      </c>
      <c r="M757" s="25">
        <v>413.33785491108671</v>
      </c>
      <c r="N757" s="38">
        <v>0.47742046913423763</v>
      </c>
      <c r="O757" s="38">
        <v>-7.7294395900066037</v>
      </c>
      <c r="P757" s="71">
        <v>-9.6391214665435534</v>
      </c>
      <c r="Q757" s="53">
        <v>42584</v>
      </c>
      <c r="R757" s="23">
        <v>9</v>
      </c>
      <c r="S757" s="24">
        <v>410.80390450000004</v>
      </c>
      <c r="T757" s="24">
        <v>413.33785491108671</v>
      </c>
      <c r="U757" s="1">
        <v>0.47742046913423763</v>
      </c>
      <c r="V757" s="2">
        <v>-7.7294395900066037</v>
      </c>
      <c r="W757" s="2">
        <v>-9.6391214665435534</v>
      </c>
      <c r="X757" s="22" t="s">
        <v>17</v>
      </c>
      <c r="Y757" s="23"/>
      <c r="Z757" s="24" t="s">
        <v>17</v>
      </c>
      <c r="AA757" s="24" t="s">
        <v>17</v>
      </c>
      <c r="AB757" s="1" t="s">
        <v>17</v>
      </c>
      <c r="AC757" s="2" t="s">
        <v>17</v>
      </c>
      <c r="AD757" s="2" t="s">
        <v>17</v>
      </c>
      <c r="AE757" s="22" t="s">
        <v>17</v>
      </c>
      <c r="AF757" s="23"/>
      <c r="AG757" s="24" t="s">
        <v>17</v>
      </c>
      <c r="AH757" s="24" t="s">
        <v>17</v>
      </c>
      <c r="AI757" s="1" t="s">
        <v>17</v>
      </c>
      <c r="AJ757" s="2" t="s">
        <v>17</v>
      </c>
      <c r="AK757" s="2" t="s">
        <v>17</v>
      </c>
      <c r="AL757" s="22" t="s">
        <v>17</v>
      </c>
      <c r="AM757" s="4" t="s">
        <v>17</v>
      </c>
      <c r="AN757" s="24" t="s">
        <v>17</v>
      </c>
      <c r="AO757" s="24" t="s">
        <v>17</v>
      </c>
      <c r="AP757" s="1" t="s">
        <v>17</v>
      </c>
      <c r="AQ757" s="2" t="s">
        <v>17</v>
      </c>
      <c r="AR757" s="2" t="s">
        <v>17</v>
      </c>
      <c r="AS757" s="3"/>
      <c r="AT757" s="2"/>
      <c r="AU757" s="4"/>
      <c r="AV757" s="2"/>
      <c r="AW757" s="20" t="s">
        <v>17</v>
      </c>
      <c r="AX757" s="20" t="s">
        <v>17</v>
      </c>
      <c r="AY757" s="20" t="s">
        <v>17</v>
      </c>
      <c r="AZ757" s="5"/>
      <c r="BA757" s="6"/>
      <c r="BB757" s="4"/>
      <c r="BC757" s="6"/>
      <c r="BD757" s="6"/>
      <c r="BE757" s="6"/>
      <c r="BF757" s="7"/>
    </row>
    <row r="758" spans="1:58" ht="18" customHeight="1">
      <c r="A758" s="107" t="s">
        <v>15</v>
      </c>
      <c r="B758" s="93" t="s">
        <v>731</v>
      </c>
      <c r="C758" s="42">
        <v>1931.5</v>
      </c>
      <c r="D758" s="42">
        <v>1931.62</v>
      </c>
      <c r="E758" s="42">
        <v>1931.56</v>
      </c>
      <c r="F758" s="42">
        <v>1931.56</v>
      </c>
      <c r="G758" s="43">
        <v>159086.59099816199</v>
      </c>
      <c r="H758" s="43">
        <v>154267.745444003</v>
      </c>
      <c r="I758" s="27">
        <f t="shared" si="33"/>
        <v>1</v>
      </c>
      <c r="J758" s="27">
        <f t="shared" si="35"/>
        <v>1</v>
      </c>
      <c r="K758" s="27">
        <f t="shared" si="34"/>
        <v>1</v>
      </c>
      <c r="L758" s="25">
        <v>411.14415450000001</v>
      </c>
      <c r="M758" s="25">
        <v>413.68538293248002</v>
      </c>
      <c r="N758" s="38">
        <v>0.47839548490502537</v>
      </c>
      <c r="O758" s="38">
        <v>-8.4370097930683841</v>
      </c>
      <c r="P758" s="71">
        <v>-10.350591732688486</v>
      </c>
      <c r="Q758" s="53">
        <v>42580</v>
      </c>
      <c r="R758" s="23">
        <v>9</v>
      </c>
      <c r="S758" s="24">
        <v>411.14415450000001</v>
      </c>
      <c r="T758" s="24">
        <v>413.68538293248002</v>
      </c>
      <c r="U758" s="1">
        <v>0.47839548490502537</v>
      </c>
      <c r="V758" s="2">
        <v>-8.4370097930683841</v>
      </c>
      <c r="W758" s="2">
        <v>-10.350591732688486</v>
      </c>
      <c r="X758" s="22" t="s">
        <v>17</v>
      </c>
      <c r="Y758" s="23"/>
      <c r="Z758" s="24" t="s">
        <v>17</v>
      </c>
      <c r="AA758" s="24" t="s">
        <v>17</v>
      </c>
      <c r="AB758" s="1" t="s">
        <v>17</v>
      </c>
      <c r="AC758" s="2" t="s">
        <v>17</v>
      </c>
      <c r="AD758" s="2" t="s">
        <v>17</v>
      </c>
      <c r="AE758" s="22" t="s">
        <v>17</v>
      </c>
      <c r="AF758" s="23"/>
      <c r="AG758" s="24" t="s">
        <v>17</v>
      </c>
      <c r="AH758" s="24" t="s">
        <v>17</v>
      </c>
      <c r="AI758" s="1" t="s">
        <v>17</v>
      </c>
      <c r="AJ758" s="2" t="s">
        <v>17</v>
      </c>
      <c r="AK758" s="2" t="s">
        <v>17</v>
      </c>
      <c r="AL758" s="22" t="s">
        <v>17</v>
      </c>
      <c r="AM758" s="4" t="s">
        <v>17</v>
      </c>
      <c r="AN758" s="24" t="s">
        <v>17</v>
      </c>
      <c r="AO758" s="24" t="s">
        <v>17</v>
      </c>
      <c r="AP758" s="1" t="s">
        <v>17</v>
      </c>
      <c r="AQ758" s="2" t="s">
        <v>17</v>
      </c>
      <c r="AR758" s="2" t="s">
        <v>17</v>
      </c>
      <c r="AS758" s="3"/>
      <c r="AT758" s="2"/>
      <c r="AU758" s="4"/>
      <c r="AV758" s="2"/>
      <c r="AW758" s="20" t="s">
        <v>17</v>
      </c>
      <c r="AX758" s="20" t="s">
        <v>17</v>
      </c>
      <c r="AY758" s="20" t="s">
        <v>17</v>
      </c>
      <c r="AZ758" s="5"/>
      <c r="BA758" s="6"/>
      <c r="BB758" s="4"/>
      <c r="BC758" s="6"/>
      <c r="BD758" s="6"/>
      <c r="BE758" s="6"/>
      <c r="BF758" s="7"/>
    </row>
    <row r="759" spans="1:58" ht="18" customHeight="1">
      <c r="A759" s="107" t="s">
        <v>15</v>
      </c>
      <c r="B759" s="93" t="s">
        <v>732</v>
      </c>
      <c r="C759" s="42">
        <v>1933.5</v>
      </c>
      <c r="D759" s="42">
        <v>1933.62</v>
      </c>
      <c r="E759" s="42">
        <v>1933.56</v>
      </c>
      <c r="F759" s="42">
        <v>1933.56</v>
      </c>
      <c r="G759" s="43">
        <v>159576.31481380601</v>
      </c>
      <c r="H759" s="43">
        <v>154754.962998306</v>
      </c>
      <c r="I759" s="27">
        <f t="shared" si="33"/>
        <v>1</v>
      </c>
      <c r="J759" s="27">
        <f t="shared" si="35"/>
        <v>1</v>
      </c>
      <c r="K759" s="27">
        <f t="shared" si="34"/>
        <v>1</v>
      </c>
      <c r="L759" s="25">
        <v>405.48749150000003</v>
      </c>
      <c r="M759" s="25">
        <v>407.79044451690436</v>
      </c>
      <c r="N759" s="38">
        <v>0.43958726537263182</v>
      </c>
      <c r="O759" s="38">
        <v>-7.93425439775719</v>
      </c>
      <c r="P759" s="71">
        <v>-9.6926034592477173</v>
      </c>
      <c r="Q759" s="53">
        <v>42535</v>
      </c>
      <c r="R759" s="23">
        <v>9</v>
      </c>
      <c r="S759" s="24">
        <v>405.48749150000003</v>
      </c>
      <c r="T759" s="24">
        <v>407.79044451690436</v>
      </c>
      <c r="U759" s="1">
        <v>0.43958726537263182</v>
      </c>
      <c r="V759" s="2">
        <v>-7.93425439775719</v>
      </c>
      <c r="W759" s="2">
        <v>-9.6926034592477173</v>
      </c>
      <c r="X759" s="22" t="s">
        <v>17</v>
      </c>
      <c r="Y759" s="23"/>
      <c r="Z759" s="24" t="s">
        <v>17</v>
      </c>
      <c r="AA759" s="24" t="s">
        <v>17</v>
      </c>
      <c r="AB759" s="1" t="s">
        <v>17</v>
      </c>
      <c r="AC759" s="2" t="s">
        <v>17</v>
      </c>
      <c r="AD759" s="2" t="s">
        <v>17</v>
      </c>
      <c r="AE759" s="22" t="s">
        <v>17</v>
      </c>
      <c r="AF759" s="23"/>
      <c r="AG759" s="24" t="s">
        <v>17</v>
      </c>
      <c r="AH759" s="24" t="s">
        <v>17</v>
      </c>
      <c r="AI759" s="1" t="s">
        <v>17</v>
      </c>
      <c r="AJ759" s="2" t="s">
        <v>17</v>
      </c>
      <c r="AK759" s="2" t="s">
        <v>17</v>
      </c>
      <c r="AL759" s="22" t="s">
        <v>17</v>
      </c>
      <c r="AM759" s="4" t="s">
        <v>17</v>
      </c>
      <c r="AN759" s="24" t="s">
        <v>17</v>
      </c>
      <c r="AO759" s="24" t="s">
        <v>17</v>
      </c>
      <c r="AP759" s="1" t="s">
        <v>17</v>
      </c>
      <c r="AQ759" s="2" t="s">
        <v>17</v>
      </c>
      <c r="AR759" s="2" t="s">
        <v>17</v>
      </c>
      <c r="AS759" s="3"/>
      <c r="AT759" s="2"/>
      <c r="AU759" s="4"/>
      <c r="AV759" s="2"/>
      <c r="AW759" s="20" t="s">
        <v>17</v>
      </c>
      <c r="AX759" s="20" t="s">
        <v>17</v>
      </c>
      <c r="AY759" s="20" t="s">
        <v>17</v>
      </c>
      <c r="AZ759" s="5"/>
      <c r="BA759" s="6"/>
      <c r="BB759" s="4"/>
      <c r="BC759" s="6"/>
      <c r="BD759" s="6"/>
      <c r="BE759" s="6"/>
      <c r="BF759" s="7"/>
    </row>
    <row r="760" spans="1:58" ht="18" customHeight="1">
      <c r="A760" s="107" t="s">
        <v>15</v>
      </c>
      <c r="B760" s="93" t="s">
        <v>733</v>
      </c>
      <c r="C760" s="42">
        <v>1935</v>
      </c>
      <c r="D760" s="42">
        <v>1935.12</v>
      </c>
      <c r="E760" s="42">
        <v>1935.06</v>
      </c>
      <c r="F760" s="42">
        <v>1935.06</v>
      </c>
      <c r="G760" s="43">
        <v>159967.57576142901</v>
      </c>
      <c r="H760" s="43">
        <v>155153.49287968001</v>
      </c>
      <c r="I760" s="27">
        <f t="shared" si="33"/>
        <v>1</v>
      </c>
      <c r="J760" s="27">
        <f t="shared" si="35"/>
        <v>0</v>
      </c>
      <c r="K760" s="27">
        <f t="shared" si="34"/>
        <v>0</v>
      </c>
      <c r="L760" s="25">
        <v>387.50940850000001</v>
      </c>
      <c r="M760" s="25">
        <v>389.71025557935775</v>
      </c>
      <c r="N760" s="38"/>
      <c r="O760" s="38"/>
      <c r="P760" s="71"/>
      <c r="Q760" s="53">
        <v>42584</v>
      </c>
      <c r="R760" s="23">
        <v>9</v>
      </c>
      <c r="S760" s="24">
        <v>387.50940850000001</v>
      </c>
      <c r="T760" s="24">
        <v>389.71025557935775</v>
      </c>
      <c r="U760" s="1"/>
      <c r="V760" s="2"/>
      <c r="W760" s="2"/>
      <c r="X760" s="22" t="s">
        <v>17</v>
      </c>
      <c r="Y760" s="23"/>
      <c r="Z760" s="24" t="s">
        <v>17</v>
      </c>
      <c r="AA760" s="24" t="s">
        <v>17</v>
      </c>
      <c r="AB760" s="1" t="s">
        <v>17</v>
      </c>
      <c r="AC760" s="2" t="s">
        <v>17</v>
      </c>
      <c r="AD760" s="2" t="s">
        <v>17</v>
      </c>
      <c r="AE760" s="22" t="s">
        <v>17</v>
      </c>
      <c r="AF760" s="23"/>
      <c r="AG760" s="24" t="s">
        <v>17</v>
      </c>
      <c r="AH760" s="24" t="s">
        <v>17</v>
      </c>
      <c r="AI760" s="1" t="s">
        <v>17</v>
      </c>
      <c r="AJ760" s="2" t="s">
        <v>17</v>
      </c>
      <c r="AK760" s="2" t="s">
        <v>17</v>
      </c>
      <c r="AL760" s="22" t="s">
        <v>17</v>
      </c>
      <c r="AM760" s="4" t="s">
        <v>17</v>
      </c>
      <c r="AN760" s="24" t="s">
        <v>17</v>
      </c>
      <c r="AO760" s="24" t="s">
        <v>17</v>
      </c>
      <c r="AP760" s="1" t="s">
        <v>17</v>
      </c>
      <c r="AQ760" s="2" t="s">
        <v>17</v>
      </c>
      <c r="AR760" s="2" t="s">
        <v>17</v>
      </c>
      <c r="AS760" s="3"/>
      <c r="AT760" s="2"/>
      <c r="AU760" s="4"/>
      <c r="AV760" s="2"/>
      <c r="AW760" s="20" t="s">
        <v>17</v>
      </c>
      <c r="AX760" s="20" t="s">
        <v>17</v>
      </c>
      <c r="AY760" s="20" t="s">
        <v>17</v>
      </c>
      <c r="AZ760" s="5"/>
      <c r="BA760" s="6"/>
      <c r="BB760" s="4"/>
      <c r="BC760" s="6"/>
      <c r="BD760" s="6"/>
      <c r="BE760" s="6"/>
      <c r="BF760" s="7"/>
    </row>
    <row r="761" spans="1:58" ht="18" customHeight="1">
      <c r="A761" s="107" t="s">
        <v>15</v>
      </c>
      <c r="B761" s="93" t="s">
        <v>734</v>
      </c>
      <c r="C761" s="42">
        <v>1937.5</v>
      </c>
      <c r="D761" s="42">
        <v>1937.62</v>
      </c>
      <c r="E761" s="42">
        <v>1937.56</v>
      </c>
      <c r="F761" s="42">
        <v>1937.56</v>
      </c>
      <c r="G761" s="43">
        <v>160557.98129900699</v>
      </c>
      <c r="H761" s="43">
        <v>155762.392466866</v>
      </c>
      <c r="I761" s="27">
        <f t="shared" si="33"/>
        <v>1</v>
      </c>
      <c r="J761" s="27">
        <f t="shared" si="35"/>
        <v>1</v>
      </c>
      <c r="K761" s="27">
        <f t="shared" si="34"/>
        <v>1</v>
      </c>
      <c r="L761" s="25">
        <v>391.26520249999999</v>
      </c>
      <c r="M761" s="25">
        <v>393.76586457096391</v>
      </c>
      <c r="N761" s="38">
        <v>0.49467648709455858</v>
      </c>
      <c r="O761" s="38">
        <v>-9.1303472329951063</v>
      </c>
      <c r="P761" s="71">
        <v>-11.109053181373341</v>
      </c>
      <c r="Q761" s="53">
        <v>42578</v>
      </c>
      <c r="R761" s="23">
        <v>9</v>
      </c>
      <c r="S761" s="24">
        <v>391.26520249999999</v>
      </c>
      <c r="T761" s="24">
        <v>393.76586457096391</v>
      </c>
      <c r="U761" s="1">
        <v>0.49467648709455858</v>
      </c>
      <c r="V761" s="2">
        <v>-9.1303472329951063</v>
      </c>
      <c r="W761" s="2">
        <v>-11.109053181373341</v>
      </c>
      <c r="X761" s="22" t="s">
        <v>17</v>
      </c>
      <c r="Y761" s="23"/>
      <c r="Z761" s="24" t="s">
        <v>17</v>
      </c>
      <c r="AA761" s="24" t="s">
        <v>17</v>
      </c>
      <c r="AB761" s="1" t="s">
        <v>17</v>
      </c>
      <c r="AC761" s="2" t="s">
        <v>17</v>
      </c>
      <c r="AD761" s="2" t="s">
        <v>17</v>
      </c>
      <c r="AE761" s="22" t="s">
        <v>17</v>
      </c>
      <c r="AF761" s="23"/>
      <c r="AG761" s="24" t="s">
        <v>17</v>
      </c>
      <c r="AH761" s="24" t="s">
        <v>17</v>
      </c>
      <c r="AI761" s="1" t="s">
        <v>17</v>
      </c>
      <c r="AJ761" s="2" t="s">
        <v>17</v>
      </c>
      <c r="AK761" s="2" t="s">
        <v>17</v>
      </c>
      <c r="AL761" s="22" t="s">
        <v>17</v>
      </c>
      <c r="AM761" s="4" t="s">
        <v>17</v>
      </c>
      <c r="AN761" s="24" t="s">
        <v>17</v>
      </c>
      <c r="AO761" s="24" t="s">
        <v>17</v>
      </c>
      <c r="AP761" s="1" t="s">
        <v>17</v>
      </c>
      <c r="AQ761" s="2" t="s">
        <v>17</v>
      </c>
      <c r="AR761" s="2" t="s">
        <v>17</v>
      </c>
      <c r="AS761" s="3"/>
      <c r="AT761" s="2"/>
      <c r="AU761" s="4"/>
      <c r="AV761" s="2"/>
      <c r="AW761" s="20" t="s">
        <v>17</v>
      </c>
      <c r="AX761" s="20" t="s">
        <v>17</v>
      </c>
      <c r="AY761" s="20" t="s">
        <v>17</v>
      </c>
      <c r="AZ761" s="5"/>
      <c r="BA761" s="6"/>
      <c r="BB761" s="4"/>
      <c r="BC761" s="6"/>
      <c r="BD761" s="6"/>
      <c r="BE761" s="6"/>
      <c r="BF761" s="7"/>
    </row>
    <row r="762" spans="1:58" ht="18" customHeight="1">
      <c r="A762" s="107" t="s">
        <v>15</v>
      </c>
      <c r="B762" s="93" t="s">
        <v>735</v>
      </c>
      <c r="C762" s="42">
        <v>1940.5</v>
      </c>
      <c r="D762" s="42">
        <v>1940.62</v>
      </c>
      <c r="E762" s="42">
        <v>1940.56</v>
      </c>
      <c r="F762" s="42">
        <v>1940.56</v>
      </c>
      <c r="G762" s="43">
        <v>161176.09882310001</v>
      </c>
      <c r="H762" s="43">
        <v>156562.92496437099</v>
      </c>
      <c r="I762" s="27">
        <f t="shared" si="33"/>
        <v>1</v>
      </c>
      <c r="J762" s="27">
        <f t="shared" si="35"/>
        <v>1</v>
      </c>
      <c r="K762" s="27">
        <f t="shared" si="34"/>
        <v>1</v>
      </c>
      <c r="L762" s="25">
        <v>409.96133700000001</v>
      </c>
      <c r="M762" s="25">
        <v>412.36653956830082</v>
      </c>
      <c r="N762" s="38">
        <v>0.45409450281153063</v>
      </c>
      <c r="O762" s="38">
        <v>-9.1157383906799172</v>
      </c>
      <c r="P762" s="71">
        <v>-10.93211640192604</v>
      </c>
      <c r="Q762" s="53">
        <v>42535</v>
      </c>
      <c r="R762" s="23">
        <v>9</v>
      </c>
      <c r="S762" s="24">
        <v>409.96133700000001</v>
      </c>
      <c r="T762" s="24">
        <v>412.36653956830082</v>
      </c>
      <c r="U762" s="1">
        <v>0.45409450281153063</v>
      </c>
      <c r="V762" s="2">
        <v>-9.1157383906799172</v>
      </c>
      <c r="W762" s="2">
        <v>-10.93211640192604</v>
      </c>
      <c r="X762" s="22" t="s">
        <v>17</v>
      </c>
      <c r="Y762" s="23"/>
      <c r="Z762" s="24" t="s">
        <v>17</v>
      </c>
      <c r="AA762" s="24" t="s">
        <v>17</v>
      </c>
      <c r="AB762" s="1" t="s">
        <v>17</v>
      </c>
      <c r="AC762" s="2" t="s">
        <v>17</v>
      </c>
      <c r="AD762" s="2" t="s">
        <v>17</v>
      </c>
      <c r="AE762" s="22" t="s">
        <v>17</v>
      </c>
      <c r="AF762" s="23"/>
      <c r="AG762" s="24" t="s">
        <v>17</v>
      </c>
      <c r="AH762" s="24" t="s">
        <v>17</v>
      </c>
      <c r="AI762" s="1" t="s">
        <v>17</v>
      </c>
      <c r="AJ762" s="2" t="s">
        <v>17</v>
      </c>
      <c r="AK762" s="2" t="s">
        <v>17</v>
      </c>
      <c r="AL762" s="22" t="s">
        <v>17</v>
      </c>
      <c r="AM762" s="4" t="s">
        <v>17</v>
      </c>
      <c r="AN762" s="24" t="s">
        <v>17</v>
      </c>
      <c r="AO762" s="24" t="s">
        <v>17</v>
      </c>
      <c r="AP762" s="1" t="s">
        <v>17</v>
      </c>
      <c r="AQ762" s="2" t="s">
        <v>17</v>
      </c>
      <c r="AR762" s="2" t="s">
        <v>17</v>
      </c>
      <c r="AS762" s="3"/>
      <c r="AT762" s="2"/>
      <c r="AU762" s="4"/>
      <c r="AV762" s="2"/>
      <c r="AW762" s="20" t="s">
        <v>17</v>
      </c>
      <c r="AX762" s="20" t="s">
        <v>17</v>
      </c>
      <c r="AY762" s="20" t="s">
        <v>17</v>
      </c>
      <c r="AZ762" s="5"/>
      <c r="BA762" s="6"/>
      <c r="BB762" s="4"/>
      <c r="BC762" s="6"/>
      <c r="BD762" s="6"/>
      <c r="BE762" s="6"/>
      <c r="BF762" s="7"/>
    </row>
    <row r="763" spans="1:58" ht="18" customHeight="1">
      <c r="A763" s="107" t="s">
        <v>15</v>
      </c>
      <c r="B763" s="93" t="s">
        <v>736</v>
      </c>
      <c r="C763" s="42">
        <v>1942.5</v>
      </c>
      <c r="D763" s="42">
        <v>1942.62</v>
      </c>
      <c r="E763" s="42">
        <v>1942.56</v>
      </c>
      <c r="F763" s="42">
        <v>1942.56</v>
      </c>
      <c r="G763" s="43">
        <v>161607.95147540901</v>
      </c>
      <c r="H763" s="43">
        <v>157060.76862755301</v>
      </c>
      <c r="I763" s="27">
        <f t="shared" si="33"/>
        <v>1</v>
      </c>
      <c r="J763" s="27">
        <f t="shared" si="35"/>
        <v>1</v>
      </c>
      <c r="K763" s="27">
        <f t="shared" si="34"/>
        <v>1</v>
      </c>
      <c r="L763" s="25">
        <v>403.20322250000004</v>
      </c>
      <c r="M763" s="25">
        <v>405.65874682519285</v>
      </c>
      <c r="N763" s="38">
        <v>0.47136543488668359</v>
      </c>
      <c r="O763" s="38">
        <v>-8.8715794739465679</v>
      </c>
      <c r="P763" s="71">
        <v>-10.757041213493302</v>
      </c>
      <c r="Q763" s="53">
        <v>42586</v>
      </c>
      <c r="R763" s="23">
        <v>9</v>
      </c>
      <c r="S763" s="24">
        <v>403.20322250000004</v>
      </c>
      <c r="T763" s="24">
        <v>405.65874682519285</v>
      </c>
      <c r="U763" s="1">
        <v>0.47136543488668359</v>
      </c>
      <c r="V763" s="2">
        <v>-8.8715794739465679</v>
      </c>
      <c r="W763" s="2">
        <v>-10.757041213493302</v>
      </c>
      <c r="X763" s="22" t="s">
        <v>17</v>
      </c>
      <c r="Y763" s="23"/>
      <c r="Z763" s="24" t="s">
        <v>17</v>
      </c>
      <c r="AA763" s="24" t="s">
        <v>17</v>
      </c>
      <c r="AB763" s="1" t="s">
        <v>17</v>
      </c>
      <c r="AC763" s="2" t="s">
        <v>17</v>
      </c>
      <c r="AD763" s="2" t="s">
        <v>17</v>
      </c>
      <c r="AE763" s="22" t="s">
        <v>17</v>
      </c>
      <c r="AF763" s="23"/>
      <c r="AG763" s="24" t="s">
        <v>17</v>
      </c>
      <c r="AH763" s="24" t="s">
        <v>17</v>
      </c>
      <c r="AI763" s="1" t="s">
        <v>17</v>
      </c>
      <c r="AJ763" s="2" t="s">
        <v>17</v>
      </c>
      <c r="AK763" s="2" t="s">
        <v>17</v>
      </c>
      <c r="AL763" s="22" t="s">
        <v>17</v>
      </c>
      <c r="AM763" s="4" t="s">
        <v>17</v>
      </c>
      <c r="AN763" s="24" t="s">
        <v>17</v>
      </c>
      <c r="AO763" s="24" t="s">
        <v>17</v>
      </c>
      <c r="AP763" s="1" t="s">
        <v>17</v>
      </c>
      <c r="AQ763" s="2" t="s">
        <v>17</v>
      </c>
      <c r="AR763" s="2" t="s">
        <v>17</v>
      </c>
      <c r="AS763" s="3"/>
      <c r="AT763" s="2"/>
      <c r="AU763" s="4"/>
      <c r="AV763" s="2"/>
      <c r="AW763" s="20" t="s">
        <v>17</v>
      </c>
      <c r="AX763" s="20" t="s">
        <v>17</v>
      </c>
      <c r="AY763" s="20" t="s">
        <v>17</v>
      </c>
      <c r="AZ763" s="5"/>
      <c r="BA763" s="6"/>
      <c r="BB763" s="4"/>
      <c r="BC763" s="6"/>
      <c r="BD763" s="6"/>
      <c r="BE763" s="6"/>
      <c r="BF763" s="7"/>
    </row>
    <row r="764" spans="1:58" ht="18" customHeight="1">
      <c r="A764" s="107" t="s">
        <v>15</v>
      </c>
      <c r="B764" s="93" t="s">
        <v>737</v>
      </c>
      <c r="C764" s="42">
        <v>1944.5</v>
      </c>
      <c r="D764" s="42">
        <v>1944.62</v>
      </c>
      <c r="E764" s="42">
        <v>1944.56</v>
      </c>
      <c r="F764" s="42">
        <v>1944.56</v>
      </c>
      <c r="G764" s="43">
        <v>162051.126082893</v>
      </c>
      <c r="H764" s="43">
        <v>157624.159231422</v>
      </c>
      <c r="I764" s="27">
        <f t="shared" si="33"/>
        <v>2</v>
      </c>
      <c r="J764" s="27">
        <f t="shared" si="35"/>
        <v>1</v>
      </c>
      <c r="K764" s="27">
        <f t="shared" si="34"/>
        <v>1</v>
      </c>
      <c r="L764" s="25">
        <v>424.65441024999996</v>
      </c>
      <c r="M764" s="25">
        <v>425.93913816359742</v>
      </c>
      <c r="N764" s="38">
        <v>0.47008469209730563</v>
      </c>
      <c r="O764" s="38">
        <v>-9.4918120138132167</v>
      </c>
      <c r="P764" s="71">
        <v>-11.372150782202439</v>
      </c>
      <c r="Q764" s="53">
        <v>42580</v>
      </c>
      <c r="R764" s="23">
        <v>9</v>
      </c>
      <c r="S764" s="24">
        <v>423.06055349999997</v>
      </c>
      <c r="T764" s="24">
        <v>425.63000932719484</v>
      </c>
      <c r="U764" s="1">
        <v>0.47008469209730563</v>
      </c>
      <c r="V764" s="2">
        <v>-9.4918120138132167</v>
      </c>
      <c r="W764" s="2">
        <v>-11.372150782202439</v>
      </c>
      <c r="X764" s="22">
        <v>43322</v>
      </c>
      <c r="Y764" s="23" t="s">
        <v>88</v>
      </c>
      <c r="Z764" s="24">
        <v>426.248267</v>
      </c>
      <c r="AA764" s="24">
        <v>426.248267</v>
      </c>
      <c r="AB764" s="1"/>
      <c r="AC764" s="2"/>
      <c r="AD764" s="2"/>
      <c r="AE764" s="22" t="s">
        <v>17</v>
      </c>
      <c r="AF764" s="23"/>
      <c r="AG764" s="24" t="s">
        <v>17</v>
      </c>
      <c r="AH764" s="24" t="s">
        <v>17</v>
      </c>
      <c r="AI764" s="1" t="s">
        <v>17</v>
      </c>
      <c r="AJ764" s="2" t="s">
        <v>17</v>
      </c>
      <c r="AK764" s="2" t="s">
        <v>17</v>
      </c>
      <c r="AL764" s="22" t="s">
        <v>17</v>
      </c>
      <c r="AM764" s="4" t="s">
        <v>17</v>
      </c>
      <c r="AN764" s="24" t="s">
        <v>17</v>
      </c>
      <c r="AO764" s="24" t="s">
        <v>17</v>
      </c>
      <c r="AP764" s="1" t="s">
        <v>17</v>
      </c>
      <c r="AQ764" s="2" t="s">
        <v>17</v>
      </c>
      <c r="AR764" s="2" t="s">
        <v>17</v>
      </c>
      <c r="AS764" s="3"/>
      <c r="AT764" s="2"/>
      <c r="AU764" s="4"/>
      <c r="AV764" s="2"/>
      <c r="AW764" s="20" t="s">
        <v>17</v>
      </c>
      <c r="AX764" s="20" t="s">
        <v>17</v>
      </c>
      <c r="AY764" s="20" t="s">
        <v>17</v>
      </c>
      <c r="AZ764" s="5"/>
      <c r="BA764" s="6"/>
      <c r="BB764" s="4"/>
      <c r="BC764" s="6"/>
      <c r="BD764" s="6"/>
      <c r="BE764" s="6"/>
      <c r="BF764" s="7"/>
    </row>
    <row r="765" spans="1:58" ht="18" customHeight="1">
      <c r="A765" s="107" t="s">
        <v>15</v>
      </c>
      <c r="B765" s="93" t="s">
        <v>738</v>
      </c>
      <c r="C765" s="42">
        <v>1949</v>
      </c>
      <c r="D765" s="42">
        <v>1949.12</v>
      </c>
      <c r="E765" s="42">
        <v>1949.06</v>
      </c>
      <c r="F765" s="42">
        <v>1949.06</v>
      </c>
      <c r="G765" s="43">
        <v>163069.222225039</v>
      </c>
      <c r="H765" s="43">
        <v>158805.38134302801</v>
      </c>
      <c r="I765" s="27">
        <f t="shared" si="33"/>
        <v>1</v>
      </c>
      <c r="J765" s="27">
        <f t="shared" si="35"/>
        <v>1</v>
      </c>
      <c r="K765" s="27">
        <f t="shared" si="34"/>
        <v>1</v>
      </c>
      <c r="L765" s="25">
        <v>423.58104900000001</v>
      </c>
      <c r="M765" s="25">
        <v>426.07959014361018</v>
      </c>
      <c r="N765" s="38">
        <v>0.45654907812253676</v>
      </c>
      <c r="O765" s="38">
        <v>-9.4042291056585228</v>
      </c>
      <c r="P765" s="71">
        <v>-11.23042541814867</v>
      </c>
      <c r="Q765" s="53">
        <v>42580</v>
      </c>
      <c r="R765" s="23">
        <v>9</v>
      </c>
      <c r="S765" s="24">
        <v>423.58104900000001</v>
      </c>
      <c r="T765" s="24">
        <v>426.07959014361018</v>
      </c>
      <c r="U765" s="1">
        <v>0.45654907812253676</v>
      </c>
      <c r="V765" s="2">
        <v>-9.4042291056585228</v>
      </c>
      <c r="W765" s="2">
        <v>-11.23042541814867</v>
      </c>
      <c r="X765" s="22" t="s">
        <v>17</v>
      </c>
      <c r="Y765" s="23"/>
      <c r="Z765" s="24" t="s">
        <v>17</v>
      </c>
      <c r="AA765" s="24" t="s">
        <v>17</v>
      </c>
      <c r="AB765" s="1" t="s">
        <v>17</v>
      </c>
      <c r="AC765" s="2" t="s">
        <v>17</v>
      </c>
      <c r="AD765" s="2" t="s">
        <v>17</v>
      </c>
      <c r="AE765" s="22" t="s">
        <v>17</v>
      </c>
      <c r="AF765" s="23"/>
      <c r="AG765" s="24" t="s">
        <v>17</v>
      </c>
      <c r="AH765" s="24" t="s">
        <v>17</v>
      </c>
      <c r="AI765" s="1" t="s">
        <v>17</v>
      </c>
      <c r="AJ765" s="2" t="s">
        <v>17</v>
      </c>
      <c r="AK765" s="2" t="s">
        <v>17</v>
      </c>
      <c r="AL765" s="22" t="s">
        <v>17</v>
      </c>
      <c r="AM765" s="4" t="s">
        <v>17</v>
      </c>
      <c r="AN765" s="24" t="s">
        <v>17</v>
      </c>
      <c r="AO765" s="24" t="s">
        <v>17</v>
      </c>
      <c r="AP765" s="1" t="s">
        <v>17</v>
      </c>
      <c r="AQ765" s="2" t="s">
        <v>17</v>
      </c>
      <c r="AR765" s="2" t="s">
        <v>17</v>
      </c>
      <c r="AS765" s="3"/>
      <c r="AT765" s="2"/>
      <c r="AU765" s="4"/>
      <c r="AV765" s="2"/>
      <c r="AW765" s="20" t="s">
        <v>17</v>
      </c>
      <c r="AX765" s="20" t="s">
        <v>17</v>
      </c>
      <c r="AY765" s="20" t="s">
        <v>17</v>
      </c>
      <c r="AZ765" s="5"/>
      <c r="BA765" s="6"/>
      <c r="BB765" s="4"/>
      <c r="BC765" s="6"/>
      <c r="BD765" s="6"/>
      <c r="BE765" s="6"/>
      <c r="BF765" s="7"/>
    </row>
    <row r="766" spans="1:58" ht="18" customHeight="1">
      <c r="A766" s="107" t="s">
        <v>15</v>
      </c>
      <c r="B766" s="93" t="s">
        <v>739</v>
      </c>
      <c r="C766" s="42">
        <v>1950.982</v>
      </c>
      <c r="D766" s="42">
        <v>1951.1019999999999</v>
      </c>
      <c r="E766" s="42">
        <v>1951.0419999999999</v>
      </c>
      <c r="F766" s="42">
        <v>1951.0419999999999</v>
      </c>
      <c r="G766" s="43">
        <v>163514.366741317</v>
      </c>
      <c r="H766" s="43">
        <v>159292.079041619</v>
      </c>
      <c r="I766" s="27">
        <f t="shared" si="33"/>
        <v>1</v>
      </c>
      <c r="J766" s="27">
        <f t="shared" si="35"/>
        <v>1</v>
      </c>
      <c r="K766" s="27">
        <f t="shared" si="34"/>
        <v>1</v>
      </c>
      <c r="L766" s="25">
        <v>412.67103850000001</v>
      </c>
      <c r="M766" s="25">
        <v>415.12693586896938</v>
      </c>
      <c r="N766" s="38">
        <v>0.46062097395949131</v>
      </c>
      <c r="O766" s="38">
        <v>-9.4905294400114961</v>
      </c>
      <c r="P766" s="71">
        <v>-11.333013335849461</v>
      </c>
      <c r="Q766" s="53">
        <v>42535</v>
      </c>
      <c r="R766" s="23">
        <v>9</v>
      </c>
      <c r="S766" s="24">
        <v>412.67103850000001</v>
      </c>
      <c r="T766" s="24">
        <v>415.12693586896938</v>
      </c>
      <c r="U766" s="1">
        <v>0.46062097395949131</v>
      </c>
      <c r="V766" s="2">
        <v>-9.4905294400114961</v>
      </c>
      <c r="W766" s="2">
        <v>-11.333013335849461</v>
      </c>
      <c r="X766" s="22" t="s">
        <v>17</v>
      </c>
      <c r="Y766" s="23"/>
      <c r="Z766" s="24" t="s">
        <v>17</v>
      </c>
      <c r="AA766" s="24" t="s">
        <v>17</v>
      </c>
      <c r="AB766" s="1" t="s">
        <v>17</v>
      </c>
      <c r="AC766" s="2" t="s">
        <v>17</v>
      </c>
      <c r="AD766" s="2" t="s">
        <v>17</v>
      </c>
      <c r="AE766" s="22" t="s">
        <v>17</v>
      </c>
      <c r="AF766" s="23"/>
      <c r="AG766" s="24" t="s">
        <v>17</v>
      </c>
      <c r="AH766" s="24" t="s">
        <v>17</v>
      </c>
      <c r="AI766" s="1" t="s">
        <v>17</v>
      </c>
      <c r="AJ766" s="2" t="s">
        <v>17</v>
      </c>
      <c r="AK766" s="2" t="s">
        <v>17</v>
      </c>
      <c r="AL766" s="22" t="s">
        <v>17</v>
      </c>
      <c r="AM766" s="4" t="s">
        <v>17</v>
      </c>
      <c r="AN766" s="24" t="s">
        <v>17</v>
      </c>
      <c r="AO766" s="24" t="s">
        <v>17</v>
      </c>
      <c r="AP766" s="1" t="s">
        <v>17</v>
      </c>
      <c r="AQ766" s="2" t="s">
        <v>17</v>
      </c>
      <c r="AR766" s="2" t="s">
        <v>17</v>
      </c>
      <c r="AS766" s="3"/>
      <c r="AT766" s="2"/>
      <c r="AU766" s="4"/>
      <c r="AV766" s="2"/>
      <c r="AW766" s="20" t="s">
        <v>17</v>
      </c>
      <c r="AX766" s="20" t="s">
        <v>17</v>
      </c>
      <c r="AY766" s="20" t="s">
        <v>17</v>
      </c>
      <c r="AZ766" s="5"/>
      <c r="BA766" s="6"/>
      <c r="BB766" s="4"/>
      <c r="BC766" s="6"/>
      <c r="BD766" s="6"/>
      <c r="BE766" s="6"/>
      <c r="BF766" s="7"/>
    </row>
    <row r="767" spans="1:58" ht="18" customHeight="1">
      <c r="A767" s="107" t="s">
        <v>15</v>
      </c>
      <c r="B767" s="93" t="s">
        <v>740</v>
      </c>
      <c r="C767" s="42">
        <v>1953.5150000000001</v>
      </c>
      <c r="D767" s="42">
        <v>1953.635</v>
      </c>
      <c r="E767" s="42">
        <v>1953.575</v>
      </c>
      <c r="F767" s="42">
        <v>1953.575</v>
      </c>
      <c r="G767" s="43">
        <v>164007.087716212</v>
      </c>
      <c r="H767" s="43">
        <v>159942.665598805</v>
      </c>
      <c r="I767" s="27">
        <f t="shared" si="33"/>
        <v>1</v>
      </c>
      <c r="J767" s="27">
        <f t="shared" si="35"/>
        <v>1</v>
      </c>
      <c r="K767" s="27">
        <f t="shared" si="34"/>
        <v>1</v>
      </c>
      <c r="L767" s="25">
        <v>430.69458450000002</v>
      </c>
      <c r="M767" s="25">
        <v>433.32989280166419</v>
      </c>
      <c r="N767" s="38">
        <v>0.47358670881769704</v>
      </c>
      <c r="O767" s="38">
        <v>-9.8183896237898907</v>
      </c>
      <c r="P767" s="71">
        <v>-11.712736459060679</v>
      </c>
      <c r="Q767" s="53">
        <v>42580</v>
      </c>
      <c r="R767" s="23">
        <v>9</v>
      </c>
      <c r="S767" s="24">
        <v>430.69458450000002</v>
      </c>
      <c r="T767" s="24">
        <v>433.32989280166419</v>
      </c>
      <c r="U767" s="1">
        <v>0.47358670881769704</v>
      </c>
      <c r="V767" s="2">
        <v>-9.8183896237898907</v>
      </c>
      <c r="W767" s="2">
        <v>-11.712736459060679</v>
      </c>
      <c r="X767" s="22" t="s">
        <v>17</v>
      </c>
      <c r="Y767" s="23"/>
      <c r="Z767" s="24" t="s">
        <v>17</v>
      </c>
      <c r="AA767" s="24" t="s">
        <v>17</v>
      </c>
      <c r="AB767" s="1" t="s">
        <v>17</v>
      </c>
      <c r="AC767" s="2" t="s">
        <v>17</v>
      </c>
      <c r="AD767" s="2" t="s">
        <v>17</v>
      </c>
      <c r="AE767" s="22" t="s">
        <v>17</v>
      </c>
      <c r="AF767" s="23"/>
      <c r="AG767" s="24" t="s">
        <v>17</v>
      </c>
      <c r="AH767" s="24" t="s">
        <v>17</v>
      </c>
      <c r="AI767" s="1" t="s">
        <v>17</v>
      </c>
      <c r="AJ767" s="2" t="s">
        <v>17</v>
      </c>
      <c r="AK767" s="2" t="s">
        <v>17</v>
      </c>
      <c r="AL767" s="22" t="s">
        <v>17</v>
      </c>
      <c r="AM767" s="4" t="s">
        <v>17</v>
      </c>
      <c r="AN767" s="24" t="s">
        <v>17</v>
      </c>
      <c r="AO767" s="24" t="s">
        <v>17</v>
      </c>
      <c r="AP767" s="1" t="s">
        <v>17</v>
      </c>
      <c r="AQ767" s="2" t="s">
        <v>17</v>
      </c>
      <c r="AR767" s="2" t="s">
        <v>17</v>
      </c>
      <c r="AS767" s="3"/>
      <c r="AT767" s="2"/>
      <c r="AU767" s="4"/>
      <c r="AV767" s="2"/>
      <c r="AW767" s="20" t="s">
        <v>17</v>
      </c>
      <c r="AX767" s="20" t="s">
        <v>17</v>
      </c>
      <c r="AY767" s="20" t="s">
        <v>17</v>
      </c>
      <c r="AZ767" s="5"/>
      <c r="BA767" s="6"/>
      <c r="BB767" s="4"/>
      <c r="BC767" s="6"/>
      <c r="BD767" s="6"/>
      <c r="BE767" s="6"/>
      <c r="BF767" s="7"/>
    </row>
    <row r="768" spans="1:58" ht="18" customHeight="1">
      <c r="A768" s="107" t="s">
        <v>15</v>
      </c>
      <c r="B768" s="93" t="s">
        <v>741</v>
      </c>
      <c r="C768" s="42">
        <v>1956</v>
      </c>
      <c r="D768" s="42">
        <v>1956.12</v>
      </c>
      <c r="E768" s="42">
        <v>1956.06</v>
      </c>
      <c r="F768" s="42">
        <v>1956.06</v>
      </c>
      <c r="G768" s="43">
        <v>164529.12342729099</v>
      </c>
      <c r="H768" s="43">
        <v>160548.03319923201</v>
      </c>
      <c r="I768" s="27">
        <f t="shared" si="33"/>
        <v>1</v>
      </c>
      <c r="J768" s="27">
        <f t="shared" si="35"/>
        <v>0</v>
      </c>
      <c r="K768" s="27">
        <f t="shared" si="34"/>
        <v>0</v>
      </c>
      <c r="L768" s="25">
        <v>460.40627599999999</v>
      </c>
      <c r="M768" s="25">
        <v>463.1331370125427</v>
      </c>
      <c r="N768" s="38"/>
      <c r="O768" s="38"/>
      <c r="P768" s="71"/>
      <c r="Q768" s="53">
        <v>42584</v>
      </c>
      <c r="R768" s="23">
        <v>9</v>
      </c>
      <c r="S768" s="24">
        <v>460.40627599999999</v>
      </c>
      <c r="T768" s="24">
        <v>463.1331370125427</v>
      </c>
      <c r="U768" s="1"/>
      <c r="V768" s="2"/>
      <c r="W768" s="2"/>
      <c r="X768" s="22" t="s">
        <v>17</v>
      </c>
      <c r="Y768" s="23"/>
      <c r="Z768" s="24" t="s">
        <v>17</v>
      </c>
      <c r="AA768" s="24" t="s">
        <v>17</v>
      </c>
      <c r="AB768" s="1" t="s">
        <v>17</v>
      </c>
      <c r="AC768" s="2" t="s">
        <v>17</v>
      </c>
      <c r="AD768" s="2" t="s">
        <v>17</v>
      </c>
      <c r="AE768" s="22" t="s">
        <v>17</v>
      </c>
      <c r="AF768" s="23"/>
      <c r="AG768" s="24" t="s">
        <v>17</v>
      </c>
      <c r="AH768" s="24" t="s">
        <v>17</v>
      </c>
      <c r="AI768" s="1" t="s">
        <v>17</v>
      </c>
      <c r="AJ768" s="2" t="s">
        <v>17</v>
      </c>
      <c r="AK768" s="2" t="s">
        <v>17</v>
      </c>
      <c r="AL768" s="22" t="s">
        <v>17</v>
      </c>
      <c r="AM768" s="4" t="s">
        <v>17</v>
      </c>
      <c r="AN768" s="24" t="s">
        <v>17</v>
      </c>
      <c r="AO768" s="24" t="s">
        <v>17</v>
      </c>
      <c r="AP768" s="1" t="s">
        <v>17</v>
      </c>
      <c r="AQ768" s="2" t="s">
        <v>17</v>
      </c>
      <c r="AR768" s="2" t="s">
        <v>17</v>
      </c>
      <c r="AS768" s="3"/>
      <c r="AT768" s="2"/>
      <c r="AU768" s="4"/>
      <c r="AV768" s="2"/>
      <c r="AW768" s="20" t="s">
        <v>17</v>
      </c>
      <c r="AX768" s="20" t="s">
        <v>17</v>
      </c>
      <c r="AY768" s="20" t="s">
        <v>17</v>
      </c>
      <c r="AZ768" s="5"/>
      <c r="BA768" s="6"/>
      <c r="BB768" s="4"/>
      <c r="BC768" s="6"/>
      <c r="BD768" s="6"/>
      <c r="BE768" s="6"/>
      <c r="BF768" s="7"/>
    </row>
    <row r="769" spans="1:58" ht="18" customHeight="1">
      <c r="A769" s="107" t="s">
        <v>15</v>
      </c>
      <c r="B769" s="93" t="s">
        <v>742</v>
      </c>
      <c r="C769" s="42">
        <v>1958</v>
      </c>
      <c r="D769" s="42">
        <v>1958.12</v>
      </c>
      <c r="E769" s="42">
        <v>1958.06</v>
      </c>
      <c r="F769" s="42">
        <v>1958.06</v>
      </c>
      <c r="G769" s="43">
        <v>164939.79535724901</v>
      </c>
      <c r="H769" s="43">
        <v>160957.62743894599</v>
      </c>
      <c r="I769" s="27">
        <f t="shared" si="33"/>
        <v>1</v>
      </c>
      <c r="J769" s="27">
        <f t="shared" si="35"/>
        <v>1</v>
      </c>
      <c r="K769" s="27">
        <f t="shared" si="34"/>
        <v>1</v>
      </c>
      <c r="L769" s="25">
        <v>415.5907125</v>
      </c>
      <c r="M769" s="25">
        <v>418.0521431323902</v>
      </c>
      <c r="N769" s="38">
        <v>0.45841545807245865</v>
      </c>
      <c r="O769" s="38">
        <v>-9.6426136793441586</v>
      </c>
      <c r="P769" s="71">
        <v>-11.476275511633993</v>
      </c>
      <c r="Q769" s="53">
        <v>42535</v>
      </c>
      <c r="R769" s="23">
        <v>9</v>
      </c>
      <c r="S769" s="24">
        <v>415.5907125</v>
      </c>
      <c r="T769" s="24">
        <v>418.0521431323902</v>
      </c>
      <c r="U769" s="1">
        <v>0.45841545807245865</v>
      </c>
      <c r="V769" s="2">
        <v>-9.6426136793441586</v>
      </c>
      <c r="W769" s="2">
        <v>-11.476275511633993</v>
      </c>
      <c r="X769" s="22" t="s">
        <v>17</v>
      </c>
      <c r="Y769" s="23"/>
      <c r="Z769" s="24" t="s">
        <v>17</v>
      </c>
      <c r="AA769" s="24" t="s">
        <v>17</v>
      </c>
      <c r="AB769" s="1" t="s">
        <v>17</v>
      </c>
      <c r="AC769" s="2" t="s">
        <v>17</v>
      </c>
      <c r="AD769" s="2" t="s">
        <v>17</v>
      </c>
      <c r="AE769" s="22" t="s">
        <v>17</v>
      </c>
      <c r="AF769" s="23"/>
      <c r="AG769" s="24" t="s">
        <v>17</v>
      </c>
      <c r="AH769" s="24" t="s">
        <v>17</v>
      </c>
      <c r="AI769" s="1" t="s">
        <v>17</v>
      </c>
      <c r="AJ769" s="2" t="s">
        <v>17</v>
      </c>
      <c r="AK769" s="2" t="s">
        <v>17</v>
      </c>
      <c r="AL769" s="22" t="s">
        <v>17</v>
      </c>
      <c r="AM769" s="4" t="s">
        <v>17</v>
      </c>
      <c r="AN769" s="24" t="s">
        <v>17</v>
      </c>
      <c r="AO769" s="24" t="s">
        <v>17</v>
      </c>
      <c r="AP769" s="1" t="s">
        <v>17</v>
      </c>
      <c r="AQ769" s="2" t="s">
        <v>17</v>
      </c>
      <c r="AR769" s="2" t="s">
        <v>17</v>
      </c>
      <c r="AS769" s="3"/>
      <c r="AT769" s="2"/>
      <c r="AU769" s="4"/>
      <c r="AV769" s="2"/>
      <c r="AW769" s="20" t="s">
        <v>17</v>
      </c>
      <c r="AX769" s="20" t="s">
        <v>17</v>
      </c>
      <c r="AY769" s="20" t="s">
        <v>17</v>
      </c>
      <c r="AZ769" s="5"/>
      <c r="BA769" s="6"/>
      <c r="BB769" s="4"/>
      <c r="BC769" s="6"/>
      <c r="BD769" s="6"/>
      <c r="BE769" s="6"/>
      <c r="BF769" s="7"/>
    </row>
    <row r="770" spans="1:58" ht="18" customHeight="1">
      <c r="A770" s="107" t="s">
        <v>15</v>
      </c>
      <c r="B770" s="93" t="s">
        <v>743</v>
      </c>
      <c r="C770" s="42">
        <v>1960.5</v>
      </c>
      <c r="D770" s="42">
        <v>1960.62</v>
      </c>
      <c r="E770" s="42">
        <v>1960.56</v>
      </c>
      <c r="F770" s="42">
        <v>1960.56</v>
      </c>
      <c r="G770" s="43">
        <v>165491.70143942101</v>
      </c>
      <c r="H770" s="43">
        <v>161520.75490728501</v>
      </c>
      <c r="I770" s="27">
        <f t="shared" si="33"/>
        <v>1</v>
      </c>
      <c r="J770" s="27">
        <f t="shared" si="35"/>
        <v>1</v>
      </c>
      <c r="K770" s="27">
        <f t="shared" si="34"/>
        <v>1</v>
      </c>
      <c r="L770" s="25">
        <v>411.90907200000004</v>
      </c>
      <c r="M770" s="25">
        <v>414.50699724841502</v>
      </c>
      <c r="N770" s="38">
        <v>0.48816066280976678</v>
      </c>
      <c r="O770" s="38">
        <v>-9.7062516123760378</v>
      </c>
      <c r="P770" s="71">
        <v>-11.658894263615105</v>
      </c>
      <c r="Q770" s="53">
        <v>42584</v>
      </c>
      <c r="R770" s="23">
        <v>9</v>
      </c>
      <c r="S770" s="24">
        <v>411.90907200000004</v>
      </c>
      <c r="T770" s="24">
        <v>414.50699724841502</v>
      </c>
      <c r="U770" s="1">
        <v>0.48816066280976678</v>
      </c>
      <c r="V770" s="2">
        <v>-9.7062516123760378</v>
      </c>
      <c r="W770" s="2">
        <v>-11.658894263615105</v>
      </c>
      <c r="X770" s="22"/>
      <c r="Y770" s="23"/>
      <c r="Z770" s="24"/>
      <c r="AA770" s="24"/>
      <c r="AB770" s="1"/>
      <c r="AC770" s="2"/>
      <c r="AD770" s="2"/>
      <c r="AE770" s="22" t="s">
        <v>17</v>
      </c>
      <c r="AF770" s="23"/>
      <c r="AG770" s="24" t="s">
        <v>17</v>
      </c>
      <c r="AH770" s="24" t="s">
        <v>17</v>
      </c>
      <c r="AI770" s="1" t="s">
        <v>17</v>
      </c>
      <c r="AJ770" s="2" t="s">
        <v>17</v>
      </c>
      <c r="AK770" s="2" t="s">
        <v>17</v>
      </c>
      <c r="AL770" s="22" t="s">
        <v>17</v>
      </c>
      <c r="AM770" s="4" t="s">
        <v>17</v>
      </c>
      <c r="AN770" s="24" t="s">
        <v>17</v>
      </c>
      <c r="AO770" s="24" t="s">
        <v>17</v>
      </c>
      <c r="AP770" s="1" t="s">
        <v>17</v>
      </c>
      <c r="AQ770" s="2" t="s">
        <v>17</v>
      </c>
      <c r="AR770" s="2" t="s">
        <v>17</v>
      </c>
      <c r="AS770" s="3"/>
      <c r="AT770" s="2"/>
      <c r="AU770" s="4"/>
      <c r="AV770" s="2"/>
      <c r="AW770" s="20" t="s">
        <v>17</v>
      </c>
      <c r="AX770" s="20" t="s">
        <v>17</v>
      </c>
      <c r="AY770" s="20" t="s">
        <v>17</v>
      </c>
      <c r="AZ770" s="5"/>
      <c r="BA770" s="6"/>
      <c r="BB770" s="4"/>
      <c r="BC770" s="6"/>
      <c r="BD770" s="6"/>
      <c r="BE770" s="6"/>
      <c r="BF770" s="7"/>
    </row>
    <row r="771" spans="1:58" ht="18" customHeight="1">
      <c r="A771" s="107" t="s">
        <v>15</v>
      </c>
      <c r="B771" s="93" t="s">
        <v>744</v>
      </c>
      <c r="C771" s="42">
        <v>1962.5</v>
      </c>
      <c r="D771" s="42">
        <v>1962.62</v>
      </c>
      <c r="E771" s="42">
        <v>1962.56</v>
      </c>
      <c r="F771" s="42">
        <v>1962.56</v>
      </c>
      <c r="G771" s="43">
        <v>165960.95789689201</v>
      </c>
      <c r="H771" s="43">
        <v>161970.45398815899</v>
      </c>
      <c r="I771" s="27">
        <f t="shared" si="33"/>
        <v>1</v>
      </c>
      <c r="J771" s="27">
        <f t="shared" si="35"/>
        <v>1</v>
      </c>
      <c r="K771" s="27">
        <f t="shared" si="34"/>
        <v>1</v>
      </c>
      <c r="L771" s="25">
        <v>412.59869049999998</v>
      </c>
      <c r="M771" s="25">
        <v>415.09080578338211</v>
      </c>
      <c r="N771" s="38">
        <v>0.46749586043182134</v>
      </c>
      <c r="O771" s="38">
        <v>-9.6924685972380473</v>
      </c>
      <c r="P771" s="71">
        <v>-11.562452038965333</v>
      </c>
      <c r="Q771" s="53">
        <v>42580</v>
      </c>
      <c r="R771" s="23">
        <v>9</v>
      </c>
      <c r="S771" s="24">
        <v>412.59869049999998</v>
      </c>
      <c r="T771" s="24">
        <v>415.09080578338211</v>
      </c>
      <c r="U771" s="1">
        <v>0.46749586043182134</v>
      </c>
      <c r="V771" s="2">
        <v>-9.6924685972380473</v>
      </c>
      <c r="W771" s="2">
        <v>-11.562452038965333</v>
      </c>
      <c r="X771" s="22" t="s">
        <v>17</v>
      </c>
      <c r="Y771" s="23"/>
      <c r="Z771" s="24" t="s">
        <v>17</v>
      </c>
      <c r="AA771" s="24" t="s">
        <v>17</v>
      </c>
      <c r="AB771" s="1" t="s">
        <v>17</v>
      </c>
      <c r="AC771" s="2" t="s">
        <v>17</v>
      </c>
      <c r="AD771" s="2" t="s">
        <v>17</v>
      </c>
      <c r="AE771" s="22" t="s">
        <v>17</v>
      </c>
      <c r="AF771" s="23"/>
      <c r="AG771" s="24" t="s">
        <v>17</v>
      </c>
      <c r="AH771" s="24" t="s">
        <v>17</v>
      </c>
      <c r="AI771" s="1" t="s">
        <v>17</v>
      </c>
      <c r="AJ771" s="2" t="s">
        <v>17</v>
      </c>
      <c r="AK771" s="2" t="s">
        <v>17</v>
      </c>
      <c r="AL771" s="22" t="s">
        <v>17</v>
      </c>
      <c r="AM771" s="4" t="s">
        <v>17</v>
      </c>
      <c r="AN771" s="24" t="s">
        <v>17</v>
      </c>
      <c r="AO771" s="24" t="s">
        <v>17</v>
      </c>
      <c r="AP771" s="1" t="s">
        <v>17</v>
      </c>
      <c r="AQ771" s="2" t="s">
        <v>17</v>
      </c>
      <c r="AR771" s="2" t="s">
        <v>17</v>
      </c>
      <c r="AS771" s="3"/>
      <c r="AT771" s="2"/>
      <c r="AU771" s="4"/>
      <c r="AV771" s="2"/>
      <c r="AW771" s="20" t="s">
        <v>17</v>
      </c>
      <c r="AX771" s="20" t="s">
        <v>17</v>
      </c>
      <c r="AY771" s="20" t="s">
        <v>17</v>
      </c>
      <c r="AZ771" s="5"/>
      <c r="BA771" s="6"/>
      <c r="BB771" s="4"/>
      <c r="BC771" s="6"/>
      <c r="BD771" s="6"/>
      <c r="BE771" s="6"/>
      <c r="BF771" s="7"/>
    </row>
    <row r="772" spans="1:58" ht="18" customHeight="1">
      <c r="A772" s="107" t="s">
        <v>15</v>
      </c>
      <c r="B772" s="93" t="s">
        <v>745</v>
      </c>
      <c r="C772" s="42">
        <v>1965.5</v>
      </c>
      <c r="D772" s="42">
        <v>1965.62</v>
      </c>
      <c r="E772" s="42">
        <v>1965.56</v>
      </c>
      <c r="F772" s="42">
        <v>1965.56</v>
      </c>
      <c r="G772" s="43">
        <v>166665.51871728699</v>
      </c>
      <c r="H772" s="43">
        <v>162642.04287615101</v>
      </c>
      <c r="I772" s="27">
        <f t="shared" si="33"/>
        <v>1</v>
      </c>
      <c r="J772" s="27">
        <f t="shared" si="35"/>
        <v>1</v>
      </c>
      <c r="K772" s="27">
        <f t="shared" si="34"/>
        <v>1</v>
      </c>
      <c r="L772" s="25">
        <v>414.59588500000001</v>
      </c>
      <c r="M772" s="25">
        <v>417.17492373241282</v>
      </c>
      <c r="N772" s="38">
        <v>0.48147125473940733</v>
      </c>
      <c r="O772" s="38">
        <v>-9.069507094723761</v>
      </c>
      <c r="P772" s="71">
        <v>-10.99539211368139</v>
      </c>
      <c r="Q772" s="53">
        <v>42537</v>
      </c>
      <c r="R772" s="23">
        <v>9</v>
      </c>
      <c r="S772" s="24">
        <v>414.59588500000001</v>
      </c>
      <c r="T772" s="24">
        <v>417.17492373241282</v>
      </c>
      <c r="U772" s="1">
        <v>0.48147125473940733</v>
      </c>
      <c r="V772" s="2">
        <v>-9.069507094723761</v>
      </c>
      <c r="W772" s="2">
        <v>-10.99539211368139</v>
      </c>
      <c r="X772" s="22" t="s">
        <v>17</v>
      </c>
      <c r="Y772" s="23"/>
      <c r="Z772" s="24" t="s">
        <v>17</v>
      </c>
      <c r="AA772" s="24" t="s">
        <v>17</v>
      </c>
      <c r="AB772" s="1" t="s">
        <v>17</v>
      </c>
      <c r="AC772" s="2" t="s">
        <v>17</v>
      </c>
      <c r="AD772" s="2" t="s">
        <v>17</v>
      </c>
      <c r="AE772" s="22" t="s">
        <v>17</v>
      </c>
      <c r="AF772" s="23"/>
      <c r="AG772" s="24" t="s">
        <v>17</v>
      </c>
      <c r="AH772" s="24" t="s">
        <v>17</v>
      </c>
      <c r="AI772" s="1" t="s">
        <v>17</v>
      </c>
      <c r="AJ772" s="2" t="s">
        <v>17</v>
      </c>
      <c r="AK772" s="2" t="s">
        <v>17</v>
      </c>
      <c r="AL772" s="22" t="s">
        <v>17</v>
      </c>
      <c r="AM772" s="4" t="s">
        <v>17</v>
      </c>
      <c r="AN772" s="24" t="s">
        <v>17</v>
      </c>
      <c r="AO772" s="24" t="s">
        <v>17</v>
      </c>
      <c r="AP772" s="1" t="s">
        <v>17</v>
      </c>
      <c r="AQ772" s="2" t="s">
        <v>17</v>
      </c>
      <c r="AR772" s="2" t="s">
        <v>17</v>
      </c>
      <c r="AS772" s="3"/>
      <c r="AT772" s="2"/>
      <c r="AU772" s="4"/>
      <c r="AV772" s="2"/>
      <c r="AW772" s="20" t="s">
        <v>17</v>
      </c>
      <c r="AX772" s="20" t="s">
        <v>17</v>
      </c>
      <c r="AY772" s="20" t="s">
        <v>17</v>
      </c>
      <c r="AZ772" s="5"/>
      <c r="BA772" s="6"/>
      <c r="BB772" s="4"/>
      <c r="BC772" s="6"/>
      <c r="BD772" s="6"/>
      <c r="BE772" s="6"/>
      <c r="BF772" s="7"/>
    </row>
    <row r="773" spans="1:58" ht="18" customHeight="1">
      <c r="A773" s="107" t="s">
        <v>15</v>
      </c>
      <c r="B773" s="93" t="s">
        <v>746</v>
      </c>
      <c r="C773" s="42">
        <v>1967.5</v>
      </c>
      <c r="D773" s="42">
        <v>1967.62</v>
      </c>
      <c r="E773" s="42">
        <v>1967.56</v>
      </c>
      <c r="F773" s="42">
        <v>1967.56</v>
      </c>
      <c r="G773" s="43">
        <v>167169.395339279</v>
      </c>
      <c r="H773" s="43">
        <v>163122.99373296701</v>
      </c>
      <c r="I773" s="27">
        <f t="shared" si="33"/>
        <v>1</v>
      </c>
      <c r="J773" s="27">
        <f t="shared" si="35"/>
        <v>1</v>
      </c>
      <c r="K773" s="27">
        <f t="shared" si="34"/>
        <v>1</v>
      </c>
      <c r="L773" s="25">
        <v>428.01746049999997</v>
      </c>
      <c r="M773" s="25">
        <v>430.67904213069818</v>
      </c>
      <c r="N773" s="38">
        <v>0.48129992159018364</v>
      </c>
      <c r="O773" s="38">
        <v>-9.5099003768339685</v>
      </c>
      <c r="P773" s="71">
        <v>-11.435100063194703</v>
      </c>
      <c r="Q773" s="53">
        <v>42580</v>
      </c>
      <c r="R773" s="23">
        <v>9</v>
      </c>
      <c r="S773" s="24">
        <v>428.01746049999997</v>
      </c>
      <c r="T773" s="24">
        <v>430.67904213069818</v>
      </c>
      <c r="U773" s="1">
        <v>0.48129992159018364</v>
      </c>
      <c r="V773" s="2">
        <v>-9.5099003768339685</v>
      </c>
      <c r="W773" s="2">
        <v>-11.435100063194703</v>
      </c>
      <c r="X773" s="22" t="s">
        <v>17</v>
      </c>
      <c r="Y773" s="23"/>
      <c r="Z773" s="24" t="s">
        <v>17</v>
      </c>
      <c r="AA773" s="24" t="s">
        <v>17</v>
      </c>
      <c r="AB773" s="1" t="s">
        <v>17</v>
      </c>
      <c r="AC773" s="2" t="s">
        <v>17</v>
      </c>
      <c r="AD773" s="2" t="s">
        <v>17</v>
      </c>
      <c r="AE773" s="22" t="s">
        <v>17</v>
      </c>
      <c r="AF773" s="23"/>
      <c r="AG773" s="24" t="s">
        <v>17</v>
      </c>
      <c r="AH773" s="24" t="s">
        <v>17</v>
      </c>
      <c r="AI773" s="1" t="s">
        <v>17</v>
      </c>
      <c r="AJ773" s="2" t="s">
        <v>17</v>
      </c>
      <c r="AK773" s="2" t="s">
        <v>17</v>
      </c>
      <c r="AL773" s="22" t="s">
        <v>17</v>
      </c>
      <c r="AM773" s="4" t="s">
        <v>17</v>
      </c>
      <c r="AN773" s="24" t="s">
        <v>17</v>
      </c>
      <c r="AO773" s="24" t="s">
        <v>17</v>
      </c>
      <c r="AP773" s="1" t="s">
        <v>17</v>
      </c>
      <c r="AQ773" s="2" t="s">
        <v>17</v>
      </c>
      <c r="AR773" s="2" t="s">
        <v>17</v>
      </c>
      <c r="AS773" s="3"/>
      <c r="AT773" s="2"/>
      <c r="AU773" s="4"/>
      <c r="AV773" s="2"/>
      <c r="AW773" s="20" t="s">
        <v>17</v>
      </c>
      <c r="AX773" s="20" t="s">
        <v>17</v>
      </c>
      <c r="AY773" s="20" t="s">
        <v>17</v>
      </c>
      <c r="AZ773" s="5"/>
      <c r="BA773" s="6"/>
      <c r="BB773" s="4"/>
      <c r="BC773" s="6"/>
      <c r="BD773" s="6"/>
      <c r="BE773" s="6"/>
      <c r="BF773" s="7"/>
    </row>
    <row r="774" spans="1:58" ht="18" customHeight="1">
      <c r="A774" s="107" t="s">
        <v>15</v>
      </c>
      <c r="B774" s="93" t="s">
        <v>747</v>
      </c>
      <c r="C774" s="42">
        <v>1970.04</v>
      </c>
      <c r="D774" s="42">
        <v>1970.12</v>
      </c>
      <c r="E774" s="42">
        <v>1970.08</v>
      </c>
      <c r="F774" s="42">
        <v>1970.08</v>
      </c>
      <c r="G774" s="43">
        <v>167740.386237545</v>
      </c>
      <c r="H774" s="43">
        <v>163677.27916412699</v>
      </c>
      <c r="I774" s="27">
        <f t="shared" si="33"/>
        <v>1</v>
      </c>
      <c r="J774" s="27">
        <f t="shared" si="35"/>
        <v>1</v>
      </c>
      <c r="K774" s="27">
        <f t="shared" si="34"/>
        <v>1</v>
      </c>
      <c r="L774" s="25">
        <v>457.91234700000001</v>
      </c>
      <c r="M774" s="25">
        <v>460.81262937489737</v>
      </c>
      <c r="N774" s="38">
        <v>0.49022495559958301</v>
      </c>
      <c r="O774" s="38">
        <v>-8.6518820743821667</v>
      </c>
      <c r="P774" s="71">
        <v>-10.612781896780499</v>
      </c>
      <c r="Q774" s="53">
        <v>42584</v>
      </c>
      <c r="R774" s="23">
        <v>9</v>
      </c>
      <c r="S774" s="24">
        <v>457.91234700000001</v>
      </c>
      <c r="T774" s="24">
        <v>460.81262937489737</v>
      </c>
      <c r="U774" s="1">
        <v>0.49022495559958301</v>
      </c>
      <c r="V774" s="2">
        <v>-8.6518820743821667</v>
      </c>
      <c r="W774" s="2">
        <v>-10.612781896780499</v>
      </c>
      <c r="X774" s="22" t="s">
        <v>17</v>
      </c>
      <c r="Y774" s="23"/>
      <c r="Z774" s="24" t="s">
        <v>17</v>
      </c>
      <c r="AA774" s="24" t="s">
        <v>17</v>
      </c>
      <c r="AB774" s="1" t="s">
        <v>17</v>
      </c>
      <c r="AC774" s="2" t="s">
        <v>17</v>
      </c>
      <c r="AD774" s="2" t="s">
        <v>17</v>
      </c>
      <c r="AE774" s="22" t="s">
        <v>17</v>
      </c>
      <c r="AF774" s="23"/>
      <c r="AG774" s="24" t="s">
        <v>17</v>
      </c>
      <c r="AH774" s="24" t="s">
        <v>17</v>
      </c>
      <c r="AI774" s="1" t="s">
        <v>17</v>
      </c>
      <c r="AJ774" s="2" t="s">
        <v>17</v>
      </c>
      <c r="AK774" s="2" t="s">
        <v>17</v>
      </c>
      <c r="AL774" s="22" t="s">
        <v>17</v>
      </c>
      <c r="AM774" s="4" t="s">
        <v>17</v>
      </c>
      <c r="AN774" s="24" t="s">
        <v>17</v>
      </c>
      <c r="AO774" s="24" t="s">
        <v>17</v>
      </c>
      <c r="AP774" s="1" t="s">
        <v>17</v>
      </c>
      <c r="AQ774" s="2" t="s">
        <v>17</v>
      </c>
      <c r="AR774" s="2" t="s">
        <v>17</v>
      </c>
      <c r="AS774" s="3"/>
      <c r="AT774" s="2"/>
      <c r="AU774" s="4"/>
      <c r="AV774" s="2"/>
      <c r="AW774" s="20" t="s">
        <v>17</v>
      </c>
      <c r="AX774" s="20" t="s">
        <v>17</v>
      </c>
      <c r="AY774" s="20" t="s">
        <v>17</v>
      </c>
      <c r="AZ774" s="5"/>
      <c r="BA774" s="6"/>
      <c r="BB774" s="4"/>
      <c r="BC774" s="6"/>
      <c r="BD774" s="6"/>
      <c r="BE774" s="6"/>
      <c r="BF774" s="7"/>
    </row>
    <row r="775" spans="1:58" ht="18" customHeight="1">
      <c r="A775" s="107" t="s">
        <v>15</v>
      </c>
      <c r="B775" s="93" t="s">
        <v>748</v>
      </c>
      <c r="C775" s="42">
        <v>1972</v>
      </c>
      <c r="D775" s="42">
        <v>1972.12</v>
      </c>
      <c r="E775" s="42">
        <v>1972.06</v>
      </c>
      <c r="F775" s="42">
        <v>1972.06</v>
      </c>
      <c r="G775" s="43">
        <v>168168.823291754</v>
      </c>
      <c r="H775" s="43">
        <v>164082.29356048701</v>
      </c>
      <c r="I775" s="27">
        <f t="shared" si="33"/>
        <v>1</v>
      </c>
      <c r="J775" s="27">
        <f t="shared" si="35"/>
        <v>1</v>
      </c>
      <c r="K775" s="27">
        <f t="shared" si="34"/>
        <v>1</v>
      </c>
      <c r="L775" s="25">
        <v>422.71077149999996</v>
      </c>
      <c r="M775" s="25">
        <v>425.38594661197641</v>
      </c>
      <c r="N775" s="38">
        <v>0.48983113554701418</v>
      </c>
      <c r="O775" s="38">
        <v>-8.1508528288452009</v>
      </c>
      <c r="P775" s="71">
        <v>-10.110177371033258</v>
      </c>
      <c r="Q775" s="53">
        <v>42537</v>
      </c>
      <c r="R775" s="23">
        <v>9</v>
      </c>
      <c r="S775" s="24">
        <v>422.71077149999996</v>
      </c>
      <c r="T775" s="24">
        <v>425.38594661197641</v>
      </c>
      <c r="U775" s="1">
        <v>0.48983113554701418</v>
      </c>
      <c r="V775" s="2">
        <v>-8.1508528288452009</v>
      </c>
      <c r="W775" s="2">
        <v>-10.110177371033258</v>
      </c>
      <c r="X775" s="22" t="s">
        <v>17</v>
      </c>
      <c r="Y775" s="23"/>
      <c r="Z775" s="24" t="s">
        <v>17</v>
      </c>
      <c r="AA775" s="24" t="s">
        <v>17</v>
      </c>
      <c r="AB775" s="1" t="s">
        <v>17</v>
      </c>
      <c r="AC775" s="2" t="s">
        <v>17</v>
      </c>
      <c r="AD775" s="2" t="s">
        <v>17</v>
      </c>
      <c r="AE775" s="22" t="s">
        <v>17</v>
      </c>
      <c r="AF775" s="23"/>
      <c r="AG775" s="24" t="s">
        <v>17</v>
      </c>
      <c r="AH775" s="24" t="s">
        <v>17</v>
      </c>
      <c r="AI775" s="1" t="s">
        <v>17</v>
      </c>
      <c r="AJ775" s="2" t="s">
        <v>17</v>
      </c>
      <c r="AK775" s="2" t="s">
        <v>17</v>
      </c>
      <c r="AL775" s="22" t="s">
        <v>17</v>
      </c>
      <c r="AM775" s="4" t="s">
        <v>17</v>
      </c>
      <c r="AN775" s="24" t="s">
        <v>17</v>
      </c>
      <c r="AO775" s="24" t="s">
        <v>17</v>
      </c>
      <c r="AP775" s="1" t="s">
        <v>17</v>
      </c>
      <c r="AQ775" s="2" t="s">
        <v>17</v>
      </c>
      <c r="AR775" s="2" t="s">
        <v>17</v>
      </c>
      <c r="AS775" s="3"/>
      <c r="AT775" s="2"/>
      <c r="AU775" s="4"/>
      <c r="AV775" s="2"/>
      <c r="AW775" s="20" t="s">
        <v>17</v>
      </c>
      <c r="AX775" s="20" t="s">
        <v>17</v>
      </c>
      <c r="AY775" s="20" t="s">
        <v>17</v>
      </c>
      <c r="AZ775" s="5"/>
      <c r="BA775" s="6"/>
      <c r="BB775" s="4"/>
      <c r="BC775" s="6"/>
      <c r="BD775" s="6"/>
      <c r="BE775" s="6"/>
      <c r="BF775" s="7"/>
    </row>
    <row r="776" spans="1:58" ht="18" customHeight="1">
      <c r="A776" s="107" t="s">
        <v>15</v>
      </c>
      <c r="B776" s="113" t="s">
        <v>749</v>
      </c>
      <c r="C776" s="42">
        <v>1974</v>
      </c>
      <c r="D776" s="42">
        <v>1974.12</v>
      </c>
      <c r="E776" s="42">
        <v>1974.06</v>
      </c>
      <c r="F776" s="42">
        <v>1974.06</v>
      </c>
      <c r="G776" s="43">
        <v>168594.73841222399</v>
      </c>
      <c r="H776" s="43">
        <v>164527.56420573001</v>
      </c>
      <c r="I776" s="27">
        <f t="shared" si="33"/>
        <v>1</v>
      </c>
      <c r="J776" s="27">
        <f t="shared" si="35"/>
        <v>4</v>
      </c>
      <c r="K776" s="27">
        <f t="shared" si="34"/>
        <v>4</v>
      </c>
      <c r="L776" s="25">
        <v>419.82184549999999</v>
      </c>
      <c r="M776" s="25">
        <v>422.46265252603706</v>
      </c>
      <c r="N776" s="38">
        <v>0.48536485551292641</v>
      </c>
      <c r="O776" s="38">
        <v>-8.3667011400759002</v>
      </c>
      <c r="P776" s="71">
        <v>-10.308160562127604</v>
      </c>
      <c r="Q776" s="53">
        <v>42753</v>
      </c>
      <c r="R776" s="23">
        <v>9</v>
      </c>
      <c r="S776" s="24" t="s">
        <v>17</v>
      </c>
      <c r="T776" s="24"/>
      <c r="U776" s="1">
        <v>0.48775055984107141</v>
      </c>
      <c r="V776" s="2">
        <v>-8.4434178342714929</v>
      </c>
      <c r="W776" s="2">
        <v>-10.394420073635779</v>
      </c>
      <c r="X776" s="22">
        <v>42753</v>
      </c>
      <c r="Y776" s="23">
        <v>9</v>
      </c>
      <c r="Z776" s="24"/>
      <c r="AA776" s="24"/>
      <c r="AB776" s="1">
        <v>0.483430679016017</v>
      </c>
      <c r="AC776" s="2">
        <v>-8.6049311746444488</v>
      </c>
      <c r="AD776" s="2">
        <v>-10.538653890708517</v>
      </c>
      <c r="AE776" s="22">
        <v>42753</v>
      </c>
      <c r="AF776" s="23">
        <v>9</v>
      </c>
      <c r="AG776" s="24"/>
      <c r="AH776" s="24"/>
      <c r="AI776" s="1">
        <v>0.48686563320021747</v>
      </c>
      <c r="AJ776" s="2">
        <v>-8.1637511047125688</v>
      </c>
      <c r="AK776" s="2">
        <v>-10.111213637513439</v>
      </c>
      <c r="AL776" s="22">
        <v>42753</v>
      </c>
      <c r="AM776" s="23">
        <v>9</v>
      </c>
      <c r="AN776" s="31"/>
      <c r="AO776" s="24"/>
      <c r="AP776" s="1">
        <v>0.48341254999439975</v>
      </c>
      <c r="AQ776" s="2">
        <v>-8.2547044466750883</v>
      </c>
      <c r="AR776" s="2">
        <v>-10.188354646652687</v>
      </c>
      <c r="AS776" s="22">
        <v>43161</v>
      </c>
      <c r="AT776" s="23">
        <v>3</v>
      </c>
      <c r="AU776" s="24">
        <v>419.82184549999999</v>
      </c>
      <c r="AV776" s="24">
        <v>422.46265252603706</v>
      </c>
      <c r="AW776" s="20"/>
      <c r="AX776" s="20"/>
      <c r="AY776" s="20"/>
      <c r="AZ776" s="5"/>
      <c r="BA776" s="6"/>
      <c r="BB776" s="4"/>
      <c r="BC776" s="6"/>
      <c r="BD776" s="6"/>
      <c r="BE776" s="6"/>
      <c r="BF776" s="7"/>
    </row>
    <row r="777" spans="1:58" ht="18" customHeight="1">
      <c r="A777" s="107" t="s">
        <v>15</v>
      </c>
      <c r="B777" s="93" t="s">
        <v>750</v>
      </c>
      <c r="C777" s="42">
        <v>1976.88</v>
      </c>
      <c r="D777" s="42">
        <v>1977</v>
      </c>
      <c r="E777" s="42">
        <v>1976.94</v>
      </c>
      <c r="F777" s="42">
        <v>1976.94</v>
      </c>
      <c r="G777" s="43">
        <v>169169.453986662</v>
      </c>
      <c r="H777" s="43">
        <v>165135.78639034601</v>
      </c>
      <c r="I777" s="27">
        <f t="shared" si="33"/>
        <v>1</v>
      </c>
      <c r="J777" s="27">
        <f t="shared" si="35"/>
        <v>1</v>
      </c>
      <c r="K777" s="27">
        <f t="shared" si="34"/>
        <v>1</v>
      </c>
      <c r="L777" s="25">
        <v>398.44273250000003</v>
      </c>
      <c r="M777" s="25">
        <v>400.94846314744478</v>
      </c>
      <c r="N777" s="38">
        <v>0.4867500013348014</v>
      </c>
      <c r="O777" s="38">
        <v>-8.0525357427957402</v>
      </c>
      <c r="P777" s="71">
        <v>-9.9995357481349458</v>
      </c>
      <c r="Q777" s="53">
        <v>43215</v>
      </c>
      <c r="R777" s="23">
        <v>10</v>
      </c>
      <c r="S777" s="24">
        <v>398.44273250000003</v>
      </c>
      <c r="T777" s="24">
        <v>400.94846314744478</v>
      </c>
      <c r="U777" s="1">
        <v>0.4867500013348014</v>
      </c>
      <c r="V777" s="2">
        <v>-8.0525357427957402</v>
      </c>
      <c r="W777" s="2">
        <v>-9.9995357481349458</v>
      </c>
      <c r="X777" s="22" t="s">
        <v>17</v>
      </c>
      <c r="Y777" s="23"/>
      <c r="Z777" s="24" t="s">
        <v>17</v>
      </c>
      <c r="AA777" s="24" t="s">
        <v>17</v>
      </c>
      <c r="AB777" s="1" t="s">
        <v>17</v>
      </c>
      <c r="AC777" s="2" t="s">
        <v>17</v>
      </c>
      <c r="AD777" s="2" t="s">
        <v>17</v>
      </c>
      <c r="AE777" s="22" t="s">
        <v>17</v>
      </c>
      <c r="AF777" s="23"/>
      <c r="AG777" s="24" t="s">
        <v>17</v>
      </c>
      <c r="AH777" s="24" t="s">
        <v>17</v>
      </c>
      <c r="AI777" s="1" t="s">
        <v>17</v>
      </c>
      <c r="AJ777" s="2" t="s">
        <v>17</v>
      </c>
      <c r="AK777" s="2" t="s">
        <v>17</v>
      </c>
      <c r="AL777" s="22" t="s">
        <v>17</v>
      </c>
      <c r="AM777" s="4" t="s">
        <v>17</v>
      </c>
      <c r="AN777" s="24" t="s">
        <v>17</v>
      </c>
      <c r="AO777" s="24" t="s">
        <v>17</v>
      </c>
      <c r="AP777" s="1" t="s">
        <v>17</v>
      </c>
      <c r="AQ777" s="2" t="s">
        <v>17</v>
      </c>
      <c r="AR777" s="2" t="s">
        <v>17</v>
      </c>
      <c r="AS777" s="3"/>
      <c r="AT777" s="2"/>
      <c r="AU777" s="4"/>
      <c r="AV777" s="2"/>
      <c r="AW777" s="20" t="s">
        <v>17</v>
      </c>
      <c r="AX777" s="20" t="s">
        <v>17</v>
      </c>
      <c r="AY777" s="20" t="s">
        <v>17</v>
      </c>
      <c r="AZ777" s="5"/>
      <c r="BA777" s="6"/>
      <c r="BB777" s="4"/>
      <c r="BC777" s="6"/>
      <c r="BD777" s="6"/>
      <c r="BE777" s="6"/>
      <c r="BF777" s="7"/>
    </row>
    <row r="778" spans="1:58" ht="18" customHeight="1">
      <c r="A778" s="107" t="s">
        <v>15</v>
      </c>
      <c r="B778" s="93" t="s">
        <v>751</v>
      </c>
      <c r="C778" s="42">
        <v>1979</v>
      </c>
      <c r="D778" s="42">
        <v>1979.12</v>
      </c>
      <c r="E778" s="42">
        <v>1979.06</v>
      </c>
      <c r="F778" s="42">
        <v>1979.06</v>
      </c>
      <c r="G778" s="43">
        <v>169593.180884998</v>
      </c>
      <c r="H778" s="43">
        <v>165645.19860202199</v>
      </c>
      <c r="I778" s="27">
        <f t="shared" si="33"/>
        <v>1</v>
      </c>
      <c r="J778" s="27">
        <f t="shared" si="35"/>
        <v>1</v>
      </c>
      <c r="K778" s="27">
        <f t="shared" si="34"/>
        <v>1</v>
      </c>
      <c r="L778" s="25">
        <v>397.68526399999996</v>
      </c>
      <c r="M778" s="25">
        <v>400.15706630595605</v>
      </c>
      <c r="N778" s="38">
        <v>0.48343618593449378</v>
      </c>
      <c r="O778" s="38">
        <v>-7.6404021012024259</v>
      </c>
      <c r="P778" s="71">
        <v>-9.574146844940401</v>
      </c>
      <c r="Q778" s="53">
        <v>44222</v>
      </c>
      <c r="R778" s="23">
        <v>10</v>
      </c>
      <c r="S778" s="24">
        <v>397.68526399999996</v>
      </c>
      <c r="T778" s="24">
        <v>400.15706630595605</v>
      </c>
      <c r="U778" s="1">
        <v>0.48343618593449378</v>
      </c>
      <c r="V778" s="2">
        <v>-7.6404021012024259</v>
      </c>
      <c r="W778" s="2">
        <v>-9.574146844940401</v>
      </c>
      <c r="X778" s="22" t="s">
        <v>17</v>
      </c>
      <c r="Y778" s="23"/>
      <c r="Z778" s="24" t="s">
        <v>17</v>
      </c>
      <c r="AA778" s="24"/>
      <c r="AB778" s="1"/>
      <c r="AC778" s="2"/>
      <c r="AD778" s="2"/>
      <c r="AE778" s="22" t="s">
        <v>17</v>
      </c>
      <c r="AF778" s="23"/>
      <c r="AG778" s="24" t="s">
        <v>17</v>
      </c>
      <c r="AH778" s="24"/>
      <c r="AI778" s="1"/>
      <c r="AJ778" s="2"/>
      <c r="AK778" s="2"/>
      <c r="AL778" s="22" t="s">
        <v>17</v>
      </c>
      <c r="AM778" s="4" t="s">
        <v>17</v>
      </c>
      <c r="AN778" s="24"/>
      <c r="AO778" s="24"/>
      <c r="AP778" s="1"/>
      <c r="AQ778" s="2"/>
      <c r="AR778" s="2"/>
      <c r="AS778" s="3"/>
      <c r="AT778" s="2"/>
      <c r="AU778" s="4"/>
      <c r="AV778" s="2"/>
      <c r="AW778" s="20"/>
      <c r="AX778" s="20"/>
      <c r="AY778" s="20"/>
      <c r="AZ778" s="5"/>
      <c r="BA778" s="6"/>
      <c r="BB778" s="4"/>
      <c r="BC778" s="6"/>
      <c r="BD778" s="6"/>
      <c r="BE778" s="6"/>
      <c r="BF778" s="7"/>
    </row>
    <row r="779" spans="1:58" ht="18" customHeight="1">
      <c r="A779" s="106" t="s">
        <v>15</v>
      </c>
      <c r="B779" s="93" t="s">
        <v>752</v>
      </c>
      <c r="C779" s="28">
        <v>1982</v>
      </c>
      <c r="D779" s="28">
        <v>1982.12</v>
      </c>
      <c r="E779" s="28">
        <v>1982.06</v>
      </c>
      <c r="F779" s="28">
        <v>1982.06</v>
      </c>
      <c r="G779" s="29">
        <v>170183.83097441899</v>
      </c>
      <c r="H779" s="29">
        <v>166376.39897004</v>
      </c>
      <c r="I779" s="27">
        <f t="shared" si="33"/>
        <v>1</v>
      </c>
      <c r="J779" s="27">
        <f t="shared" si="35"/>
        <v>1</v>
      </c>
      <c r="K779" s="27">
        <f t="shared" si="34"/>
        <v>1</v>
      </c>
      <c r="L779" s="25">
        <v>414.40986399999997</v>
      </c>
      <c r="M779" s="25">
        <v>416.92829047485588</v>
      </c>
      <c r="N779" s="38">
        <v>0.47036681963885663</v>
      </c>
      <c r="O779" s="38">
        <v>-6.5563092929232791</v>
      </c>
      <c r="P779" s="71">
        <v>-8.4377765714787056</v>
      </c>
      <c r="Q779" s="53">
        <v>43510</v>
      </c>
      <c r="R779" s="23">
        <v>9</v>
      </c>
      <c r="S779" s="24">
        <v>414.40986399999997</v>
      </c>
      <c r="T779" s="24">
        <v>416.92829047485588</v>
      </c>
      <c r="U779" s="1">
        <v>0.47036681963885663</v>
      </c>
      <c r="V779" s="2">
        <v>-6.5563092929232791</v>
      </c>
      <c r="W779" s="2">
        <v>-8.4377765714787056</v>
      </c>
      <c r="X779" s="22" t="s">
        <v>17</v>
      </c>
      <c r="Y779" s="23"/>
      <c r="Z779" s="24" t="s">
        <v>17</v>
      </c>
      <c r="AA779" s="24" t="s">
        <v>17</v>
      </c>
      <c r="AB779" s="1" t="s">
        <v>17</v>
      </c>
      <c r="AC779" s="2" t="s">
        <v>17</v>
      </c>
      <c r="AD779" s="2" t="s">
        <v>17</v>
      </c>
      <c r="AE779" s="22" t="s">
        <v>17</v>
      </c>
      <c r="AF779" s="23"/>
      <c r="AG779" s="24" t="s">
        <v>17</v>
      </c>
      <c r="AH779" s="24" t="s">
        <v>17</v>
      </c>
      <c r="AI779" s="1" t="s">
        <v>17</v>
      </c>
      <c r="AJ779" s="2" t="s">
        <v>17</v>
      </c>
      <c r="AK779" s="2" t="s">
        <v>17</v>
      </c>
      <c r="AL779" s="22" t="s">
        <v>17</v>
      </c>
      <c r="AM779" s="4" t="s">
        <v>17</v>
      </c>
      <c r="AN779" s="24" t="s">
        <v>17</v>
      </c>
      <c r="AO779" s="24" t="s">
        <v>17</v>
      </c>
      <c r="AP779" s="1" t="s">
        <v>17</v>
      </c>
      <c r="AQ779" s="2" t="s">
        <v>17</v>
      </c>
      <c r="AR779" s="2" t="s">
        <v>17</v>
      </c>
      <c r="AS779" s="3"/>
      <c r="AT779" s="2"/>
      <c r="AU779" s="4"/>
      <c r="AV779" s="2"/>
      <c r="AW779" s="20" t="s">
        <v>17</v>
      </c>
      <c r="AX779" s="20" t="s">
        <v>17</v>
      </c>
      <c r="AY779" s="20" t="s">
        <v>17</v>
      </c>
      <c r="AZ779" s="5"/>
      <c r="BA779" s="6"/>
      <c r="BB779" s="4"/>
      <c r="BC779" s="6"/>
      <c r="BD779" s="6"/>
      <c r="BE779" s="6"/>
      <c r="BF779" s="7"/>
    </row>
    <row r="780" spans="1:58" ht="18" customHeight="1">
      <c r="A780" s="107" t="s">
        <v>15</v>
      </c>
      <c r="B780" s="111" t="s">
        <v>833</v>
      </c>
      <c r="C780" s="6">
        <v>1984</v>
      </c>
      <c r="D780" s="6">
        <v>1984.12</v>
      </c>
      <c r="E780" s="6">
        <v>1984.06</v>
      </c>
      <c r="F780" s="6">
        <v>1984.06</v>
      </c>
      <c r="G780" s="43">
        <v>170619.10983386301</v>
      </c>
      <c r="H780" s="43">
        <v>166882.333954387</v>
      </c>
      <c r="I780" s="27">
        <f t="shared" si="33"/>
        <v>1</v>
      </c>
      <c r="J780" s="27">
        <f t="shared" si="35"/>
        <v>1</v>
      </c>
      <c r="K780" s="27">
        <f t="shared" si="34"/>
        <v>1</v>
      </c>
      <c r="L780" s="25">
        <v>426.09781750000002</v>
      </c>
      <c r="M780" s="25">
        <v>428.71195181272515</v>
      </c>
      <c r="N780" s="38">
        <v>0.47484959752441824</v>
      </c>
      <c r="O780" s="38">
        <v>-6.6289036365224652</v>
      </c>
      <c r="P780" s="71">
        <v>-8.528302026620139</v>
      </c>
      <c r="Q780" s="53">
        <v>44280</v>
      </c>
      <c r="R780" s="23">
        <v>10</v>
      </c>
      <c r="S780" s="30">
        <v>426.09781750000002</v>
      </c>
      <c r="T780" s="24">
        <v>428.71195181272515</v>
      </c>
      <c r="U780" s="1">
        <v>0.47484959752441824</v>
      </c>
      <c r="V780" s="2">
        <v>-6.6289036365224652</v>
      </c>
      <c r="W780" s="2">
        <v>-8.528302026620139</v>
      </c>
      <c r="X780" s="3"/>
      <c r="Y780" s="2"/>
      <c r="Z780" s="47"/>
      <c r="AA780" s="6"/>
      <c r="AB780" s="6"/>
      <c r="AC780" s="6"/>
      <c r="AD780" s="48"/>
      <c r="AE780" s="3"/>
      <c r="AF780" s="2"/>
      <c r="AG780" s="47"/>
      <c r="AH780" s="6"/>
      <c r="AI780" s="6"/>
      <c r="AJ780" s="6"/>
      <c r="AK780" s="2"/>
      <c r="AL780" s="3"/>
      <c r="AM780" s="2"/>
      <c r="AN780" s="2"/>
      <c r="AO780" s="2"/>
      <c r="AP780" s="2"/>
      <c r="AQ780" s="6"/>
      <c r="AR780" s="6"/>
      <c r="AS780" s="3"/>
      <c r="AT780" s="2"/>
      <c r="AU780" s="6"/>
      <c r="AV780" s="6"/>
      <c r="AW780" s="6"/>
      <c r="AX780" s="6"/>
      <c r="AY780" s="6"/>
      <c r="AZ780" s="3"/>
      <c r="BA780" s="2"/>
      <c r="BB780" s="6"/>
      <c r="BC780" s="6"/>
      <c r="BD780" s="6"/>
      <c r="BE780" s="6"/>
      <c r="BF780" s="56"/>
    </row>
    <row r="781" spans="1:58" ht="18" customHeight="1">
      <c r="A781" s="106" t="s">
        <v>15</v>
      </c>
      <c r="B781" s="93" t="s">
        <v>753</v>
      </c>
      <c r="C781" s="28">
        <v>1986.5</v>
      </c>
      <c r="D781" s="28">
        <v>1986.62</v>
      </c>
      <c r="E781" s="28">
        <v>1986.56</v>
      </c>
      <c r="F781" s="28">
        <v>1986.56</v>
      </c>
      <c r="G781" s="29">
        <v>171127.01092974501</v>
      </c>
      <c r="H781" s="29">
        <v>167513.08385572699</v>
      </c>
      <c r="I781" s="27">
        <f t="shared" si="33"/>
        <v>3</v>
      </c>
      <c r="J781" s="27">
        <f t="shared" si="35"/>
        <v>3</v>
      </c>
      <c r="K781" s="27">
        <f t="shared" si="34"/>
        <v>2</v>
      </c>
      <c r="L781" s="25">
        <v>448.47823516666659</v>
      </c>
      <c r="M781" s="25">
        <v>451.23040021662899</v>
      </c>
      <c r="N781" s="38">
        <v>0.47498388414520437</v>
      </c>
      <c r="O781" s="38">
        <v>-6.5504661671860749</v>
      </c>
      <c r="P781" s="71">
        <v>-8.4636767315716117</v>
      </c>
      <c r="Q781" s="53">
        <v>43185</v>
      </c>
      <c r="R781" s="23">
        <v>9</v>
      </c>
      <c r="S781" s="24">
        <v>448.57949300000001</v>
      </c>
      <c r="T781" s="24">
        <v>451.36039982313633</v>
      </c>
      <c r="U781" s="1">
        <v>0.47982680783631437</v>
      </c>
      <c r="V781" s="2">
        <v>-6.5083197507749269</v>
      </c>
      <c r="W781" s="2">
        <v>-8.4276269821201844</v>
      </c>
      <c r="X781" s="22">
        <v>43185</v>
      </c>
      <c r="Y781" s="23">
        <v>9</v>
      </c>
      <c r="Z781" s="24">
        <v>446.8946985</v>
      </c>
      <c r="AA781" s="24">
        <v>449.64755996133073</v>
      </c>
      <c r="AB781" s="1">
        <v>0.47677847435645404</v>
      </c>
      <c r="AC781" s="2">
        <v>-6.5926125835972238</v>
      </c>
      <c r="AD781" s="2">
        <v>-8.4997264810230391</v>
      </c>
      <c r="AE781" s="22">
        <v>44069</v>
      </c>
      <c r="AF781" s="23" t="s">
        <v>88</v>
      </c>
      <c r="AG781" s="24">
        <v>449.96051399999999</v>
      </c>
      <c r="AH781" s="24">
        <v>452.6832408654198</v>
      </c>
      <c r="AI781" s="1">
        <v>0.46834637024284476</v>
      </c>
      <c r="AJ781" s="2"/>
      <c r="AK781" s="2"/>
      <c r="AL781" s="22" t="s">
        <v>17</v>
      </c>
      <c r="AM781" s="4" t="s">
        <v>17</v>
      </c>
      <c r="AN781" s="24" t="s">
        <v>17</v>
      </c>
      <c r="AO781" s="24" t="s">
        <v>17</v>
      </c>
      <c r="AP781" s="1" t="s">
        <v>17</v>
      </c>
      <c r="AQ781" s="2" t="s">
        <v>17</v>
      </c>
      <c r="AR781" s="2" t="s">
        <v>17</v>
      </c>
      <c r="AS781" s="3"/>
      <c r="AT781" s="2"/>
      <c r="AU781" s="4"/>
      <c r="AV781" s="2"/>
      <c r="AW781" s="1" t="s">
        <v>17</v>
      </c>
      <c r="AX781" s="2" t="s">
        <v>17</v>
      </c>
      <c r="AY781" s="2" t="s">
        <v>17</v>
      </c>
      <c r="AZ781" s="5"/>
      <c r="BA781" s="6"/>
      <c r="BB781" s="4"/>
      <c r="BC781" s="6"/>
      <c r="BD781" s="6"/>
      <c r="BE781" s="6"/>
      <c r="BF781" s="7"/>
    </row>
    <row r="782" spans="1:58" ht="18" customHeight="1">
      <c r="A782" s="107" t="s">
        <v>15</v>
      </c>
      <c r="B782" s="111" t="s">
        <v>834</v>
      </c>
      <c r="C782" s="6">
        <v>1989.5</v>
      </c>
      <c r="D782" s="6">
        <v>1989.62</v>
      </c>
      <c r="E782" s="6">
        <v>1989.56</v>
      </c>
      <c r="F782" s="6">
        <v>1989.56</v>
      </c>
      <c r="G782" s="43">
        <v>171749.92827516099</v>
      </c>
      <c r="H782" s="43">
        <v>168201.71517111</v>
      </c>
      <c r="I782" s="27">
        <f t="shared" si="33"/>
        <v>1</v>
      </c>
      <c r="J782" s="27">
        <f t="shared" si="35"/>
        <v>1</v>
      </c>
      <c r="K782" s="27">
        <f t="shared" si="34"/>
        <v>1</v>
      </c>
      <c r="L782" s="25">
        <v>450.2685065</v>
      </c>
      <c r="M782" s="25">
        <v>452.99786551297802</v>
      </c>
      <c r="N782" s="38">
        <v>0.46916605214297746</v>
      </c>
      <c r="O782" s="38">
        <v>-6.6636559974787568</v>
      </c>
      <c r="P782" s="71">
        <v>-8.5403202060506658</v>
      </c>
      <c r="Q782" s="53">
        <v>44285</v>
      </c>
      <c r="R782" s="23">
        <v>9</v>
      </c>
      <c r="S782" s="30">
        <v>450.2685065</v>
      </c>
      <c r="T782" s="24">
        <v>452.99786551297802</v>
      </c>
      <c r="U782" s="1">
        <v>0.46916605214297746</v>
      </c>
      <c r="V782" s="2">
        <v>-6.6636559974787568</v>
      </c>
      <c r="W782" s="2">
        <v>-8.5403202060506658</v>
      </c>
      <c r="X782" s="3"/>
      <c r="Y782" s="2"/>
      <c r="Z782" s="47"/>
      <c r="AA782" s="6"/>
      <c r="AB782" s="6"/>
      <c r="AC782" s="6"/>
      <c r="AD782" s="48"/>
      <c r="AE782" s="3"/>
      <c r="AF782" s="2"/>
      <c r="AG782" s="47"/>
      <c r="AH782" s="6"/>
      <c r="AI782" s="6"/>
      <c r="AJ782" s="6"/>
      <c r="AK782" s="2"/>
      <c r="AL782" s="3"/>
      <c r="AM782" s="2"/>
      <c r="AN782" s="2"/>
      <c r="AO782" s="2"/>
      <c r="AP782" s="2"/>
      <c r="AQ782" s="6"/>
      <c r="AR782" s="6"/>
      <c r="AS782" s="3"/>
      <c r="AT782" s="2"/>
      <c r="AU782" s="6"/>
      <c r="AV782" s="6"/>
      <c r="AW782" s="6"/>
      <c r="AX782" s="6"/>
      <c r="AY782" s="6"/>
      <c r="AZ782" s="3"/>
      <c r="BA782" s="2"/>
      <c r="BB782" s="6"/>
      <c r="BC782" s="6"/>
      <c r="BD782" s="6"/>
      <c r="BE782" s="6"/>
      <c r="BF782" s="56"/>
    </row>
    <row r="783" spans="1:58" ht="18" customHeight="1">
      <c r="A783" s="106" t="s">
        <v>15</v>
      </c>
      <c r="B783" s="93" t="s">
        <v>754</v>
      </c>
      <c r="C783" s="28">
        <v>1992</v>
      </c>
      <c r="D783" s="28">
        <v>1992.12</v>
      </c>
      <c r="E783" s="28">
        <v>1992.06</v>
      </c>
      <c r="F783" s="28">
        <v>1992.06</v>
      </c>
      <c r="G783" s="29">
        <v>172311.628762206</v>
      </c>
      <c r="H783" s="29">
        <v>168752.07246968799</v>
      </c>
      <c r="I783" s="27">
        <f t="shared" si="33"/>
        <v>1</v>
      </c>
      <c r="J783" s="27">
        <f t="shared" si="35"/>
        <v>1</v>
      </c>
      <c r="K783" s="27">
        <f t="shared" si="34"/>
        <v>1</v>
      </c>
      <c r="L783" s="25">
        <v>491.76937250000003</v>
      </c>
      <c r="M783" s="25">
        <v>494.76979579353474</v>
      </c>
      <c r="N783" s="38">
        <v>0.47223539744201126</v>
      </c>
      <c r="O783" s="38">
        <v>-6.7176240149470212</v>
      </c>
      <c r="P783" s="71">
        <v>-8.6065656047150654</v>
      </c>
      <c r="Q783" s="53">
        <v>43745</v>
      </c>
      <c r="R783" s="23">
        <v>9</v>
      </c>
      <c r="S783" s="24">
        <v>491.76937250000003</v>
      </c>
      <c r="T783" s="24">
        <v>494.76979579353474</v>
      </c>
      <c r="U783" s="1">
        <v>0.47223539744201126</v>
      </c>
      <c r="V783" s="2">
        <v>-6.7176240149470212</v>
      </c>
      <c r="W783" s="2">
        <v>-8.6065656047150654</v>
      </c>
      <c r="X783" s="22" t="s">
        <v>17</v>
      </c>
      <c r="Y783" s="23"/>
      <c r="Z783" s="24" t="s">
        <v>17</v>
      </c>
      <c r="AA783" s="24" t="s">
        <v>17</v>
      </c>
      <c r="AB783" s="1"/>
      <c r="AC783" s="2"/>
      <c r="AD783" s="2"/>
      <c r="AE783" s="22" t="s">
        <v>17</v>
      </c>
      <c r="AF783" s="23"/>
      <c r="AG783" s="24" t="s">
        <v>17</v>
      </c>
      <c r="AH783" s="24" t="s">
        <v>17</v>
      </c>
      <c r="AI783" s="1" t="s">
        <v>17</v>
      </c>
      <c r="AJ783" s="2" t="s">
        <v>17</v>
      </c>
      <c r="AK783" s="2" t="s">
        <v>17</v>
      </c>
      <c r="AL783" s="22" t="s">
        <v>17</v>
      </c>
      <c r="AM783" s="4" t="s">
        <v>17</v>
      </c>
      <c r="AN783" s="24" t="s">
        <v>17</v>
      </c>
      <c r="AO783" s="24" t="s">
        <v>17</v>
      </c>
      <c r="AP783" s="1" t="s">
        <v>17</v>
      </c>
      <c r="AQ783" s="2" t="s">
        <v>17</v>
      </c>
      <c r="AR783" s="2" t="s">
        <v>17</v>
      </c>
      <c r="AS783" s="3"/>
      <c r="AT783" s="2"/>
      <c r="AU783" s="4"/>
      <c r="AV783" s="2"/>
      <c r="AW783" s="20" t="s">
        <v>17</v>
      </c>
      <c r="AX783" s="20" t="s">
        <v>17</v>
      </c>
      <c r="AY783" s="20" t="s">
        <v>17</v>
      </c>
      <c r="AZ783" s="5"/>
      <c r="BA783" s="6"/>
      <c r="BB783" s="4"/>
      <c r="BC783" s="6"/>
      <c r="BD783" s="6"/>
      <c r="BE783" s="6"/>
      <c r="BF783" s="7"/>
    </row>
    <row r="784" spans="1:58" ht="18" customHeight="1">
      <c r="A784" s="106" t="s">
        <v>15</v>
      </c>
      <c r="B784" s="93" t="s">
        <v>755</v>
      </c>
      <c r="C784" s="28">
        <v>1994</v>
      </c>
      <c r="D784" s="28">
        <v>1994.12</v>
      </c>
      <c r="E784" s="28">
        <v>1994.06</v>
      </c>
      <c r="F784" s="28">
        <v>1994.06</v>
      </c>
      <c r="G784" s="29">
        <v>172744.780613343</v>
      </c>
      <c r="H784" s="29">
        <v>169152.61070937599</v>
      </c>
      <c r="I784" s="27">
        <f t="shared" si="33"/>
        <v>2</v>
      </c>
      <c r="J784" s="27">
        <f t="shared" si="35"/>
        <v>2</v>
      </c>
      <c r="K784" s="27">
        <f t="shared" si="34"/>
        <v>2</v>
      </c>
      <c r="L784" s="25">
        <v>494.58254450000004</v>
      </c>
      <c r="M784" s="25">
        <v>497.60039050778698</v>
      </c>
      <c r="N784" s="38">
        <v>0.47227094787594126</v>
      </c>
      <c r="O784" s="38">
        <v>-6.4681829240252897</v>
      </c>
      <c r="P784" s="71">
        <v>-8.3572667155290539</v>
      </c>
      <c r="Q784" s="53">
        <v>43192</v>
      </c>
      <c r="R784" s="23">
        <v>10</v>
      </c>
      <c r="S784" s="24">
        <v>492.3922675</v>
      </c>
      <c r="T784" s="24">
        <v>495.3896150615675</v>
      </c>
      <c r="U784" s="1">
        <v>0.47115452584267636</v>
      </c>
      <c r="V784" s="2">
        <v>-6.4263348684319155</v>
      </c>
      <c r="W784" s="2">
        <v>-8.3109529718026209</v>
      </c>
      <c r="X784" s="22">
        <v>43192</v>
      </c>
      <c r="Y784" s="23">
        <v>10</v>
      </c>
      <c r="Z784" s="24">
        <v>496.77282150000002</v>
      </c>
      <c r="AA784" s="24">
        <v>499.81116595400641</v>
      </c>
      <c r="AB784" s="1">
        <v>0.47338736990920616</v>
      </c>
      <c r="AC784" s="2">
        <v>-6.5100309796186639</v>
      </c>
      <c r="AD784" s="2">
        <v>-8.4035804592554886</v>
      </c>
      <c r="AE784" s="22" t="s">
        <v>17</v>
      </c>
      <c r="AF784" s="23"/>
      <c r="AG784" s="24" t="s">
        <v>17</v>
      </c>
      <c r="AH784" s="24" t="s">
        <v>17</v>
      </c>
      <c r="AI784" s="1" t="s">
        <v>17</v>
      </c>
      <c r="AJ784" s="2" t="s">
        <v>17</v>
      </c>
      <c r="AK784" s="2" t="s">
        <v>17</v>
      </c>
      <c r="AL784" s="22" t="s">
        <v>17</v>
      </c>
      <c r="AM784" s="4" t="s">
        <v>17</v>
      </c>
      <c r="AN784" s="24" t="s">
        <v>17</v>
      </c>
      <c r="AO784" s="24" t="s">
        <v>17</v>
      </c>
      <c r="AP784" s="1" t="s">
        <v>17</v>
      </c>
      <c r="AQ784" s="2" t="s">
        <v>17</v>
      </c>
      <c r="AR784" s="2" t="s">
        <v>17</v>
      </c>
      <c r="AS784" s="3"/>
      <c r="AT784" s="2"/>
      <c r="AU784" s="4"/>
      <c r="AV784" s="2"/>
      <c r="AW784" s="20" t="s">
        <v>17</v>
      </c>
      <c r="AX784" s="20" t="s">
        <v>17</v>
      </c>
      <c r="AY784" s="20" t="s">
        <v>17</v>
      </c>
      <c r="AZ784" s="5"/>
      <c r="BA784" s="6"/>
      <c r="BB784" s="4"/>
      <c r="BC784" s="6"/>
      <c r="BD784" s="6"/>
      <c r="BE784" s="6"/>
      <c r="BF784" s="7"/>
    </row>
    <row r="785" spans="1:58" ht="18" customHeight="1">
      <c r="A785" s="106" t="s">
        <v>15</v>
      </c>
      <c r="B785" s="93" t="s">
        <v>756</v>
      </c>
      <c r="C785" s="28">
        <v>1996</v>
      </c>
      <c r="D785" s="28">
        <v>1996.12</v>
      </c>
      <c r="E785" s="28">
        <v>1996.06</v>
      </c>
      <c r="F785" s="28">
        <v>1996.06</v>
      </c>
      <c r="G785" s="29">
        <v>173171.69355337601</v>
      </c>
      <c r="H785" s="29">
        <v>169565.466427935</v>
      </c>
      <c r="I785" s="27">
        <f t="shared" si="33"/>
        <v>1</v>
      </c>
      <c r="J785" s="27">
        <f t="shared" si="35"/>
        <v>1</v>
      </c>
      <c r="K785" s="27">
        <f t="shared" si="34"/>
        <v>1</v>
      </c>
      <c r="L785" s="25">
        <v>507.16817700000001</v>
      </c>
      <c r="M785" s="25">
        <v>510.32713293996602</v>
      </c>
      <c r="N785" s="38">
        <v>0.48445341092762106</v>
      </c>
      <c r="O785" s="38">
        <v>-5.8914809045040872</v>
      </c>
      <c r="P785" s="71">
        <v>-7.8292945482145715</v>
      </c>
      <c r="Q785" s="53">
        <v>44222</v>
      </c>
      <c r="R785" s="23">
        <v>10</v>
      </c>
      <c r="S785" s="24">
        <v>507.16817700000001</v>
      </c>
      <c r="T785" s="24">
        <v>510.32713293996602</v>
      </c>
      <c r="U785" s="1">
        <v>0.48445341092762106</v>
      </c>
      <c r="V785" s="2">
        <v>-5.8914809045040872</v>
      </c>
      <c r="W785" s="2">
        <v>-7.8292945482145715</v>
      </c>
      <c r="X785" s="22" t="s">
        <v>17</v>
      </c>
      <c r="Y785" s="23"/>
      <c r="Z785" s="24" t="s">
        <v>17</v>
      </c>
      <c r="AA785" s="24"/>
      <c r="AB785" s="1"/>
      <c r="AC785" s="2"/>
      <c r="AD785" s="2"/>
      <c r="AE785" s="22" t="s">
        <v>17</v>
      </c>
      <c r="AF785" s="23"/>
      <c r="AG785" s="24" t="s">
        <v>17</v>
      </c>
      <c r="AH785" s="24"/>
      <c r="AI785" s="1"/>
      <c r="AJ785" s="2"/>
      <c r="AK785" s="2"/>
      <c r="AL785" s="22" t="s">
        <v>17</v>
      </c>
      <c r="AM785" s="4" t="s">
        <v>17</v>
      </c>
      <c r="AN785" s="24"/>
      <c r="AO785" s="24"/>
      <c r="AP785" s="1"/>
      <c r="AQ785" s="2"/>
      <c r="AR785" s="2"/>
      <c r="AS785" s="3"/>
      <c r="AT785" s="2"/>
      <c r="AU785" s="4"/>
      <c r="AV785" s="2"/>
      <c r="AW785" s="20"/>
      <c r="AX785" s="20"/>
      <c r="AY785" s="20"/>
      <c r="AZ785" s="5"/>
      <c r="BA785" s="6"/>
      <c r="BB785" s="4"/>
      <c r="BC785" s="6"/>
      <c r="BD785" s="6"/>
      <c r="BE785" s="6"/>
      <c r="BF785" s="7"/>
    </row>
    <row r="786" spans="1:58" ht="18" customHeight="1">
      <c r="A786" s="106" t="s">
        <v>15</v>
      </c>
      <c r="B786" s="93" t="s">
        <v>757</v>
      </c>
      <c r="C786" s="28">
        <v>1998.5</v>
      </c>
      <c r="D786" s="28">
        <v>1998.62</v>
      </c>
      <c r="E786" s="28">
        <v>1998.56</v>
      </c>
      <c r="F786" s="28">
        <v>1998.56</v>
      </c>
      <c r="G786" s="29">
        <v>173691.422548873</v>
      </c>
      <c r="H786" s="29">
        <v>170081.902783172</v>
      </c>
      <c r="I786" s="27">
        <f t="shared" si="33"/>
        <v>1</v>
      </c>
      <c r="J786" s="27">
        <f t="shared" si="35"/>
        <v>1</v>
      </c>
      <c r="K786" s="27">
        <f t="shared" si="34"/>
        <v>1</v>
      </c>
      <c r="L786" s="25">
        <v>444.02715799999999</v>
      </c>
      <c r="M786" s="25">
        <v>446.80944727552924</v>
      </c>
      <c r="N786" s="38">
        <v>0.48498715284939209</v>
      </c>
      <c r="O786" s="38">
        <v>-4.5421597967725269</v>
      </c>
      <c r="P786" s="71">
        <v>-6.4821084081700953</v>
      </c>
      <c r="Q786" s="53">
        <v>43508</v>
      </c>
      <c r="R786" s="23">
        <v>9</v>
      </c>
      <c r="S786" s="24">
        <v>444.02715799999999</v>
      </c>
      <c r="T786" s="24">
        <v>446.80944727552924</v>
      </c>
      <c r="U786" s="1">
        <v>0.48498715284939209</v>
      </c>
      <c r="V786" s="2">
        <v>-4.5421597967725269</v>
      </c>
      <c r="W786" s="2">
        <v>-6.4821084081700953</v>
      </c>
      <c r="X786" s="22" t="s">
        <v>17</v>
      </c>
      <c r="Y786" s="23"/>
      <c r="Z786" s="24" t="s">
        <v>17</v>
      </c>
      <c r="AA786" s="24" t="s">
        <v>17</v>
      </c>
      <c r="AB786" s="1" t="s">
        <v>17</v>
      </c>
      <c r="AC786" s="2" t="s">
        <v>17</v>
      </c>
      <c r="AD786" s="2" t="s">
        <v>17</v>
      </c>
      <c r="AE786" s="22" t="s">
        <v>17</v>
      </c>
      <c r="AF786" s="23"/>
      <c r="AG786" s="24" t="s">
        <v>17</v>
      </c>
      <c r="AH786" s="24" t="s">
        <v>17</v>
      </c>
      <c r="AI786" s="1" t="s">
        <v>17</v>
      </c>
      <c r="AJ786" s="2" t="s">
        <v>17</v>
      </c>
      <c r="AK786" s="2" t="s">
        <v>17</v>
      </c>
      <c r="AL786" s="22" t="s">
        <v>17</v>
      </c>
      <c r="AM786" s="4" t="s">
        <v>17</v>
      </c>
      <c r="AN786" s="24" t="s">
        <v>17</v>
      </c>
      <c r="AO786" s="24" t="s">
        <v>17</v>
      </c>
      <c r="AP786" s="1" t="s">
        <v>17</v>
      </c>
      <c r="AQ786" s="2" t="s">
        <v>17</v>
      </c>
      <c r="AR786" s="2" t="s">
        <v>17</v>
      </c>
      <c r="AS786" s="3"/>
      <c r="AT786" s="2"/>
      <c r="AU786" s="4"/>
      <c r="AV786" s="2"/>
      <c r="AW786" s="20" t="s">
        <v>17</v>
      </c>
      <c r="AX786" s="20" t="s">
        <v>17</v>
      </c>
      <c r="AY786" s="20" t="s">
        <v>17</v>
      </c>
      <c r="AZ786" s="5"/>
      <c r="BA786" s="6"/>
      <c r="BB786" s="4"/>
      <c r="BC786" s="6"/>
      <c r="BD786" s="6"/>
      <c r="BE786" s="6"/>
      <c r="BF786" s="7"/>
    </row>
    <row r="787" spans="1:58" ht="18" customHeight="1">
      <c r="A787" s="106" t="s">
        <v>15</v>
      </c>
      <c r="B787" s="93" t="s">
        <v>758</v>
      </c>
      <c r="C787" s="28">
        <v>2001</v>
      </c>
      <c r="D787" s="28">
        <v>2001.12</v>
      </c>
      <c r="E787" s="28">
        <v>2001.06</v>
      </c>
      <c r="F787" s="28">
        <v>2001.06</v>
      </c>
      <c r="G787" s="29">
        <v>174239.374871543</v>
      </c>
      <c r="H787" s="29">
        <v>170645.96682302101</v>
      </c>
      <c r="I787" s="27">
        <f t="shared" si="33"/>
        <v>2</v>
      </c>
      <c r="J787" s="27">
        <f t="shared" si="35"/>
        <v>5</v>
      </c>
      <c r="K787" s="27">
        <f t="shared" si="34"/>
        <v>5</v>
      </c>
      <c r="L787" s="25">
        <v>465.92289349999999</v>
      </c>
      <c r="M787" s="25">
        <v>468.82945842594023</v>
      </c>
      <c r="N787" s="38">
        <v>0.48368360674531097</v>
      </c>
      <c r="O787" s="38">
        <v>-4.3668903316500529</v>
      </c>
      <c r="P787" s="71">
        <v>-6.3016247586312968</v>
      </c>
      <c r="Q787" s="53">
        <v>44132</v>
      </c>
      <c r="R787" s="23">
        <v>9</v>
      </c>
      <c r="S787" s="24" t="s">
        <v>17</v>
      </c>
      <c r="T787" s="24"/>
      <c r="U787" s="1">
        <v>0.4795254468046295</v>
      </c>
      <c r="V787" s="2">
        <v>-4.2918007936666447</v>
      </c>
      <c r="W787" s="2">
        <v>-6.2099025808851627</v>
      </c>
      <c r="X787" s="22">
        <v>44132</v>
      </c>
      <c r="Y787" s="23">
        <v>9</v>
      </c>
      <c r="Z787" s="24"/>
      <c r="AA787" s="24"/>
      <c r="AB787" s="1">
        <v>0.48831711688612778</v>
      </c>
      <c r="AC787" s="2">
        <v>-4.3592747183829328</v>
      </c>
      <c r="AD787" s="2">
        <v>-6.3125431859274439</v>
      </c>
      <c r="AE787" s="22">
        <v>44132</v>
      </c>
      <c r="AF787" s="23">
        <v>9</v>
      </c>
      <c r="AG787" s="24">
        <v>465.92289349999999</v>
      </c>
      <c r="AH787" s="24">
        <v>468.81057941445124</v>
      </c>
      <c r="AI787" s="1">
        <v>0.47970405587660636</v>
      </c>
      <c r="AJ787" s="2">
        <v>-4.3432727055918718</v>
      </c>
      <c r="AK787" s="2">
        <v>-6.2620889290982973</v>
      </c>
      <c r="AL787" s="22">
        <v>44132</v>
      </c>
      <c r="AM787" s="23">
        <v>9</v>
      </c>
      <c r="AN787" s="24"/>
      <c r="AO787" s="24"/>
      <c r="AP787" s="1">
        <v>0.48463428853007251</v>
      </c>
      <c r="AQ787" s="2">
        <v>-4.4990910469023815</v>
      </c>
      <c r="AR787" s="2">
        <v>-6.4376282010226715</v>
      </c>
      <c r="AS787" s="22">
        <v>44132</v>
      </c>
      <c r="AT787" s="23">
        <v>9</v>
      </c>
      <c r="AU787" s="4"/>
      <c r="AV787" s="4"/>
      <c r="AW787" s="20">
        <v>0.48623712562911869</v>
      </c>
      <c r="AX787" s="20">
        <v>-4.3410123937064338</v>
      </c>
      <c r="AY787" s="20">
        <v>-6.2859608962229085</v>
      </c>
      <c r="AZ787" s="22">
        <v>44152</v>
      </c>
      <c r="BA787" s="23" t="s">
        <v>88</v>
      </c>
      <c r="BB787" s="24">
        <v>465.92289349999999</v>
      </c>
      <c r="BC787" s="24">
        <v>468.84833743742922</v>
      </c>
      <c r="BD787" s="6"/>
      <c r="BE787" s="6"/>
      <c r="BF787" s="7"/>
    </row>
    <row r="788" spans="1:58" ht="18" customHeight="1">
      <c r="A788" s="106" t="s">
        <v>15</v>
      </c>
      <c r="B788" s="93" t="s">
        <v>759</v>
      </c>
      <c r="C788" s="28">
        <v>2003.38</v>
      </c>
      <c r="D788" s="28">
        <v>2003.5</v>
      </c>
      <c r="E788" s="28">
        <v>2003.44</v>
      </c>
      <c r="F788" s="28">
        <v>2003.44</v>
      </c>
      <c r="G788" s="29">
        <v>174733.92397015099</v>
      </c>
      <c r="H788" s="29">
        <v>171176.22418808201</v>
      </c>
      <c r="I788" s="27">
        <f t="shared" si="33"/>
        <v>1</v>
      </c>
      <c r="J788" s="27">
        <f t="shared" si="35"/>
        <v>1</v>
      </c>
      <c r="K788" s="27">
        <f t="shared" si="34"/>
        <v>1</v>
      </c>
      <c r="L788" s="25">
        <v>441.09859549999999</v>
      </c>
      <c r="M788" s="25">
        <v>443.83075164445245</v>
      </c>
      <c r="N788" s="38">
        <v>0.47941026337516846</v>
      </c>
      <c r="O788" s="38">
        <v>-4.4375855377073448</v>
      </c>
      <c r="P788" s="71">
        <v>-6.3552265912080186</v>
      </c>
      <c r="Q788" s="53">
        <v>43775</v>
      </c>
      <c r="R788" s="23">
        <v>9</v>
      </c>
      <c r="S788" s="30">
        <v>441.09859549999999</v>
      </c>
      <c r="T788" s="24">
        <v>443.83075164445245</v>
      </c>
      <c r="U788" s="1">
        <v>0.47941026337516846</v>
      </c>
      <c r="V788" s="2">
        <v>-4.4375855377073448</v>
      </c>
      <c r="W788" s="2">
        <v>-6.3552265912080186</v>
      </c>
      <c r="X788" s="22" t="s">
        <v>17</v>
      </c>
      <c r="Y788" s="23"/>
      <c r="Z788" s="24" t="s">
        <v>17</v>
      </c>
      <c r="AA788" s="24" t="s">
        <v>17</v>
      </c>
      <c r="AB788" s="1" t="s">
        <v>17</v>
      </c>
      <c r="AC788" s="2" t="s">
        <v>17</v>
      </c>
      <c r="AD788" s="2" t="s">
        <v>17</v>
      </c>
      <c r="AE788" s="22" t="s">
        <v>17</v>
      </c>
      <c r="AF788" s="23"/>
      <c r="AG788" s="24" t="s">
        <v>17</v>
      </c>
      <c r="AH788" s="24" t="s">
        <v>17</v>
      </c>
      <c r="AI788" s="1" t="s">
        <v>17</v>
      </c>
      <c r="AJ788" s="2" t="s">
        <v>17</v>
      </c>
      <c r="AK788" s="2" t="s">
        <v>17</v>
      </c>
      <c r="AL788" s="22" t="s">
        <v>17</v>
      </c>
      <c r="AM788" s="4" t="s">
        <v>17</v>
      </c>
      <c r="AN788" s="4"/>
      <c r="AO788" s="24" t="s">
        <v>17</v>
      </c>
      <c r="AP788" s="1" t="s">
        <v>17</v>
      </c>
      <c r="AQ788" s="2" t="s">
        <v>17</v>
      </c>
      <c r="AR788" s="2" t="s">
        <v>17</v>
      </c>
      <c r="AS788" s="3"/>
      <c r="AT788" s="2"/>
      <c r="AU788" s="4"/>
      <c r="AV788" s="2"/>
      <c r="AW788" s="2"/>
      <c r="AX788" s="2"/>
      <c r="AY788" s="2"/>
      <c r="AZ788" s="5"/>
      <c r="BA788" s="6"/>
      <c r="BB788" s="4"/>
      <c r="BC788" s="6"/>
      <c r="BD788" s="6"/>
      <c r="BE788" s="6"/>
      <c r="BF788" s="7"/>
    </row>
    <row r="789" spans="1:58" ht="18" customHeight="1">
      <c r="A789" s="106" t="s">
        <v>15</v>
      </c>
      <c r="B789" s="93" t="s">
        <v>760</v>
      </c>
      <c r="C789" s="28">
        <v>2006</v>
      </c>
      <c r="D789" s="28">
        <v>2006.12</v>
      </c>
      <c r="E789" s="28">
        <v>2006.06</v>
      </c>
      <c r="F789" s="28">
        <v>2006.06</v>
      </c>
      <c r="G789" s="29">
        <v>175309.22020164001</v>
      </c>
      <c r="H789" s="29">
        <v>171775.90161560901</v>
      </c>
      <c r="I789" s="27">
        <f t="shared" si="33"/>
        <v>2</v>
      </c>
      <c r="J789" s="27">
        <f t="shared" si="35"/>
        <v>2</v>
      </c>
      <c r="K789" s="27">
        <f t="shared" si="34"/>
        <v>2</v>
      </c>
      <c r="L789" s="25">
        <v>447.614169</v>
      </c>
      <c r="M789" s="25">
        <v>450.37109401982156</v>
      </c>
      <c r="N789" s="38">
        <v>0.4767144883107699</v>
      </c>
      <c r="O789" s="38">
        <v>-4.8931019421891708</v>
      </c>
      <c r="P789" s="71">
        <v>-6.7999598954322504</v>
      </c>
      <c r="Q789" s="53">
        <v>43186</v>
      </c>
      <c r="R789" s="23">
        <v>9</v>
      </c>
      <c r="S789" s="30">
        <v>447.70351400000004</v>
      </c>
      <c r="T789" s="24">
        <v>450.46939913025631</v>
      </c>
      <c r="U789" s="1">
        <v>0.47816867584260514</v>
      </c>
      <c r="V789" s="2">
        <v>-4.8646904195372986</v>
      </c>
      <c r="W789" s="2">
        <v>-6.7773651229077192</v>
      </c>
      <c r="X789" s="22">
        <v>43186</v>
      </c>
      <c r="Y789" s="23">
        <v>9</v>
      </c>
      <c r="Z789" s="24">
        <v>447.52482399999997</v>
      </c>
      <c r="AA789" s="24">
        <v>450.2727889093868</v>
      </c>
      <c r="AB789" s="1">
        <v>0.47526030077893466</v>
      </c>
      <c r="AC789" s="2">
        <v>-4.921513464841043</v>
      </c>
      <c r="AD789" s="2">
        <v>-6.8225546679567817</v>
      </c>
      <c r="AE789" s="22" t="s">
        <v>17</v>
      </c>
      <c r="AF789" s="23"/>
      <c r="AG789" s="24" t="s">
        <v>17</v>
      </c>
      <c r="AH789" s="24" t="s">
        <v>17</v>
      </c>
      <c r="AI789" s="1" t="s">
        <v>17</v>
      </c>
      <c r="AJ789" s="2" t="s">
        <v>17</v>
      </c>
      <c r="AK789" s="2" t="s">
        <v>17</v>
      </c>
      <c r="AL789" s="22" t="s">
        <v>17</v>
      </c>
      <c r="AM789" s="4" t="s">
        <v>17</v>
      </c>
      <c r="AN789" s="4"/>
      <c r="AO789" s="24" t="s">
        <v>17</v>
      </c>
      <c r="AP789" s="1" t="s">
        <v>17</v>
      </c>
      <c r="AQ789" s="2" t="s">
        <v>17</v>
      </c>
      <c r="AR789" s="2" t="s">
        <v>17</v>
      </c>
      <c r="AS789" s="3"/>
      <c r="AT789" s="2"/>
      <c r="AU789" s="4"/>
      <c r="AV789" s="2"/>
      <c r="AW789" s="2"/>
      <c r="AX789" s="2"/>
      <c r="AY789" s="2"/>
      <c r="AZ789" s="5"/>
      <c r="BA789" s="6"/>
      <c r="BB789" s="4"/>
      <c r="BC789" s="6"/>
      <c r="BD789" s="6"/>
      <c r="BE789" s="6"/>
      <c r="BF789" s="7"/>
    </row>
    <row r="790" spans="1:58" ht="18" customHeight="1">
      <c r="A790" s="106" t="s">
        <v>801</v>
      </c>
      <c r="B790" s="93" t="s">
        <v>803</v>
      </c>
      <c r="C790" s="28">
        <v>2008.521</v>
      </c>
      <c r="D790" s="28">
        <v>2008.6410000000001</v>
      </c>
      <c r="E790" s="28">
        <v>2008.5810000000001</v>
      </c>
      <c r="F790" s="28">
        <v>2008.5810000000001</v>
      </c>
      <c r="G790" s="29">
        <v>175913.053627252</v>
      </c>
      <c r="H790" s="29">
        <v>172396.76225942301</v>
      </c>
      <c r="I790" s="27">
        <f t="shared" si="33"/>
        <v>1</v>
      </c>
      <c r="J790" s="27">
        <f t="shared" si="35"/>
        <v>1</v>
      </c>
      <c r="K790" s="27">
        <f t="shared" si="34"/>
        <v>1</v>
      </c>
      <c r="L790" s="25">
        <v>478.6415265</v>
      </c>
      <c r="M790" s="25">
        <v>481.45541531387164</v>
      </c>
      <c r="N790" s="38">
        <v>0.45502372817551873</v>
      </c>
      <c r="O790" s="38">
        <v>-5.2007711218419184</v>
      </c>
      <c r="P790" s="71">
        <v>-7.0208660345439933</v>
      </c>
      <c r="Q790" s="53">
        <v>44257</v>
      </c>
      <c r="R790" s="23">
        <v>10</v>
      </c>
      <c r="S790" s="30">
        <v>478.6415265</v>
      </c>
      <c r="T790" s="24">
        <v>481.45541531387164</v>
      </c>
      <c r="U790" s="1">
        <v>0.45502372817551873</v>
      </c>
      <c r="V790" s="2">
        <v>-5.2007711218419184</v>
      </c>
      <c r="W790" s="2">
        <v>-7.0208660345439933</v>
      </c>
      <c r="X790" s="22"/>
      <c r="Y790" s="23"/>
      <c r="Z790" s="49" t="s">
        <v>17</v>
      </c>
      <c r="AA790" s="24"/>
      <c r="AB790" s="1"/>
      <c r="AC790" s="2"/>
      <c r="AD790" s="2"/>
      <c r="AE790" s="22"/>
      <c r="AF790" s="23"/>
      <c r="AG790" s="49"/>
      <c r="AH790" s="24"/>
      <c r="AI790" s="1"/>
      <c r="AJ790" s="2"/>
      <c r="AK790" s="2"/>
      <c r="AL790" s="22"/>
      <c r="AM790" s="4"/>
      <c r="AN790" s="4"/>
      <c r="AO790" s="24"/>
      <c r="AP790" s="1"/>
      <c r="AQ790" s="2"/>
      <c r="AR790" s="2"/>
      <c r="AS790" s="3"/>
      <c r="AT790" s="2"/>
      <c r="AU790" s="4"/>
      <c r="AV790" s="2"/>
      <c r="AW790" s="2"/>
      <c r="AX790" s="2"/>
      <c r="AY790" s="2"/>
      <c r="AZ790" s="5"/>
      <c r="BA790" s="6"/>
      <c r="BB790" s="4"/>
      <c r="BC790" s="6"/>
      <c r="BD790" s="6"/>
      <c r="BE790" s="6"/>
      <c r="BF790" s="7"/>
    </row>
    <row r="791" spans="1:58" ht="18" customHeight="1">
      <c r="A791" s="106" t="s">
        <v>15</v>
      </c>
      <c r="B791" s="93" t="s">
        <v>761</v>
      </c>
      <c r="C791" s="28">
        <v>2010.5</v>
      </c>
      <c r="D791" s="28">
        <v>2010.62</v>
      </c>
      <c r="E791" s="28">
        <v>2010.56</v>
      </c>
      <c r="F791" s="28">
        <v>2010.56</v>
      </c>
      <c r="G791" s="29">
        <v>176446.05130599401</v>
      </c>
      <c r="H791" s="29">
        <v>172851.77675903001</v>
      </c>
      <c r="I791" s="27">
        <f t="shared" si="33"/>
        <v>1</v>
      </c>
      <c r="J791" s="27">
        <f t="shared" si="35"/>
        <v>1</v>
      </c>
      <c r="K791" s="27">
        <f t="shared" si="34"/>
        <v>1</v>
      </c>
      <c r="L791" s="25">
        <v>490.17808550000001</v>
      </c>
      <c r="M791" s="25">
        <v>493.09574775911597</v>
      </c>
      <c r="N791" s="38">
        <v>0.46070042487356133</v>
      </c>
      <c r="O791" s="38">
        <v>-5.2347085708815966</v>
      </c>
      <c r="P791" s="71">
        <v>-7.0775102703758419</v>
      </c>
      <c r="Q791" s="53">
        <v>43510</v>
      </c>
      <c r="R791" s="23">
        <v>9</v>
      </c>
      <c r="S791" s="30">
        <v>490.17808550000001</v>
      </c>
      <c r="T791" s="24">
        <v>493.09574775911597</v>
      </c>
      <c r="U791" s="1">
        <v>0.46070042487356133</v>
      </c>
      <c r="V791" s="2">
        <v>-5.2347085708815966</v>
      </c>
      <c r="W791" s="2">
        <v>-7.0775102703758419</v>
      </c>
      <c r="X791" s="22" t="s">
        <v>17</v>
      </c>
      <c r="Y791" s="23"/>
      <c r="Z791" s="24" t="s">
        <v>17</v>
      </c>
      <c r="AA791" s="24" t="s">
        <v>17</v>
      </c>
      <c r="AB791" s="1" t="s">
        <v>17</v>
      </c>
      <c r="AC791" s="2" t="s">
        <v>17</v>
      </c>
      <c r="AD791" s="2" t="s">
        <v>17</v>
      </c>
      <c r="AE791" s="22" t="s">
        <v>17</v>
      </c>
      <c r="AF791" s="23"/>
      <c r="AG791" s="24" t="s">
        <v>17</v>
      </c>
      <c r="AH791" s="24" t="s">
        <v>17</v>
      </c>
      <c r="AI791" s="1" t="s">
        <v>17</v>
      </c>
      <c r="AJ791" s="2" t="s">
        <v>17</v>
      </c>
      <c r="AK791" s="2" t="s">
        <v>17</v>
      </c>
      <c r="AL791" s="22" t="s">
        <v>17</v>
      </c>
      <c r="AM791" s="4" t="s">
        <v>17</v>
      </c>
      <c r="AN791" s="4"/>
      <c r="AO791" s="24" t="s">
        <v>17</v>
      </c>
      <c r="AP791" s="1" t="s">
        <v>17</v>
      </c>
      <c r="AQ791" s="2" t="s">
        <v>17</v>
      </c>
      <c r="AR791" s="2" t="s">
        <v>17</v>
      </c>
      <c r="AS791" s="3"/>
      <c r="AT791" s="2"/>
      <c r="AU791" s="4"/>
      <c r="AV791" s="2"/>
      <c r="AW791" s="2"/>
      <c r="AX791" s="2"/>
      <c r="AY791" s="2"/>
      <c r="AZ791" s="5"/>
      <c r="BA791" s="6"/>
      <c r="BB791" s="4"/>
      <c r="BC791" s="6"/>
      <c r="BD791" s="6"/>
      <c r="BE791" s="6"/>
      <c r="BF791" s="7"/>
    </row>
    <row r="792" spans="1:58" ht="18" customHeight="1">
      <c r="A792" s="106" t="s">
        <v>15</v>
      </c>
      <c r="B792" s="93" t="s">
        <v>762</v>
      </c>
      <c r="C792" s="28">
        <v>2013</v>
      </c>
      <c r="D792" s="28">
        <v>2013.12</v>
      </c>
      <c r="E792" s="28">
        <v>2013.06</v>
      </c>
      <c r="F792" s="28">
        <v>2013.06</v>
      </c>
      <c r="G792" s="29">
        <v>177090.32764615901</v>
      </c>
      <c r="H792" s="29">
        <v>173405.513299705</v>
      </c>
      <c r="I792" s="27">
        <f t="shared" si="33"/>
        <v>1</v>
      </c>
      <c r="J792" s="27">
        <f t="shared" si="35"/>
        <v>2</v>
      </c>
      <c r="K792" s="27">
        <f t="shared" si="34"/>
        <v>2</v>
      </c>
      <c r="L792" s="25">
        <v>483.15697449999999</v>
      </c>
      <c r="M792" s="25">
        <v>486.06321031274075</v>
      </c>
      <c r="N792" s="38">
        <v>0.46856237437686854</v>
      </c>
      <c r="O792" s="38">
        <v>-4.6874936253560318</v>
      </c>
      <c r="P792" s="71">
        <v>-6.5617431228635059</v>
      </c>
      <c r="Q792" s="53">
        <v>44222</v>
      </c>
      <c r="R792" s="23">
        <v>10</v>
      </c>
      <c r="S792" s="30">
        <v>483.15697449999999</v>
      </c>
      <c r="T792" s="24">
        <v>486.06321031274075</v>
      </c>
      <c r="U792" s="1">
        <v>0.46792707463860772</v>
      </c>
      <c r="V792" s="2">
        <v>-4.8037339629630749</v>
      </c>
      <c r="W792" s="2">
        <v>-6.6754422615175057</v>
      </c>
      <c r="X792" s="22">
        <v>44224</v>
      </c>
      <c r="Y792" s="23">
        <v>9</v>
      </c>
      <c r="Z792" s="24"/>
      <c r="AA792" s="24"/>
      <c r="AB792" s="1">
        <v>0.46919767411512936</v>
      </c>
      <c r="AC792" s="2">
        <v>-4.5712532877489886</v>
      </c>
      <c r="AD792" s="2">
        <v>-6.4480439842095061</v>
      </c>
      <c r="AE792" s="22"/>
      <c r="AF792" s="23"/>
      <c r="AG792" s="24" t="s">
        <v>17</v>
      </c>
      <c r="AH792" s="24"/>
      <c r="AI792" s="1"/>
      <c r="AJ792" s="2"/>
      <c r="AK792" s="2"/>
      <c r="AL792" s="22"/>
      <c r="AM792" s="4"/>
      <c r="AN792" s="4"/>
      <c r="AO792" s="24"/>
      <c r="AP792" s="1"/>
      <c r="AQ792" s="2"/>
      <c r="AR792" s="2"/>
      <c r="AS792" s="3"/>
      <c r="AT792" s="2"/>
      <c r="AU792" s="4"/>
      <c r="AV792" s="2"/>
      <c r="AW792" s="2"/>
      <c r="AX792" s="2"/>
      <c r="AY792" s="2"/>
      <c r="AZ792" s="5"/>
      <c r="BA792" s="6"/>
      <c r="BB792" s="4"/>
      <c r="BC792" s="6"/>
      <c r="BD792" s="6"/>
      <c r="BE792" s="6"/>
      <c r="BF792" s="7"/>
    </row>
    <row r="793" spans="1:58" ht="18" customHeight="1">
      <c r="A793" s="106" t="s">
        <v>15</v>
      </c>
      <c r="B793" s="93" t="s">
        <v>763</v>
      </c>
      <c r="C793" s="28">
        <v>2016.38</v>
      </c>
      <c r="D793" s="28">
        <v>2016.5</v>
      </c>
      <c r="E793" s="28">
        <v>2016.44</v>
      </c>
      <c r="F793" s="28">
        <v>2016.44</v>
      </c>
      <c r="G793" s="29">
        <v>177997.75684720499</v>
      </c>
      <c r="H793" s="29">
        <v>174147.000331207</v>
      </c>
      <c r="I793" s="27">
        <f t="shared" si="33"/>
        <v>1</v>
      </c>
      <c r="J793" s="27">
        <f t="shared" si="35"/>
        <v>1</v>
      </c>
      <c r="K793" s="27">
        <f t="shared" si="34"/>
        <v>1</v>
      </c>
      <c r="L793" s="25">
        <v>437.4117875</v>
      </c>
      <c r="M793" s="25">
        <v>440.08801418549689</v>
      </c>
      <c r="N793" s="38">
        <v>0.47355442690522054</v>
      </c>
      <c r="O793" s="38">
        <v>-4.6339366669956306</v>
      </c>
      <c r="P793" s="71">
        <v>-6.5281543746165127</v>
      </c>
      <c r="Q793" s="53">
        <v>43207</v>
      </c>
      <c r="R793" s="23">
        <v>10</v>
      </c>
      <c r="S793" s="30">
        <v>437.4117875</v>
      </c>
      <c r="T793" s="24">
        <v>440.08801418549689</v>
      </c>
      <c r="U793" s="1">
        <v>0.47355442690522054</v>
      </c>
      <c r="V793" s="2">
        <v>-4.6339366669956306</v>
      </c>
      <c r="W793" s="2">
        <v>-6.5281543746165127</v>
      </c>
      <c r="X793" s="22" t="s">
        <v>17</v>
      </c>
      <c r="Y793" s="23"/>
      <c r="Z793" s="24" t="s">
        <v>17</v>
      </c>
      <c r="AA793" s="24" t="s">
        <v>17</v>
      </c>
      <c r="AB793" s="1" t="s">
        <v>17</v>
      </c>
      <c r="AC793" s="2" t="s">
        <v>17</v>
      </c>
      <c r="AD793" s="2" t="s">
        <v>17</v>
      </c>
      <c r="AE793" s="22" t="s">
        <v>17</v>
      </c>
      <c r="AF793" s="23"/>
      <c r="AG793" s="24" t="s">
        <v>17</v>
      </c>
      <c r="AH793" s="24" t="s">
        <v>17</v>
      </c>
      <c r="AI793" s="1" t="s">
        <v>17</v>
      </c>
      <c r="AJ793" s="2" t="s">
        <v>17</v>
      </c>
      <c r="AK793" s="2" t="s">
        <v>17</v>
      </c>
      <c r="AL793" s="22" t="s">
        <v>17</v>
      </c>
      <c r="AM793" s="4" t="s">
        <v>17</v>
      </c>
      <c r="AN793" s="4"/>
      <c r="AO793" s="24" t="s">
        <v>17</v>
      </c>
      <c r="AP793" s="1" t="s">
        <v>17</v>
      </c>
      <c r="AQ793" s="2" t="s">
        <v>17</v>
      </c>
      <c r="AR793" s="2" t="s">
        <v>17</v>
      </c>
      <c r="AS793" s="3"/>
      <c r="AT793" s="2"/>
      <c r="AU793" s="4"/>
      <c r="AV793" s="2"/>
      <c r="AW793" s="2"/>
      <c r="AX793" s="2"/>
      <c r="AY793" s="2"/>
      <c r="AZ793" s="5"/>
      <c r="BA793" s="6"/>
      <c r="BB793" s="4"/>
      <c r="BC793" s="6"/>
      <c r="BD793" s="6"/>
      <c r="BE793" s="6"/>
      <c r="BF793" s="7"/>
    </row>
    <row r="794" spans="1:58" ht="18" customHeight="1">
      <c r="A794" s="106" t="s">
        <v>15</v>
      </c>
      <c r="B794" s="93" t="s">
        <v>764</v>
      </c>
      <c r="C794" s="28">
        <v>2017.5</v>
      </c>
      <c r="D794" s="28">
        <v>2017.62</v>
      </c>
      <c r="E794" s="28">
        <v>2017.56</v>
      </c>
      <c r="F794" s="28">
        <v>2017.56</v>
      </c>
      <c r="G794" s="29">
        <v>178299.61525665599</v>
      </c>
      <c r="H794" s="29">
        <v>174378.05722759099</v>
      </c>
      <c r="I794" s="27">
        <f t="shared" si="33"/>
        <v>1</v>
      </c>
      <c r="J794" s="27">
        <f t="shared" si="35"/>
        <v>1</v>
      </c>
      <c r="K794" s="27">
        <f t="shared" si="34"/>
        <v>1</v>
      </c>
      <c r="L794" s="25">
        <v>439.14714900000001</v>
      </c>
      <c r="M794" s="25">
        <v>441.85373626654689</v>
      </c>
      <c r="N794" s="38">
        <v>0.47703413082000878</v>
      </c>
      <c r="O794" s="38">
        <v>-5.279062112376276</v>
      </c>
      <c r="P794" s="71">
        <v>-7.1871986356563111</v>
      </c>
      <c r="Q794" s="53">
        <v>43748</v>
      </c>
      <c r="R794" s="23">
        <v>9</v>
      </c>
      <c r="S794" s="30">
        <v>439.14714900000001</v>
      </c>
      <c r="T794" s="24">
        <v>441.85373626654689</v>
      </c>
      <c r="U794" s="1">
        <v>0.47703413082000878</v>
      </c>
      <c r="V794" s="2">
        <v>-5.279062112376276</v>
      </c>
      <c r="W794" s="2">
        <v>-7.1871986356563111</v>
      </c>
      <c r="X794" s="22" t="s">
        <v>17</v>
      </c>
      <c r="Y794" s="23"/>
      <c r="Z794" s="24" t="s">
        <v>17</v>
      </c>
      <c r="AA794" s="24" t="s">
        <v>17</v>
      </c>
      <c r="AB794" s="1" t="s">
        <v>17</v>
      </c>
      <c r="AC794" s="2" t="s">
        <v>17</v>
      </c>
      <c r="AD794" s="2" t="s">
        <v>17</v>
      </c>
      <c r="AE794" s="22" t="s">
        <v>17</v>
      </c>
      <c r="AF794" s="23"/>
      <c r="AG794" s="24" t="s">
        <v>17</v>
      </c>
      <c r="AH794" s="24" t="s">
        <v>17</v>
      </c>
      <c r="AI794" s="1" t="s">
        <v>17</v>
      </c>
      <c r="AJ794" s="2" t="s">
        <v>17</v>
      </c>
      <c r="AK794" s="2" t="s">
        <v>17</v>
      </c>
      <c r="AL794" s="22" t="s">
        <v>17</v>
      </c>
      <c r="AM794" s="4" t="s">
        <v>17</v>
      </c>
      <c r="AN794" s="4"/>
      <c r="AO794" s="24" t="s">
        <v>17</v>
      </c>
      <c r="AP794" s="1" t="s">
        <v>17</v>
      </c>
      <c r="AQ794" s="2" t="s">
        <v>17</v>
      </c>
      <c r="AR794" s="2" t="s">
        <v>17</v>
      </c>
      <c r="AS794" s="3"/>
      <c r="AT794" s="2"/>
      <c r="AU794" s="4"/>
      <c r="AV794" s="2"/>
      <c r="AW794" s="2"/>
      <c r="AX794" s="2"/>
      <c r="AY794" s="2"/>
      <c r="AZ794" s="5"/>
      <c r="BA794" s="6"/>
      <c r="BB794" s="4"/>
      <c r="BC794" s="6"/>
      <c r="BD794" s="6"/>
      <c r="BE794" s="6"/>
      <c r="BF794" s="7"/>
    </row>
    <row r="795" spans="1:58" ht="18" customHeight="1">
      <c r="A795" s="106" t="s">
        <v>15</v>
      </c>
      <c r="B795" s="93" t="s">
        <v>804</v>
      </c>
      <c r="C795" s="28">
        <v>2019.38</v>
      </c>
      <c r="D795" s="28">
        <v>2019.5</v>
      </c>
      <c r="E795" s="28">
        <v>2019.44</v>
      </c>
      <c r="F795" s="28">
        <v>2019.44</v>
      </c>
      <c r="G795" s="29">
        <v>178791.64793109399</v>
      </c>
      <c r="H795" s="29">
        <v>174756.03033020801</v>
      </c>
      <c r="I795" s="27">
        <f t="shared" si="33"/>
        <v>2</v>
      </c>
      <c r="J795" s="27">
        <f t="shared" si="35"/>
        <v>2</v>
      </c>
      <c r="K795" s="27">
        <f t="shared" si="34"/>
        <v>1</v>
      </c>
      <c r="L795" s="25">
        <v>445.07493199999999</v>
      </c>
      <c r="M795" s="25">
        <v>447.78230333173599</v>
      </c>
      <c r="N795" s="38">
        <v>0.4708239335466935</v>
      </c>
      <c r="O795" s="38">
        <v>-5.1642773228958161</v>
      </c>
      <c r="P795" s="71">
        <v>-7.0578601336624969</v>
      </c>
      <c r="Q795" s="53">
        <v>44294</v>
      </c>
      <c r="R795" s="23">
        <v>9</v>
      </c>
      <c r="S795" s="30">
        <v>443.88294250000001</v>
      </c>
      <c r="T795" s="24">
        <v>446.59785152501104</v>
      </c>
      <c r="U795" s="1">
        <v>0.47339570269167019</v>
      </c>
      <c r="V795" s="2">
        <v>-5.1642773228958161</v>
      </c>
      <c r="W795" s="2">
        <v>-7.0578601336624969</v>
      </c>
      <c r="X795" s="22">
        <v>44301</v>
      </c>
      <c r="Y795" s="23" t="s">
        <v>88</v>
      </c>
      <c r="Z795" s="24">
        <v>446.26692149999997</v>
      </c>
      <c r="AA795" s="24">
        <f>Z795-(Z795*-12.92*AB795/1000)</f>
        <v>448.96675513846094</v>
      </c>
      <c r="AB795" s="1">
        <v>0.4682521644017168</v>
      </c>
      <c r="AC795" s="2"/>
      <c r="AD795" s="2"/>
      <c r="AE795" s="22"/>
      <c r="AF795" s="23"/>
      <c r="AG795" s="24"/>
      <c r="AH795" s="24"/>
      <c r="AI795" s="1"/>
      <c r="AJ795" s="2"/>
      <c r="AK795" s="2"/>
      <c r="AL795" s="22"/>
      <c r="AM795" s="4"/>
      <c r="AN795" s="4"/>
      <c r="AO795" s="24"/>
      <c r="AP795" s="1"/>
      <c r="AQ795" s="2"/>
      <c r="AR795" s="2"/>
      <c r="AS795" s="3"/>
      <c r="AT795" s="2"/>
      <c r="AU795" s="4"/>
      <c r="AV795" s="2"/>
      <c r="AW795" s="2"/>
      <c r="AX795" s="2"/>
      <c r="AY795" s="2"/>
      <c r="AZ795" s="50"/>
      <c r="BA795" s="51"/>
      <c r="BB795" s="4"/>
      <c r="BC795" s="51"/>
      <c r="BD795" s="51"/>
      <c r="BE795" s="51"/>
      <c r="BF795" s="57"/>
    </row>
    <row r="796" spans="1:58" ht="18" customHeight="1">
      <c r="A796" s="106" t="s">
        <v>15</v>
      </c>
      <c r="B796" s="93" t="s">
        <v>805</v>
      </c>
      <c r="C796" s="28">
        <v>2021</v>
      </c>
      <c r="D796" s="28">
        <v>2021.12</v>
      </c>
      <c r="E796" s="28">
        <v>2021.06</v>
      </c>
      <c r="F796" s="28">
        <v>2021.06</v>
      </c>
      <c r="G796" s="29">
        <v>179202.61048274301</v>
      </c>
      <c r="H796" s="29">
        <v>175090.32106904799</v>
      </c>
      <c r="I796" s="27">
        <f t="shared" si="33"/>
        <v>1</v>
      </c>
      <c r="J796" s="27">
        <f t="shared" si="35"/>
        <v>1</v>
      </c>
      <c r="K796" s="27">
        <f t="shared" si="34"/>
        <v>1</v>
      </c>
      <c r="L796" s="25">
        <v>469.42546000000004</v>
      </c>
      <c r="M796" s="25">
        <v>472.21274434468143</v>
      </c>
      <c r="N796" s="38">
        <v>0.45957047665390327</v>
      </c>
      <c r="O796" s="38">
        <v>-5.9348604785602888</v>
      </c>
      <c r="P796" s="71">
        <v>-7.7731423851759018</v>
      </c>
      <c r="Q796" s="53">
        <v>44354</v>
      </c>
      <c r="R796" s="23">
        <v>9</v>
      </c>
      <c r="S796" s="30">
        <v>469.42546000000004</v>
      </c>
      <c r="T796" s="24">
        <v>472.21274434468143</v>
      </c>
      <c r="U796" s="1">
        <v>0.45957047665390327</v>
      </c>
      <c r="V796" s="2">
        <v>-5.9348604785602888</v>
      </c>
      <c r="W796" s="2">
        <v>-7.7731423851759018</v>
      </c>
      <c r="X796" s="22" t="s">
        <v>17</v>
      </c>
      <c r="Y796" s="23" t="s">
        <v>17</v>
      </c>
      <c r="Z796" s="24"/>
      <c r="AA796" s="24"/>
      <c r="AB796" s="1" t="s">
        <v>17</v>
      </c>
      <c r="AC796" s="2" t="s">
        <v>17</v>
      </c>
      <c r="AD796" s="2" t="s">
        <v>17</v>
      </c>
      <c r="AE796" s="22"/>
      <c r="AF796" s="23"/>
      <c r="AG796" s="24"/>
      <c r="AH796" s="24"/>
      <c r="AI796" s="1"/>
      <c r="AJ796" s="2"/>
      <c r="AK796" s="2"/>
      <c r="AL796" s="22"/>
      <c r="AM796" s="4"/>
      <c r="AN796" s="4"/>
      <c r="AO796" s="24"/>
      <c r="AP796" s="1"/>
      <c r="AQ796" s="2"/>
      <c r="AR796" s="2"/>
      <c r="AS796" s="3"/>
      <c r="AT796" s="2"/>
      <c r="AU796" s="4"/>
      <c r="AV796" s="2"/>
      <c r="AW796" s="2"/>
      <c r="AX796" s="2"/>
      <c r="AY796" s="2"/>
      <c r="AZ796" s="50"/>
      <c r="BA796" s="51"/>
      <c r="BB796" s="4"/>
      <c r="BC796" s="51"/>
      <c r="BD796" s="51"/>
      <c r="BE796" s="51"/>
      <c r="BF796" s="57"/>
    </row>
    <row r="797" spans="1:58" ht="18" customHeight="1">
      <c r="A797" s="106" t="s">
        <v>15</v>
      </c>
      <c r="B797" s="93" t="s">
        <v>765</v>
      </c>
      <c r="C797" s="28">
        <v>2023</v>
      </c>
      <c r="D797" s="28">
        <v>2023.12</v>
      </c>
      <c r="E797" s="28">
        <v>2023.06</v>
      </c>
      <c r="F797" s="28">
        <v>2023.06</v>
      </c>
      <c r="G797" s="29">
        <v>179677.27709900201</v>
      </c>
      <c r="H797" s="29">
        <v>175527.37277048599</v>
      </c>
      <c r="I797" s="27">
        <f t="shared" si="33"/>
        <v>2</v>
      </c>
      <c r="J797" s="27">
        <f t="shared" si="35"/>
        <v>2</v>
      </c>
      <c r="K797" s="27">
        <f t="shared" si="34"/>
        <v>2</v>
      </c>
      <c r="L797" s="25">
        <v>432.53084474999997</v>
      </c>
      <c r="M797" s="25">
        <v>435.28770999021378</v>
      </c>
      <c r="N797" s="38">
        <v>0.49332812788382974</v>
      </c>
      <c r="O797" s="38">
        <v>-5.6982972412514261</v>
      </c>
      <c r="P797" s="71">
        <v>-7.6716097527867451</v>
      </c>
      <c r="Q797" s="53">
        <v>43186</v>
      </c>
      <c r="R797" s="23">
        <v>9</v>
      </c>
      <c r="S797" s="30">
        <v>432.47083699999996</v>
      </c>
      <c r="T797" s="24">
        <v>435.22446425785398</v>
      </c>
      <c r="U797" s="1">
        <v>0.49281714855964331</v>
      </c>
      <c r="V797" s="2">
        <v>-5.7594962791541748</v>
      </c>
      <c r="W797" s="2">
        <v>-7.7307648733927481</v>
      </c>
      <c r="X797" s="22">
        <v>43186</v>
      </c>
      <c r="Y797" s="23">
        <v>9</v>
      </c>
      <c r="Z797" s="24">
        <v>432.59085249999998</v>
      </c>
      <c r="AA797" s="24">
        <v>435.35095572257359</v>
      </c>
      <c r="AB797" s="1">
        <v>0.49383910720801616</v>
      </c>
      <c r="AC797" s="2">
        <v>-5.6370982033486783</v>
      </c>
      <c r="AD797" s="2">
        <v>-7.6124546321807429</v>
      </c>
      <c r="AE797" s="22" t="s">
        <v>17</v>
      </c>
      <c r="AF797" s="23"/>
      <c r="AG797" s="24" t="s">
        <v>17</v>
      </c>
      <c r="AH797" s="24" t="s">
        <v>17</v>
      </c>
      <c r="AI797" s="1" t="s">
        <v>17</v>
      </c>
      <c r="AJ797" s="2" t="s">
        <v>17</v>
      </c>
      <c r="AK797" s="2" t="s">
        <v>17</v>
      </c>
      <c r="AL797" s="22" t="s">
        <v>17</v>
      </c>
      <c r="AM797" s="4" t="s">
        <v>17</v>
      </c>
      <c r="AN797" s="4"/>
      <c r="AO797" s="24" t="s">
        <v>17</v>
      </c>
      <c r="AP797" s="1" t="s">
        <v>17</v>
      </c>
      <c r="AQ797" s="2" t="s">
        <v>17</v>
      </c>
      <c r="AR797" s="2" t="s">
        <v>17</v>
      </c>
      <c r="AS797" s="3"/>
      <c r="AT797" s="2"/>
      <c r="AU797" s="4"/>
      <c r="AV797" s="2"/>
      <c r="AW797" s="2"/>
      <c r="AX797" s="2"/>
      <c r="AY797" s="2"/>
      <c r="AZ797" s="5"/>
      <c r="BA797" s="6"/>
      <c r="BB797" s="4"/>
      <c r="BC797" s="6"/>
      <c r="BD797" s="6"/>
      <c r="BE797" s="6"/>
      <c r="BF797" s="7"/>
    </row>
    <row r="798" spans="1:58" ht="18" customHeight="1">
      <c r="A798" s="106" t="s">
        <v>15</v>
      </c>
      <c r="B798" s="93" t="s">
        <v>766</v>
      </c>
      <c r="C798" s="28">
        <v>2025.5</v>
      </c>
      <c r="D798" s="28">
        <v>2025.62</v>
      </c>
      <c r="E798" s="28">
        <v>2025.56</v>
      </c>
      <c r="F798" s="28">
        <v>2025.56</v>
      </c>
      <c r="G798" s="29">
        <v>180293.83484449299</v>
      </c>
      <c r="H798" s="29">
        <v>176146.69945247599</v>
      </c>
      <c r="I798" s="27">
        <f t="shared" si="33"/>
        <v>1</v>
      </c>
      <c r="J798" s="27">
        <f t="shared" si="35"/>
        <v>1</v>
      </c>
      <c r="K798" s="27">
        <f t="shared" si="34"/>
        <v>1</v>
      </c>
      <c r="L798" s="25">
        <v>451.1465445</v>
      </c>
      <c r="M798" s="25">
        <v>453.92729428972217</v>
      </c>
      <c r="N798" s="38">
        <v>0.47706962299032263</v>
      </c>
      <c r="O798" s="38">
        <v>-6.2675480033302922</v>
      </c>
      <c r="P798" s="71">
        <v>-8.1758264952915827</v>
      </c>
      <c r="Q798" s="53">
        <v>43510</v>
      </c>
      <c r="R798" s="23">
        <v>9</v>
      </c>
      <c r="S798" s="30">
        <v>451.1465445</v>
      </c>
      <c r="T798" s="24">
        <v>453.92729428972217</v>
      </c>
      <c r="U798" s="1">
        <v>0.47706962299032263</v>
      </c>
      <c r="V798" s="2">
        <v>-6.2675480033302922</v>
      </c>
      <c r="W798" s="2">
        <v>-8.1758264952915827</v>
      </c>
      <c r="X798" s="22" t="s">
        <v>17</v>
      </c>
      <c r="Y798" s="23"/>
      <c r="Z798" s="24" t="s">
        <v>17</v>
      </c>
      <c r="AA798" s="24" t="s">
        <v>17</v>
      </c>
      <c r="AB798" s="1" t="s">
        <v>17</v>
      </c>
      <c r="AC798" s="2" t="s">
        <v>17</v>
      </c>
      <c r="AD798" s="2" t="s">
        <v>17</v>
      </c>
      <c r="AE798" s="22" t="s">
        <v>17</v>
      </c>
      <c r="AF798" s="23"/>
      <c r="AG798" s="24" t="s">
        <v>17</v>
      </c>
      <c r="AH798" s="24" t="s">
        <v>17</v>
      </c>
      <c r="AI798" s="1" t="s">
        <v>17</v>
      </c>
      <c r="AJ798" s="2" t="s">
        <v>17</v>
      </c>
      <c r="AK798" s="2" t="s">
        <v>17</v>
      </c>
      <c r="AL798" s="22" t="s">
        <v>17</v>
      </c>
      <c r="AM798" s="4" t="s">
        <v>17</v>
      </c>
      <c r="AN798" s="4"/>
      <c r="AO798" s="24" t="s">
        <v>17</v>
      </c>
      <c r="AP798" s="1" t="s">
        <v>17</v>
      </c>
      <c r="AQ798" s="2" t="s">
        <v>17</v>
      </c>
      <c r="AR798" s="2" t="s">
        <v>17</v>
      </c>
      <c r="AS798" s="3"/>
      <c r="AT798" s="2"/>
      <c r="AU798" s="4"/>
      <c r="AV798" s="2"/>
      <c r="AW798" s="2"/>
      <c r="AX798" s="2"/>
      <c r="AY798" s="2"/>
      <c r="AZ798" s="5"/>
      <c r="BA798" s="6"/>
      <c r="BB798" s="4"/>
      <c r="BC798" s="6"/>
      <c r="BD798" s="6"/>
      <c r="BE798" s="6"/>
      <c r="BF798" s="7"/>
    </row>
    <row r="799" spans="1:58" ht="18" customHeight="1">
      <c r="A799" s="106" t="s">
        <v>15</v>
      </c>
      <c r="B799" s="93" t="s">
        <v>767</v>
      </c>
      <c r="C799" s="28">
        <v>2027.5</v>
      </c>
      <c r="D799" s="28">
        <v>2027.62</v>
      </c>
      <c r="E799" s="28">
        <v>2027.56</v>
      </c>
      <c r="F799" s="28">
        <v>2027.56</v>
      </c>
      <c r="G799" s="29">
        <v>180794.956724588</v>
      </c>
      <c r="H799" s="29">
        <v>176693.839385959</v>
      </c>
      <c r="I799" s="27">
        <f t="shared" si="33"/>
        <v>1</v>
      </c>
      <c r="J799" s="27">
        <f t="shared" si="35"/>
        <v>2</v>
      </c>
      <c r="K799" s="27">
        <f t="shared" si="34"/>
        <v>2</v>
      </c>
      <c r="L799" s="25">
        <v>466.58986500000003</v>
      </c>
      <c r="M799" s="25">
        <v>469.49672393723591</v>
      </c>
      <c r="N799" s="38">
        <v>0.49028864768829727</v>
      </c>
      <c r="O799" s="38">
        <v>-5.2655597084321215</v>
      </c>
      <c r="P799" s="71">
        <v>-7.2267142991853106</v>
      </c>
      <c r="Q799" s="53">
        <v>43769</v>
      </c>
      <c r="R799" s="23">
        <v>9</v>
      </c>
      <c r="S799" s="30">
        <v>466.58986500000003</v>
      </c>
      <c r="T799" s="24">
        <v>469.49672393723591</v>
      </c>
      <c r="U799" s="1">
        <v>0.48219881893363237</v>
      </c>
      <c r="V799" s="2">
        <v>-5.4113492962547527</v>
      </c>
      <c r="W799" s="2">
        <v>-7.3401445719892822</v>
      </c>
      <c r="X799" s="22">
        <v>43775</v>
      </c>
      <c r="Y799" s="23">
        <v>9</v>
      </c>
      <c r="Z799" s="24"/>
      <c r="AA799" s="24"/>
      <c r="AB799" s="1">
        <v>0.49837847644296218</v>
      </c>
      <c r="AC799" s="2">
        <v>-5.1197701206094903</v>
      </c>
      <c r="AD799" s="2">
        <v>-7.1132840263813391</v>
      </c>
      <c r="AE799" s="22" t="s">
        <v>17</v>
      </c>
      <c r="AF799" s="23"/>
      <c r="AG799" s="24"/>
      <c r="AH799" s="24"/>
      <c r="AI799" s="1" t="s">
        <v>17</v>
      </c>
      <c r="AJ799" s="2" t="s">
        <v>17</v>
      </c>
      <c r="AK799" s="2" t="s">
        <v>17</v>
      </c>
      <c r="AL799" s="22" t="s">
        <v>17</v>
      </c>
      <c r="AM799" s="4" t="s">
        <v>17</v>
      </c>
      <c r="AN799" s="4"/>
      <c r="AO799" s="24" t="s">
        <v>17</v>
      </c>
      <c r="AP799" s="1" t="s">
        <v>17</v>
      </c>
      <c r="AQ799" s="2" t="s">
        <v>17</v>
      </c>
      <c r="AR799" s="2" t="s">
        <v>17</v>
      </c>
      <c r="AS799" s="3"/>
      <c r="AT799" s="2"/>
      <c r="AU799" s="4"/>
      <c r="AV799" s="2"/>
      <c r="AW799" s="2"/>
      <c r="AX799" s="2"/>
      <c r="AY799" s="2"/>
      <c r="AZ799" s="5"/>
      <c r="BA799" s="6"/>
      <c r="BB799" s="4"/>
      <c r="BC799" s="6"/>
      <c r="BD799" s="6"/>
      <c r="BE799" s="6"/>
      <c r="BF799" s="7"/>
    </row>
    <row r="800" spans="1:58" ht="18" customHeight="1">
      <c r="A800" s="106" t="s">
        <v>15</v>
      </c>
      <c r="B800" s="93" t="s">
        <v>806</v>
      </c>
      <c r="C800" s="28">
        <v>2029.88</v>
      </c>
      <c r="D800" s="28">
        <v>2030</v>
      </c>
      <c r="E800" s="28">
        <v>2029.94</v>
      </c>
      <c r="F800" s="28">
        <v>2029.94</v>
      </c>
      <c r="G800" s="29">
        <v>181390.19401865199</v>
      </c>
      <c r="H800" s="29">
        <v>177306.094814382</v>
      </c>
      <c r="I800" s="27">
        <f t="shared" si="33"/>
        <v>1</v>
      </c>
      <c r="J800" s="27">
        <f t="shared" si="35"/>
        <v>1</v>
      </c>
      <c r="K800" s="27">
        <f t="shared" si="34"/>
        <v>1</v>
      </c>
      <c r="L800" s="25">
        <v>461.77843099999996</v>
      </c>
      <c r="M800" s="25">
        <v>464.68056486693911</v>
      </c>
      <c r="N800" s="38">
        <v>0.4864310440566566</v>
      </c>
      <c r="O800" s="38">
        <v>-5.3999388019095873</v>
      </c>
      <c r="P800" s="71">
        <v>-7.3456629781362137</v>
      </c>
      <c r="Q800" s="53">
        <v>44361</v>
      </c>
      <c r="R800" s="23">
        <v>9</v>
      </c>
      <c r="S800" s="30">
        <v>461.77843099999996</v>
      </c>
      <c r="T800" s="24">
        <v>464.68056486693911</v>
      </c>
      <c r="U800" s="1">
        <v>0.4864310440566566</v>
      </c>
      <c r="V800" s="2">
        <v>-5.3999388019095873</v>
      </c>
      <c r="W800" s="2">
        <v>-7.3456629781362137</v>
      </c>
      <c r="X800" s="22" t="s">
        <v>17</v>
      </c>
      <c r="Y800" s="23" t="s">
        <v>17</v>
      </c>
      <c r="Z800" s="24"/>
      <c r="AA800" s="24"/>
      <c r="AB800" s="1" t="s">
        <v>17</v>
      </c>
      <c r="AC800" s="2" t="s">
        <v>17</v>
      </c>
      <c r="AD800" s="2" t="s">
        <v>17</v>
      </c>
      <c r="AE800" s="22"/>
      <c r="AF800" s="23"/>
      <c r="AG800" s="24"/>
      <c r="AH800" s="24"/>
      <c r="AI800" s="1"/>
      <c r="AJ800" s="2"/>
      <c r="AK800" s="2"/>
      <c r="AL800" s="22"/>
      <c r="AM800" s="4"/>
      <c r="AN800" s="4"/>
      <c r="AO800" s="24"/>
      <c r="AP800" s="1"/>
      <c r="AQ800" s="2"/>
      <c r="AR800" s="2"/>
      <c r="AS800" s="3"/>
      <c r="AT800" s="2"/>
      <c r="AU800" s="4"/>
      <c r="AV800" s="2"/>
      <c r="AW800" s="2"/>
      <c r="AX800" s="2"/>
      <c r="AY800" s="2"/>
      <c r="AZ800" s="50"/>
      <c r="BA800" s="51"/>
      <c r="BB800" s="4"/>
      <c r="BC800" s="51"/>
      <c r="BD800" s="51"/>
      <c r="BE800" s="51"/>
      <c r="BF800" s="57"/>
    </row>
    <row r="801" spans="1:58" ht="18" customHeight="1">
      <c r="A801" s="106" t="s">
        <v>15</v>
      </c>
      <c r="B801" s="93" t="s">
        <v>768</v>
      </c>
      <c r="C801" s="28">
        <v>2032</v>
      </c>
      <c r="D801" s="28">
        <v>2032.12</v>
      </c>
      <c r="E801" s="28">
        <v>2032.06</v>
      </c>
      <c r="F801" s="28">
        <v>2032.06</v>
      </c>
      <c r="G801" s="29">
        <v>181918.16258500499</v>
      </c>
      <c r="H801" s="29">
        <v>177880.51286731599</v>
      </c>
      <c r="I801" s="27">
        <f t="shared" si="33"/>
        <v>2</v>
      </c>
      <c r="J801" s="27">
        <f t="shared" si="35"/>
        <v>2</v>
      </c>
      <c r="K801" s="27">
        <f t="shared" si="34"/>
        <v>2</v>
      </c>
      <c r="L801" s="25">
        <v>473.62962075000002</v>
      </c>
      <c r="M801" s="25">
        <v>476.55705665112282</v>
      </c>
      <c r="N801" s="38">
        <v>0.47839375263558637</v>
      </c>
      <c r="O801" s="38">
        <v>-6.5456883826437995</v>
      </c>
      <c r="P801" s="71">
        <v>-8.459263393186145</v>
      </c>
      <c r="Q801" s="53">
        <v>43185</v>
      </c>
      <c r="R801" s="23">
        <v>9</v>
      </c>
      <c r="S801" s="30">
        <v>473.50711799999999</v>
      </c>
      <c r="T801" s="24">
        <v>476.42008666405241</v>
      </c>
      <c r="U801" s="1">
        <v>0.47615328752437236</v>
      </c>
      <c r="V801" s="2">
        <v>-6.5269740140075916</v>
      </c>
      <c r="W801" s="2">
        <v>-8.4315871641050819</v>
      </c>
      <c r="X801" s="22">
        <v>43185</v>
      </c>
      <c r="Y801" s="23">
        <v>9</v>
      </c>
      <c r="Z801" s="24">
        <v>473.75212350000004</v>
      </c>
      <c r="AA801" s="24">
        <v>476.69402663819329</v>
      </c>
      <c r="AB801" s="1">
        <v>0.48063421774680037</v>
      </c>
      <c r="AC801" s="2">
        <v>-6.5644027512800074</v>
      </c>
      <c r="AD801" s="2">
        <v>-8.486939622267208</v>
      </c>
      <c r="AE801" s="22" t="s">
        <v>17</v>
      </c>
      <c r="AF801" s="23"/>
      <c r="AG801" s="24" t="s">
        <v>17</v>
      </c>
      <c r="AH801" s="24" t="s">
        <v>17</v>
      </c>
      <c r="AI801" s="1" t="s">
        <v>17</v>
      </c>
      <c r="AJ801" s="2" t="s">
        <v>17</v>
      </c>
      <c r="AK801" s="2" t="s">
        <v>17</v>
      </c>
      <c r="AL801" s="22" t="s">
        <v>17</v>
      </c>
      <c r="AM801" s="4" t="s">
        <v>17</v>
      </c>
      <c r="AN801" s="4"/>
      <c r="AO801" s="24" t="s">
        <v>17</v>
      </c>
      <c r="AP801" s="1" t="s">
        <v>17</v>
      </c>
      <c r="AQ801" s="2" t="s">
        <v>17</v>
      </c>
      <c r="AR801" s="2" t="s">
        <v>17</v>
      </c>
      <c r="AS801" s="3"/>
      <c r="AT801" s="2"/>
      <c r="AU801" s="4"/>
      <c r="AV801" s="2"/>
      <c r="AW801" s="2"/>
      <c r="AX801" s="2"/>
      <c r="AY801" s="2"/>
      <c r="AZ801" s="5"/>
      <c r="BA801" s="6"/>
      <c r="BB801" s="4"/>
      <c r="BC801" s="6"/>
      <c r="BD801" s="6"/>
      <c r="BE801" s="6"/>
      <c r="BF801" s="7"/>
    </row>
    <row r="802" spans="1:58" ht="18" customHeight="1">
      <c r="A802" s="106" t="s">
        <v>15</v>
      </c>
      <c r="B802" s="93" t="s">
        <v>807</v>
      </c>
      <c r="C802" s="28">
        <v>2033.5</v>
      </c>
      <c r="D802" s="28">
        <v>2033.62</v>
      </c>
      <c r="E802" s="28">
        <v>2033.56</v>
      </c>
      <c r="F802" s="28">
        <v>2033.56</v>
      </c>
      <c r="G802" s="29">
        <v>182293.86865199899</v>
      </c>
      <c r="H802" s="29">
        <v>178296.79948291401</v>
      </c>
      <c r="I802" s="27">
        <f t="shared" si="33"/>
        <v>1</v>
      </c>
      <c r="J802" s="27">
        <f t="shared" si="35"/>
        <v>1</v>
      </c>
      <c r="K802" s="27">
        <f t="shared" si="34"/>
        <v>1</v>
      </c>
      <c r="L802" s="25">
        <v>487.75555299999996</v>
      </c>
      <c r="M802" s="25">
        <v>490.70571199050363</v>
      </c>
      <c r="N802" s="38">
        <v>0.46814531938532689</v>
      </c>
      <c r="O802" s="38">
        <v>-7.3344591260564584</v>
      </c>
      <c r="P802" s="71">
        <v>-9.207040403597766</v>
      </c>
      <c r="Q802" s="53">
        <v>44364</v>
      </c>
      <c r="R802" s="23">
        <v>9</v>
      </c>
      <c r="S802" s="30">
        <v>487.75555299999996</v>
      </c>
      <c r="T802" s="24">
        <v>490.70571199050363</v>
      </c>
      <c r="U802" s="1">
        <v>0.46814531938532689</v>
      </c>
      <c r="V802" s="2">
        <v>-7.3344591260564584</v>
      </c>
      <c r="W802" s="2">
        <v>-9.207040403597766</v>
      </c>
      <c r="X802" s="22" t="s">
        <v>17</v>
      </c>
      <c r="Y802" s="23" t="s">
        <v>17</v>
      </c>
      <c r="Z802" s="24"/>
      <c r="AA802" s="24"/>
      <c r="AB802" s="1" t="s">
        <v>17</v>
      </c>
      <c r="AC802" s="2" t="s">
        <v>17</v>
      </c>
      <c r="AD802" s="2" t="s">
        <v>17</v>
      </c>
      <c r="AE802" s="22"/>
      <c r="AF802" s="23"/>
      <c r="AG802" s="24"/>
      <c r="AH802" s="24"/>
      <c r="AI802" s="1"/>
      <c r="AJ802" s="2"/>
      <c r="AK802" s="2"/>
      <c r="AL802" s="22"/>
      <c r="AM802" s="4"/>
      <c r="AN802" s="4"/>
      <c r="AO802" s="24"/>
      <c r="AP802" s="1"/>
      <c r="AQ802" s="2"/>
      <c r="AR802" s="2"/>
      <c r="AS802" s="3"/>
      <c r="AT802" s="2"/>
      <c r="AU802" s="4"/>
      <c r="AV802" s="2"/>
      <c r="AW802" s="2"/>
      <c r="AX802" s="2"/>
      <c r="AY802" s="2"/>
      <c r="AZ802" s="50"/>
      <c r="BA802" s="51"/>
      <c r="BB802" s="4"/>
      <c r="BC802" s="51"/>
      <c r="BD802" s="51"/>
      <c r="BE802" s="51"/>
      <c r="BF802" s="57"/>
    </row>
    <row r="803" spans="1:58" ht="18" customHeight="1">
      <c r="A803" s="106" t="s">
        <v>15</v>
      </c>
      <c r="B803" s="93" t="s">
        <v>769</v>
      </c>
      <c r="C803" s="28">
        <v>2035.5</v>
      </c>
      <c r="D803" s="28">
        <v>2035.62</v>
      </c>
      <c r="E803" s="28">
        <v>2035.56</v>
      </c>
      <c r="F803" s="28">
        <v>2035.56</v>
      </c>
      <c r="G803" s="29">
        <v>182864.22219799701</v>
      </c>
      <c r="H803" s="29">
        <v>178826.212223685</v>
      </c>
      <c r="I803" s="27">
        <f t="shared" si="33"/>
        <v>1</v>
      </c>
      <c r="J803" s="27">
        <f t="shared" si="35"/>
        <v>1</v>
      </c>
      <c r="K803" s="27">
        <f t="shared" si="34"/>
        <v>1</v>
      </c>
      <c r="L803" s="25">
        <v>539.71098749999999</v>
      </c>
      <c r="M803" s="25">
        <v>542.94988317668003</v>
      </c>
      <c r="N803" s="38">
        <v>0.46448659685083271</v>
      </c>
      <c r="O803" s="38">
        <v>-7.6537906687007551</v>
      </c>
      <c r="P803" s="71">
        <v>-9.511737056104085</v>
      </c>
      <c r="Q803" s="53">
        <v>43510</v>
      </c>
      <c r="R803" s="23">
        <v>9</v>
      </c>
      <c r="S803" s="30">
        <v>539.71098749999999</v>
      </c>
      <c r="T803" s="24">
        <v>542.94988317668003</v>
      </c>
      <c r="U803" s="1">
        <v>0.46448659685083271</v>
      </c>
      <c r="V803" s="2">
        <v>-7.6537906687007551</v>
      </c>
      <c r="W803" s="2">
        <v>-9.511737056104085</v>
      </c>
      <c r="X803" s="22" t="s">
        <v>17</v>
      </c>
      <c r="Y803" s="23"/>
      <c r="Z803" s="24" t="s">
        <v>17</v>
      </c>
      <c r="AA803" s="24" t="s">
        <v>17</v>
      </c>
      <c r="AB803" s="1" t="s">
        <v>17</v>
      </c>
      <c r="AC803" s="2" t="s">
        <v>17</v>
      </c>
      <c r="AD803" s="2" t="s">
        <v>17</v>
      </c>
      <c r="AE803" s="22" t="s">
        <v>17</v>
      </c>
      <c r="AF803" s="23"/>
      <c r="AG803" s="24" t="s">
        <v>17</v>
      </c>
      <c r="AH803" s="24" t="s">
        <v>17</v>
      </c>
      <c r="AI803" s="1" t="s">
        <v>17</v>
      </c>
      <c r="AJ803" s="2" t="s">
        <v>17</v>
      </c>
      <c r="AK803" s="2" t="s">
        <v>17</v>
      </c>
      <c r="AL803" s="22" t="s">
        <v>17</v>
      </c>
      <c r="AM803" s="4" t="s">
        <v>17</v>
      </c>
      <c r="AN803" s="4"/>
      <c r="AO803" s="24" t="s">
        <v>17</v>
      </c>
      <c r="AP803" s="1" t="s">
        <v>17</v>
      </c>
      <c r="AQ803" s="2" t="s">
        <v>17</v>
      </c>
      <c r="AR803" s="2" t="s">
        <v>17</v>
      </c>
      <c r="AS803" s="3"/>
      <c r="AT803" s="2"/>
      <c r="AU803" s="4"/>
      <c r="AV803" s="2"/>
      <c r="AW803" s="2"/>
      <c r="AX803" s="2"/>
      <c r="AY803" s="2"/>
      <c r="AZ803" s="5"/>
      <c r="BA803" s="6"/>
      <c r="BB803" s="4"/>
      <c r="BC803" s="6"/>
      <c r="BD803" s="6"/>
      <c r="BE803" s="6"/>
      <c r="BF803" s="7"/>
    </row>
    <row r="804" spans="1:58" ht="18" customHeight="1">
      <c r="A804" s="106" t="s">
        <v>15</v>
      </c>
      <c r="B804" s="93" t="s">
        <v>808</v>
      </c>
      <c r="C804" s="28">
        <v>2037</v>
      </c>
      <c r="D804" s="28">
        <v>2037.12</v>
      </c>
      <c r="E804" s="28">
        <v>2037.06</v>
      </c>
      <c r="F804" s="28">
        <v>2037.06</v>
      </c>
      <c r="G804" s="29">
        <v>183297.27480449801</v>
      </c>
      <c r="H804" s="29">
        <v>179215.91858937699</v>
      </c>
      <c r="I804" s="27">
        <f t="shared" si="33"/>
        <v>1</v>
      </c>
      <c r="J804" s="27">
        <f t="shared" si="35"/>
        <v>1</v>
      </c>
      <c r="K804" s="27">
        <f t="shared" si="34"/>
        <v>1</v>
      </c>
      <c r="L804" s="25">
        <v>566.0583785</v>
      </c>
      <c r="M804" s="25">
        <v>569.49909428003889</v>
      </c>
      <c r="N804" s="38">
        <v>0.47046255477489751</v>
      </c>
      <c r="O804" s="38">
        <v>-7.5439789034157378</v>
      </c>
      <c r="P804" s="71">
        <v>-9.4258291225153279</v>
      </c>
      <c r="Q804" s="53">
        <v>44361</v>
      </c>
      <c r="R804" s="23">
        <v>9</v>
      </c>
      <c r="S804" s="30">
        <v>566.0583785</v>
      </c>
      <c r="T804" s="24">
        <v>569.49909428003889</v>
      </c>
      <c r="U804" s="1">
        <v>0.47046255477489751</v>
      </c>
      <c r="V804" s="2">
        <v>-7.5439789034157378</v>
      </c>
      <c r="W804" s="2">
        <v>-9.4258291225153279</v>
      </c>
      <c r="X804" s="22" t="s">
        <v>17</v>
      </c>
      <c r="Y804" s="23" t="s">
        <v>17</v>
      </c>
      <c r="Z804" s="24"/>
      <c r="AA804" s="24"/>
      <c r="AB804" s="1" t="s">
        <v>17</v>
      </c>
      <c r="AC804" s="2" t="s">
        <v>17</v>
      </c>
      <c r="AD804" s="2" t="s">
        <v>17</v>
      </c>
      <c r="AE804" s="22"/>
      <c r="AF804" s="23"/>
      <c r="AG804" s="24"/>
      <c r="AH804" s="24"/>
      <c r="AI804" s="1"/>
      <c r="AJ804" s="2"/>
      <c r="AK804" s="2"/>
      <c r="AL804" s="22"/>
      <c r="AM804" s="4"/>
      <c r="AN804" s="4"/>
      <c r="AO804" s="24"/>
      <c r="AP804" s="1"/>
      <c r="AQ804" s="2"/>
      <c r="AR804" s="2"/>
      <c r="AS804" s="3"/>
      <c r="AT804" s="2"/>
      <c r="AU804" s="4"/>
      <c r="AV804" s="2"/>
      <c r="AW804" s="2"/>
      <c r="AX804" s="2"/>
      <c r="AY804" s="2"/>
      <c r="AZ804" s="50"/>
      <c r="BA804" s="51"/>
      <c r="BB804" s="4"/>
      <c r="BC804" s="51"/>
      <c r="BD804" s="51"/>
      <c r="BE804" s="51"/>
      <c r="BF804" s="57"/>
    </row>
    <row r="805" spans="1:58" ht="18" customHeight="1">
      <c r="A805" s="106" t="s">
        <v>15</v>
      </c>
      <c r="B805" s="93" t="s">
        <v>770</v>
      </c>
      <c r="C805" s="28">
        <v>2040.88</v>
      </c>
      <c r="D805" s="28">
        <v>2041</v>
      </c>
      <c r="E805" s="28">
        <v>2040.94</v>
      </c>
      <c r="F805" s="28">
        <v>2040.94</v>
      </c>
      <c r="G805" s="29">
        <v>184457.09107632699</v>
      </c>
      <c r="H805" s="29">
        <v>180198.58106906401</v>
      </c>
      <c r="I805" s="27">
        <f t="shared" si="33"/>
        <v>1</v>
      </c>
      <c r="J805" s="27">
        <f t="shared" si="35"/>
        <v>1</v>
      </c>
      <c r="K805" s="27">
        <f t="shared" si="34"/>
        <v>1</v>
      </c>
      <c r="L805" s="25">
        <v>530.95317999999997</v>
      </c>
      <c r="M805" s="25">
        <v>534.27901905729038</v>
      </c>
      <c r="N805" s="38">
        <v>0.48482219033174623</v>
      </c>
      <c r="O805" s="38">
        <v>-7.9291579653878452</v>
      </c>
      <c r="P805" s="71">
        <v>-9.8684467267148293</v>
      </c>
      <c r="Q805" s="53">
        <v>43209</v>
      </c>
      <c r="R805" s="23">
        <v>10</v>
      </c>
      <c r="S805" s="30">
        <v>530.95317999999997</v>
      </c>
      <c r="T805" s="24">
        <v>534.27901905729038</v>
      </c>
      <c r="U805" s="1">
        <v>0.48482219033174623</v>
      </c>
      <c r="V805" s="2">
        <v>-7.9291579653878452</v>
      </c>
      <c r="W805" s="2">
        <v>-9.8684467267148293</v>
      </c>
      <c r="X805" s="22" t="s">
        <v>17</v>
      </c>
      <c r="Y805" s="23"/>
      <c r="Z805" s="24" t="s">
        <v>17</v>
      </c>
      <c r="AA805" s="24" t="s">
        <v>17</v>
      </c>
      <c r="AB805" s="1" t="s">
        <v>17</v>
      </c>
      <c r="AC805" s="2" t="s">
        <v>17</v>
      </c>
      <c r="AD805" s="2" t="s">
        <v>17</v>
      </c>
      <c r="AE805" s="22" t="s">
        <v>17</v>
      </c>
      <c r="AF805" s="23"/>
      <c r="AG805" s="24" t="s">
        <v>17</v>
      </c>
      <c r="AH805" s="24" t="s">
        <v>17</v>
      </c>
      <c r="AI805" s="1" t="s">
        <v>17</v>
      </c>
      <c r="AJ805" s="2" t="s">
        <v>17</v>
      </c>
      <c r="AK805" s="2" t="s">
        <v>17</v>
      </c>
      <c r="AL805" s="22" t="s">
        <v>17</v>
      </c>
      <c r="AM805" s="4" t="s">
        <v>17</v>
      </c>
      <c r="AN805" s="4"/>
      <c r="AO805" s="24" t="s">
        <v>17</v>
      </c>
      <c r="AP805" s="1" t="s">
        <v>17</v>
      </c>
      <c r="AQ805" s="2" t="s">
        <v>17</v>
      </c>
      <c r="AR805" s="2" t="s">
        <v>17</v>
      </c>
      <c r="AS805" s="3"/>
      <c r="AT805" s="2"/>
      <c r="AU805" s="4"/>
      <c r="AV805" s="2"/>
      <c r="AW805" s="2"/>
      <c r="AX805" s="2"/>
      <c r="AY805" s="2"/>
      <c r="AZ805" s="5"/>
      <c r="BA805" s="6"/>
      <c r="BB805" s="4"/>
      <c r="BC805" s="6"/>
      <c r="BD805" s="6"/>
      <c r="BE805" s="6"/>
      <c r="BF805" s="7"/>
    </row>
    <row r="806" spans="1:58" ht="18" customHeight="1">
      <c r="A806" s="106" t="s">
        <v>15</v>
      </c>
      <c r="B806" s="93" t="s">
        <v>809</v>
      </c>
      <c r="C806" s="28">
        <v>2042.5</v>
      </c>
      <c r="D806" s="28">
        <v>2042.62</v>
      </c>
      <c r="E806" s="28">
        <v>2042.56</v>
      </c>
      <c r="F806" s="28">
        <v>2042.56</v>
      </c>
      <c r="G806" s="29">
        <v>184935.92160264199</v>
      </c>
      <c r="H806" s="29">
        <v>180621.624943089</v>
      </c>
      <c r="I806" s="27">
        <f t="shared" si="33"/>
        <v>1</v>
      </c>
      <c r="J806" s="27">
        <f t="shared" si="35"/>
        <v>1</v>
      </c>
      <c r="K806" s="27">
        <f t="shared" si="34"/>
        <v>1</v>
      </c>
      <c r="L806" s="25">
        <v>553.97967300000005</v>
      </c>
      <c r="M806" s="25">
        <v>557.50348987730058</v>
      </c>
      <c r="N806" s="38">
        <v>0.49233077974886186</v>
      </c>
      <c r="O806" s="38">
        <v>-7.4448236016159131</v>
      </c>
      <c r="P806" s="71">
        <v>-9.4141467206113596</v>
      </c>
      <c r="Q806" s="53">
        <v>44285</v>
      </c>
      <c r="R806" s="23">
        <v>9</v>
      </c>
      <c r="S806" s="30">
        <v>553.97967300000005</v>
      </c>
      <c r="T806" s="24">
        <v>557.50348987730058</v>
      </c>
      <c r="U806" s="1">
        <v>0.49233077974886186</v>
      </c>
      <c r="V806" s="2">
        <v>-7.4448236016159131</v>
      </c>
      <c r="W806" s="2">
        <v>-9.4141467206113596</v>
      </c>
      <c r="X806" s="22" t="s">
        <v>17</v>
      </c>
      <c r="Y806" s="23" t="s">
        <v>17</v>
      </c>
      <c r="Z806" s="24"/>
      <c r="AA806" s="24"/>
      <c r="AB806" s="1" t="s">
        <v>17</v>
      </c>
      <c r="AC806" s="2" t="s">
        <v>17</v>
      </c>
      <c r="AD806" s="2" t="s">
        <v>17</v>
      </c>
      <c r="AE806" s="22"/>
      <c r="AF806" s="23"/>
      <c r="AG806" s="24"/>
      <c r="AH806" s="24"/>
      <c r="AI806" s="1"/>
      <c r="AJ806" s="2"/>
      <c r="AK806" s="2"/>
      <c r="AL806" s="22"/>
      <c r="AM806" s="4"/>
      <c r="AN806" s="4"/>
      <c r="AO806" s="24"/>
      <c r="AP806" s="1"/>
      <c r="AQ806" s="2"/>
      <c r="AR806" s="2"/>
      <c r="AS806" s="3"/>
      <c r="AT806" s="2"/>
      <c r="AU806" s="4"/>
      <c r="AV806" s="2"/>
      <c r="AW806" s="2"/>
      <c r="AX806" s="2"/>
      <c r="AY806" s="2"/>
      <c r="AZ806" s="50"/>
      <c r="BA806" s="51"/>
      <c r="BB806" s="4"/>
      <c r="BC806" s="51"/>
      <c r="BD806" s="51"/>
      <c r="BE806" s="51"/>
      <c r="BF806" s="57"/>
    </row>
    <row r="807" spans="1:58" ht="18" customHeight="1">
      <c r="A807" s="106" t="s">
        <v>15</v>
      </c>
      <c r="B807" s="93" t="s">
        <v>810</v>
      </c>
      <c r="C807" s="28">
        <v>2044</v>
      </c>
      <c r="D807" s="28">
        <v>2044.12</v>
      </c>
      <c r="E807" s="28">
        <v>2044.06</v>
      </c>
      <c r="F807" s="28">
        <v>2044.06</v>
      </c>
      <c r="G807" s="29">
        <v>185373.294090896</v>
      </c>
      <c r="H807" s="29">
        <v>180992.83295272701</v>
      </c>
      <c r="I807" s="27">
        <f t="shared" ref="I807:I855" si="36">COUNT(T807,AA807,AH807,AO807,AV807,BC807)</f>
        <v>1</v>
      </c>
      <c r="J807" s="27">
        <f t="shared" si="35"/>
        <v>1</v>
      </c>
      <c r="K807" s="27">
        <f t="shared" ref="K807:K855" si="37">COUNT(V807,AC807,AJ807,AQ807,AX807,BF807)</f>
        <v>1</v>
      </c>
      <c r="L807" s="25">
        <v>469.94290999999998</v>
      </c>
      <c r="M807" s="25">
        <v>472.95509462625841</v>
      </c>
      <c r="N807" s="38">
        <v>0.49610542042777261</v>
      </c>
      <c r="O807" s="38">
        <v>-7.0366801668153567</v>
      </c>
      <c r="P807" s="71">
        <v>-9.0211018485264471</v>
      </c>
      <c r="Q807" s="53">
        <v>44361</v>
      </c>
      <c r="R807" s="23">
        <v>9</v>
      </c>
      <c r="S807" s="30">
        <v>469.94290999999998</v>
      </c>
      <c r="T807" s="24">
        <v>472.95509462625841</v>
      </c>
      <c r="U807" s="1">
        <v>0.49610542042777261</v>
      </c>
      <c r="V807" s="2">
        <v>-7.0366801668153567</v>
      </c>
      <c r="W807" s="2">
        <v>-9.0211018485264471</v>
      </c>
      <c r="X807" s="22" t="s">
        <v>17</v>
      </c>
      <c r="Y807" s="23" t="s">
        <v>17</v>
      </c>
      <c r="Z807" s="24"/>
      <c r="AA807" s="24"/>
      <c r="AB807" s="1" t="s">
        <v>17</v>
      </c>
      <c r="AC807" s="2" t="s">
        <v>17</v>
      </c>
      <c r="AD807" s="2" t="s">
        <v>17</v>
      </c>
      <c r="AE807" s="22"/>
      <c r="AF807" s="23"/>
      <c r="AG807" s="24"/>
      <c r="AH807" s="24"/>
      <c r="AI807" s="1"/>
      <c r="AJ807" s="2"/>
      <c r="AK807" s="2"/>
      <c r="AL807" s="22"/>
      <c r="AM807" s="4"/>
      <c r="AN807" s="4"/>
      <c r="AO807" s="24"/>
      <c r="AP807" s="1"/>
      <c r="AQ807" s="2"/>
      <c r="AR807" s="2"/>
      <c r="AS807" s="3"/>
      <c r="AT807" s="2"/>
      <c r="AU807" s="4"/>
      <c r="AV807" s="2"/>
      <c r="AW807" s="2"/>
      <c r="AX807" s="2"/>
      <c r="AY807" s="2"/>
      <c r="AZ807" s="50"/>
      <c r="BA807" s="51"/>
      <c r="BB807" s="4"/>
      <c r="BC807" s="51"/>
      <c r="BD807" s="51"/>
      <c r="BE807" s="51"/>
      <c r="BF807" s="57"/>
    </row>
    <row r="808" spans="1:58" ht="18" customHeight="1">
      <c r="A808" s="106" t="s">
        <v>15</v>
      </c>
      <c r="B808" s="93" t="s">
        <v>771</v>
      </c>
      <c r="C808" s="28">
        <v>2045.5</v>
      </c>
      <c r="D808" s="28">
        <v>2045.62</v>
      </c>
      <c r="E808" s="28">
        <v>2045.56</v>
      </c>
      <c r="F808" s="28">
        <v>2045.56</v>
      </c>
      <c r="G808" s="29">
        <v>185791.41014098201</v>
      </c>
      <c r="H808" s="29">
        <v>181368.15394545099</v>
      </c>
      <c r="I808" s="27">
        <f t="shared" si="36"/>
        <v>2</v>
      </c>
      <c r="J808" s="27">
        <f t="shared" ref="J808:J855" si="38">COUNT(U808,AB808,AI808,AP808,AW808,BD808)</f>
        <v>2</v>
      </c>
      <c r="K808" s="27">
        <f t="shared" si="37"/>
        <v>2</v>
      </c>
      <c r="L808" s="25">
        <v>474.02422924999996</v>
      </c>
      <c r="M808" s="25">
        <v>477.08951993228334</v>
      </c>
      <c r="N808" s="38">
        <v>0.500496146707885</v>
      </c>
      <c r="O808" s="38">
        <v>-7.2443304662501156</v>
      </c>
      <c r="P808" s="71">
        <v>-9.2463150530816556</v>
      </c>
      <c r="Q808" s="53">
        <v>43192</v>
      </c>
      <c r="R808" s="23">
        <v>10</v>
      </c>
      <c r="S808" s="30">
        <v>475.7477925</v>
      </c>
      <c r="T808" s="24">
        <v>478.83950994633642</v>
      </c>
      <c r="U808" s="1">
        <v>0.50299133226205939</v>
      </c>
      <c r="V808" s="2">
        <v>-7.2126164358574663</v>
      </c>
      <c r="W808" s="2">
        <v>-9.2245817649057038</v>
      </c>
      <c r="X808" s="22">
        <v>43192</v>
      </c>
      <c r="Y808" s="23">
        <v>10</v>
      </c>
      <c r="Z808" s="24">
        <v>472.30066599999998</v>
      </c>
      <c r="AA808" s="24">
        <v>475.33952991823026</v>
      </c>
      <c r="AB808" s="1">
        <v>0.49800096115371062</v>
      </c>
      <c r="AC808" s="2">
        <v>-7.276044496642764</v>
      </c>
      <c r="AD808" s="2">
        <v>-9.2680483412576073</v>
      </c>
      <c r="AE808" s="22" t="s">
        <v>17</v>
      </c>
      <c r="AF808" s="23"/>
      <c r="AG808" s="24" t="s">
        <v>17</v>
      </c>
      <c r="AH808" s="24" t="s">
        <v>17</v>
      </c>
      <c r="AI808" s="1" t="s">
        <v>17</v>
      </c>
      <c r="AJ808" s="2" t="s">
        <v>17</v>
      </c>
      <c r="AK808" s="2" t="s">
        <v>17</v>
      </c>
      <c r="AL808" s="22" t="s">
        <v>17</v>
      </c>
      <c r="AM808" s="4" t="s">
        <v>17</v>
      </c>
      <c r="AN808" s="4"/>
      <c r="AO808" s="24" t="s">
        <v>17</v>
      </c>
      <c r="AP808" s="1" t="s">
        <v>17</v>
      </c>
      <c r="AQ808" s="2" t="s">
        <v>17</v>
      </c>
      <c r="AR808" s="2" t="s">
        <v>17</v>
      </c>
      <c r="AS808" s="3"/>
      <c r="AT808" s="2"/>
      <c r="AU808" s="4"/>
      <c r="AV808" s="2"/>
      <c r="AW808" s="2"/>
      <c r="AX808" s="2"/>
      <c r="AY808" s="2"/>
      <c r="AZ808" s="5"/>
      <c r="BA808" s="6"/>
      <c r="BB808" s="4"/>
      <c r="BC808" s="6"/>
      <c r="BD808" s="6"/>
      <c r="BE808" s="6"/>
      <c r="BF808" s="7"/>
    </row>
    <row r="809" spans="1:58" ht="18" customHeight="1">
      <c r="A809" s="106" t="s">
        <v>15</v>
      </c>
      <c r="B809" s="93" t="s">
        <v>811</v>
      </c>
      <c r="C809" s="28">
        <v>2047.49</v>
      </c>
      <c r="D809" s="28">
        <v>2047.61</v>
      </c>
      <c r="E809" s="28">
        <v>2047.55</v>
      </c>
      <c r="F809" s="28">
        <v>2047.55</v>
      </c>
      <c r="G809" s="29">
        <v>186323.67809917199</v>
      </c>
      <c r="H809" s="29">
        <v>181842.56574250699</v>
      </c>
      <c r="I809" s="27">
        <f t="shared" si="36"/>
        <v>1</v>
      </c>
      <c r="J809" s="27">
        <f t="shared" si="38"/>
        <v>1</v>
      </c>
      <c r="K809" s="27">
        <f t="shared" si="37"/>
        <v>1</v>
      </c>
      <c r="L809" s="25">
        <v>472.44505300000003</v>
      </c>
      <c r="M809" s="25">
        <v>475.45204698625128</v>
      </c>
      <c r="N809" s="38">
        <v>0.49262760006096862</v>
      </c>
      <c r="O809" s="38">
        <v>-7.4747169475811726</v>
      </c>
      <c r="P809" s="71">
        <v>-9.4452273478250461</v>
      </c>
      <c r="Q809" s="53">
        <v>44357</v>
      </c>
      <c r="R809" s="23">
        <v>9</v>
      </c>
      <c r="S809" s="30">
        <v>472.44505300000003</v>
      </c>
      <c r="T809" s="24">
        <v>475.45204698625128</v>
      </c>
      <c r="U809" s="1">
        <v>0.49262760006096862</v>
      </c>
      <c r="V809" s="2">
        <v>-7.4747169475811726</v>
      </c>
      <c r="W809" s="2">
        <v>-9.4452273478250461</v>
      </c>
      <c r="X809" s="22" t="s">
        <v>17</v>
      </c>
      <c r="Y809" s="23" t="s">
        <v>17</v>
      </c>
      <c r="Z809" s="24"/>
      <c r="AA809" s="24"/>
      <c r="AB809" s="1" t="s">
        <v>17</v>
      </c>
      <c r="AC809" s="2" t="s">
        <v>17</v>
      </c>
      <c r="AD809" s="2" t="s">
        <v>17</v>
      </c>
      <c r="AE809" s="22"/>
      <c r="AF809" s="23"/>
      <c r="AG809" s="24"/>
      <c r="AH809" s="24"/>
      <c r="AI809" s="1"/>
      <c r="AJ809" s="2"/>
      <c r="AK809" s="2"/>
      <c r="AL809" s="22"/>
      <c r="AM809" s="4"/>
      <c r="AN809" s="4"/>
      <c r="AO809" s="24"/>
      <c r="AP809" s="1"/>
      <c r="AQ809" s="2"/>
      <c r="AR809" s="2"/>
      <c r="AS809" s="3"/>
      <c r="AT809" s="2"/>
      <c r="AU809" s="4"/>
      <c r="AV809" s="2"/>
      <c r="AW809" s="2"/>
      <c r="AX809" s="2"/>
      <c r="AY809" s="2"/>
      <c r="AZ809" s="50"/>
      <c r="BA809" s="51"/>
      <c r="BB809" s="4"/>
      <c r="BC809" s="51"/>
      <c r="BD809" s="51"/>
      <c r="BE809" s="51"/>
      <c r="BF809" s="57"/>
    </row>
    <row r="810" spans="1:58" ht="18" customHeight="1">
      <c r="A810" s="106" t="s">
        <v>15</v>
      </c>
      <c r="B810" s="93" t="s">
        <v>772</v>
      </c>
      <c r="C810" s="28">
        <v>2049</v>
      </c>
      <c r="D810" s="28">
        <v>2049.12</v>
      </c>
      <c r="E810" s="28">
        <v>2049.06</v>
      </c>
      <c r="F810" s="28">
        <v>2049.06</v>
      </c>
      <c r="G810" s="29">
        <v>186685.04964968201</v>
      </c>
      <c r="H810" s="29">
        <v>182198.09664759299</v>
      </c>
      <c r="I810" s="27">
        <f t="shared" si="36"/>
        <v>1</v>
      </c>
      <c r="J810" s="27">
        <f t="shared" si="38"/>
        <v>1</v>
      </c>
      <c r="K810" s="27">
        <f t="shared" si="37"/>
        <v>1</v>
      </c>
      <c r="L810" s="25">
        <v>460.99483650000002</v>
      </c>
      <c r="M810" s="25">
        <v>463.85428224121443</v>
      </c>
      <c r="N810" s="38">
        <v>0.48009069146126571</v>
      </c>
      <c r="O810" s="38">
        <v>-8.0694283701666656</v>
      </c>
      <c r="P810" s="71">
        <v>-9.9897911360117284</v>
      </c>
      <c r="Q810" s="53">
        <v>43514</v>
      </c>
      <c r="R810" s="23">
        <v>10</v>
      </c>
      <c r="S810" s="30">
        <v>460.99483650000002</v>
      </c>
      <c r="T810" s="24">
        <v>463.85428224121443</v>
      </c>
      <c r="U810" s="1">
        <v>0.48009069146126571</v>
      </c>
      <c r="V810" s="2">
        <v>-8.0694283701666656</v>
      </c>
      <c r="W810" s="2">
        <v>-9.9897911360117284</v>
      </c>
      <c r="X810" s="22" t="s">
        <v>17</v>
      </c>
      <c r="Y810" s="23"/>
      <c r="Z810" s="24" t="s">
        <v>17</v>
      </c>
      <c r="AA810" s="24" t="s">
        <v>17</v>
      </c>
      <c r="AB810" s="1" t="s">
        <v>17</v>
      </c>
      <c r="AC810" s="2" t="s">
        <v>17</v>
      </c>
      <c r="AD810" s="2" t="s">
        <v>17</v>
      </c>
      <c r="AE810" s="22" t="s">
        <v>17</v>
      </c>
      <c r="AF810" s="23"/>
      <c r="AG810" s="24" t="s">
        <v>17</v>
      </c>
      <c r="AH810" s="24" t="s">
        <v>17</v>
      </c>
      <c r="AI810" s="1" t="s">
        <v>17</v>
      </c>
      <c r="AJ810" s="2" t="s">
        <v>17</v>
      </c>
      <c r="AK810" s="2" t="s">
        <v>17</v>
      </c>
      <c r="AL810" s="22" t="s">
        <v>17</v>
      </c>
      <c r="AM810" s="4" t="s">
        <v>17</v>
      </c>
      <c r="AN810" s="4"/>
      <c r="AO810" s="24" t="s">
        <v>17</v>
      </c>
      <c r="AP810" s="1" t="s">
        <v>17</v>
      </c>
      <c r="AQ810" s="2" t="s">
        <v>17</v>
      </c>
      <c r="AR810" s="2" t="s">
        <v>17</v>
      </c>
      <c r="AS810" s="3"/>
      <c r="AT810" s="2"/>
      <c r="AU810" s="4"/>
      <c r="AV810" s="2"/>
      <c r="AW810" s="2"/>
      <c r="AX810" s="2"/>
      <c r="AY810" s="2"/>
      <c r="AZ810" s="5"/>
      <c r="BA810" s="6"/>
      <c r="BB810" s="4"/>
      <c r="BC810" s="6"/>
      <c r="BD810" s="6"/>
      <c r="BE810" s="6"/>
      <c r="BF810" s="7"/>
    </row>
    <row r="811" spans="1:58" ht="18" customHeight="1">
      <c r="A811" s="106" t="s">
        <v>15</v>
      </c>
      <c r="B811" s="93" t="s">
        <v>812</v>
      </c>
      <c r="C811" s="28">
        <v>2050.5</v>
      </c>
      <c r="D811" s="28">
        <v>2050.62</v>
      </c>
      <c r="E811" s="28">
        <v>2050.56</v>
      </c>
      <c r="F811" s="28">
        <v>2050.56</v>
      </c>
      <c r="G811" s="29">
        <v>187034.26328082499</v>
      </c>
      <c r="H811" s="29">
        <v>182613.293119768</v>
      </c>
      <c r="I811" s="27">
        <f t="shared" si="36"/>
        <v>1</v>
      </c>
      <c r="J811" s="27">
        <f t="shared" si="38"/>
        <v>1</v>
      </c>
      <c r="K811" s="27">
        <f t="shared" si="37"/>
        <v>1</v>
      </c>
      <c r="L811" s="25">
        <v>480.10356899999999</v>
      </c>
      <c r="M811" s="25">
        <v>483.09004386296914</v>
      </c>
      <c r="N811" s="38">
        <v>0.48146133482163123</v>
      </c>
      <c r="O811" s="38">
        <v>-7.7503846599754622</v>
      </c>
      <c r="P811" s="71">
        <v>-9.676229999261988</v>
      </c>
      <c r="Q811" s="53">
        <v>44292</v>
      </c>
      <c r="R811" s="23">
        <v>9</v>
      </c>
      <c r="S811" s="30">
        <v>480.10356899999999</v>
      </c>
      <c r="T811" s="24">
        <v>483.09004386296914</v>
      </c>
      <c r="U811" s="1">
        <v>0.48146133482163123</v>
      </c>
      <c r="V811" s="2">
        <v>-7.7503846599754622</v>
      </c>
      <c r="W811" s="2">
        <v>-9.676229999261988</v>
      </c>
      <c r="X811" s="22" t="s">
        <v>17</v>
      </c>
      <c r="Y811" s="23" t="s">
        <v>17</v>
      </c>
      <c r="Z811" s="24"/>
      <c r="AA811" s="24"/>
      <c r="AB811" s="1" t="s">
        <v>17</v>
      </c>
      <c r="AC811" s="2" t="s">
        <v>17</v>
      </c>
      <c r="AD811" s="2" t="s">
        <v>17</v>
      </c>
      <c r="AE811" s="22"/>
      <c r="AF811" s="23"/>
      <c r="AG811" s="24"/>
      <c r="AH811" s="24"/>
      <c r="AI811" s="1"/>
      <c r="AJ811" s="2"/>
      <c r="AK811" s="2"/>
      <c r="AL811" s="22"/>
      <c r="AM811" s="4"/>
      <c r="AN811" s="4"/>
      <c r="AO811" s="24"/>
      <c r="AP811" s="1"/>
      <c r="AQ811" s="2"/>
      <c r="AR811" s="2"/>
      <c r="AS811" s="3"/>
      <c r="AT811" s="2"/>
      <c r="AU811" s="4"/>
      <c r="AV811" s="2"/>
      <c r="AW811" s="2"/>
      <c r="AX811" s="2"/>
      <c r="AY811" s="2"/>
      <c r="AZ811" s="50"/>
      <c r="BA811" s="51"/>
      <c r="BB811" s="4"/>
      <c r="BC811" s="51"/>
      <c r="BD811" s="51"/>
      <c r="BE811" s="51"/>
      <c r="BF811" s="57"/>
    </row>
    <row r="812" spans="1:58" ht="18" customHeight="1">
      <c r="A812" s="106" t="s">
        <v>15</v>
      </c>
      <c r="B812" s="93" t="s">
        <v>773</v>
      </c>
      <c r="C812" s="28">
        <v>2054.5</v>
      </c>
      <c r="D812" s="28">
        <v>2054.62</v>
      </c>
      <c r="E812" s="28">
        <v>2054.56</v>
      </c>
      <c r="F812" s="28">
        <v>2054.56</v>
      </c>
      <c r="G812" s="29">
        <v>188002.04826155701</v>
      </c>
      <c r="H812" s="29">
        <v>183766.41536760001</v>
      </c>
      <c r="I812" s="27">
        <f t="shared" si="36"/>
        <v>1</v>
      </c>
      <c r="J812" s="27">
        <f t="shared" si="38"/>
        <v>1</v>
      </c>
      <c r="K812" s="27">
        <f t="shared" si="37"/>
        <v>1</v>
      </c>
      <c r="L812" s="25">
        <v>508.716364</v>
      </c>
      <c r="M812" s="25">
        <v>511.88827859683715</v>
      </c>
      <c r="N812" s="38">
        <v>0.48259549551543657</v>
      </c>
      <c r="O812" s="38">
        <v>-7.7484396398489475</v>
      </c>
      <c r="P812" s="71">
        <v>-9.6788216219106928</v>
      </c>
      <c r="Q812" s="53">
        <v>43207</v>
      </c>
      <c r="R812" s="23">
        <v>10</v>
      </c>
      <c r="S812" s="30">
        <v>508.716364</v>
      </c>
      <c r="T812" s="24">
        <v>511.88827859683715</v>
      </c>
      <c r="U812" s="1">
        <v>0.48259549551543657</v>
      </c>
      <c r="V812" s="2">
        <v>-7.7484396398489475</v>
      </c>
      <c r="W812" s="2">
        <v>-9.6788216219106928</v>
      </c>
      <c r="X812" s="22" t="s">
        <v>17</v>
      </c>
      <c r="Y812" s="23"/>
      <c r="Z812" s="24" t="s">
        <v>17</v>
      </c>
      <c r="AA812" s="24" t="s">
        <v>17</v>
      </c>
      <c r="AB812" s="1" t="s">
        <v>17</v>
      </c>
      <c r="AC812" s="2" t="s">
        <v>17</v>
      </c>
      <c r="AD812" s="2" t="s">
        <v>17</v>
      </c>
      <c r="AE812" s="22" t="s">
        <v>17</v>
      </c>
      <c r="AF812" s="23"/>
      <c r="AG812" s="24" t="s">
        <v>17</v>
      </c>
      <c r="AH812" s="24" t="s">
        <v>17</v>
      </c>
      <c r="AI812" s="1" t="s">
        <v>17</v>
      </c>
      <c r="AJ812" s="2" t="s">
        <v>17</v>
      </c>
      <c r="AK812" s="2" t="s">
        <v>17</v>
      </c>
      <c r="AL812" s="22" t="s">
        <v>17</v>
      </c>
      <c r="AM812" s="4" t="s">
        <v>17</v>
      </c>
      <c r="AN812" s="4"/>
      <c r="AO812" s="24" t="s">
        <v>17</v>
      </c>
      <c r="AP812" s="1" t="s">
        <v>17</v>
      </c>
      <c r="AQ812" s="2" t="s">
        <v>17</v>
      </c>
      <c r="AR812" s="2" t="s">
        <v>17</v>
      </c>
      <c r="AS812" s="3"/>
      <c r="AT812" s="2"/>
      <c r="AU812" s="4"/>
      <c r="AV812" s="2"/>
      <c r="AW812" s="2"/>
      <c r="AX812" s="2"/>
      <c r="AY812" s="2"/>
      <c r="AZ812" s="5"/>
      <c r="BA812" s="6"/>
      <c r="BB812" s="4"/>
      <c r="BC812" s="6"/>
      <c r="BD812" s="6"/>
      <c r="BE812" s="6"/>
      <c r="BF812" s="7"/>
    </row>
    <row r="813" spans="1:58" ht="18" customHeight="1">
      <c r="A813" s="106" t="s">
        <v>15</v>
      </c>
      <c r="B813" s="93" t="s">
        <v>813</v>
      </c>
      <c r="C813" s="28">
        <v>2056.4830000000002</v>
      </c>
      <c r="D813" s="28">
        <v>2056.6030000000001</v>
      </c>
      <c r="E813" s="28">
        <v>2056.5430000000001</v>
      </c>
      <c r="F813" s="28">
        <v>2056.5430000000001</v>
      </c>
      <c r="G813" s="29">
        <v>188473.307851099</v>
      </c>
      <c r="H813" s="29">
        <v>184373.407314173</v>
      </c>
      <c r="I813" s="27">
        <f t="shared" si="36"/>
        <v>1</v>
      </c>
      <c r="J813" s="27">
        <f t="shared" si="38"/>
        <v>1</v>
      </c>
      <c r="K813" s="27">
        <f t="shared" si="37"/>
        <v>1</v>
      </c>
      <c r="L813" s="25">
        <v>507.51547649999998</v>
      </c>
      <c r="M813" s="25">
        <v>510.63437812712908</v>
      </c>
      <c r="N813" s="38">
        <v>0.47565259762349932</v>
      </c>
      <c r="O813" s="38">
        <v>-6.9440514679497412</v>
      </c>
      <c r="P813" s="71">
        <v>-8.8466618584437384</v>
      </c>
      <c r="Q813" s="53">
        <v>44368</v>
      </c>
      <c r="R813" s="23">
        <v>9</v>
      </c>
      <c r="S813" s="30">
        <v>507.51547649999998</v>
      </c>
      <c r="T813" s="24">
        <v>510.63437812712908</v>
      </c>
      <c r="U813" s="1">
        <v>0.47565259762349932</v>
      </c>
      <c r="V813" s="2">
        <v>-6.9440514679497412</v>
      </c>
      <c r="W813" s="2">
        <v>-8.8466618584437384</v>
      </c>
      <c r="X813" s="22" t="s">
        <v>17</v>
      </c>
      <c r="Y813" s="23" t="s">
        <v>17</v>
      </c>
      <c r="Z813" s="24"/>
      <c r="AA813" s="24"/>
      <c r="AB813" s="1" t="s">
        <v>17</v>
      </c>
      <c r="AC813" s="2" t="s">
        <v>17</v>
      </c>
      <c r="AD813" s="2" t="s">
        <v>17</v>
      </c>
      <c r="AE813" s="22"/>
      <c r="AF813" s="23"/>
      <c r="AG813" s="24"/>
      <c r="AH813" s="24"/>
      <c r="AI813" s="1"/>
      <c r="AJ813" s="2"/>
      <c r="AK813" s="2"/>
      <c r="AL813" s="22"/>
      <c r="AM813" s="4"/>
      <c r="AN813" s="4"/>
      <c r="AO813" s="24"/>
      <c r="AP813" s="1"/>
      <c r="AQ813" s="2"/>
      <c r="AR813" s="2"/>
      <c r="AS813" s="3"/>
      <c r="AT813" s="2"/>
      <c r="AU813" s="4"/>
      <c r="AV813" s="2"/>
      <c r="AW813" s="2"/>
      <c r="AX813" s="2"/>
      <c r="AY813" s="2"/>
      <c r="AZ813" s="50"/>
      <c r="BA813" s="51"/>
      <c r="BB813" s="4"/>
      <c r="BC813" s="51"/>
      <c r="BD813" s="51"/>
      <c r="BE813" s="51"/>
      <c r="BF813" s="57"/>
    </row>
    <row r="814" spans="1:58" ht="18" customHeight="1">
      <c r="A814" s="106" t="s">
        <v>15</v>
      </c>
      <c r="B814" s="93" t="s">
        <v>774</v>
      </c>
      <c r="C814" s="28">
        <v>2058.5</v>
      </c>
      <c r="D814" s="28">
        <v>2058.62</v>
      </c>
      <c r="E814" s="28">
        <v>2058.56</v>
      </c>
      <c r="F814" s="28">
        <v>2058.56</v>
      </c>
      <c r="G814" s="29">
        <v>188926.588806888</v>
      </c>
      <c r="H814" s="29">
        <v>184971.53327692099</v>
      </c>
      <c r="I814" s="27">
        <f t="shared" si="36"/>
        <v>1</v>
      </c>
      <c r="J814" s="27">
        <f t="shared" si="38"/>
        <v>1</v>
      </c>
      <c r="K814" s="27">
        <f t="shared" si="37"/>
        <v>1</v>
      </c>
      <c r="L814" s="25">
        <v>527.66055649999998</v>
      </c>
      <c r="M814" s="25">
        <v>531.02817586812978</v>
      </c>
      <c r="N814" s="38">
        <v>0.49397600534883956</v>
      </c>
      <c r="O814" s="38">
        <v>-7.7130077122761209</v>
      </c>
      <c r="P814" s="71">
        <v>-9.6889117336714783</v>
      </c>
      <c r="Q814" s="53">
        <v>43745</v>
      </c>
      <c r="R814" s="23">
        <v>9</v>
      </c>
      <c r="S814" s="30">
        <v>527.66055649999998</v>
      </c>
      <c r="T814" s="24">
        <v>531.02817586812978</v>
      </c>
      <c r="U814" s="1">
        <v>0.49397600534883956</v>
      </c>
      <c r="V814" s="2">
        <v>-7.7130077122761209</v>
      </c>
      <c r="W814" s="2">
        <v>-9.6889117336714783</v>
      </c>
      <c r="X814" s="22" t="s">
        <v>17</v>
      </c>
      <c r="Y814" s="23"/>
      <c r="Z814" s="24" t="s">
        <v>17</v>
      </c>
      <c r="AA814" s="24" t="s">
        <v>17</v>
      </c>
      <c r="AB814" s="1" t="s">
        <v>17</v>
      </c>
      <c r="AC814" s="2" t="s">
        <v>17</v>
      </c>
      <c r="AD814" s="2" t="s">
        <v>17</v>
      </c>
      <c r="AE814" s="22" t="s">
        <v>17</v>
      </c>
      <c r="AF814" s="23"/>
      <c r="AG814" s="24" t="s">
        <v>17</v>
      </c>
      <c r="AH814" s="24" t="s">
        <v>17</v>
      </c>
      <c r="AI814" s="1" t="s">
        <v>17</v>
      </c>
      <c r="AJ814" s="2" t="s">
        <v>17</v>
      </c>
      <c r="AK814" s="2" t="s">
        <v>17</v>
      </c>
      <c r="AL814" s="22" t="s">
        <v>17</v>
      </c>
      <c r="AM814" s="4" t="s">
        <v>17</v>
      </c>
      <c r="AN814" s="4"/>
      <c r="AO814" s="24" t="s">
        <v>17</v>
      </c>
      <c r="AP814" s="1" t="s">
        <v>17</v>
      </c>
      <c r="AQ814" s="2" t="s">
        <v>17</v>
      </c>
      <c r="AR814" s="2" t="s">
        <v>17</v>
      </c>
      <c r="AS814" s="3"/>
      <c r="AT814" s="2"/>
      <c r="AU814" s="4"/>
      <c r="AV814" s="2"/>
      <c r="AW814" s="2"/>
      <c r="AX814" s="2"/>
      <c r="AY814" s="2"/>
      <c r="AZ814" s="5"/>
      <c r="BA814" s="6"/>
      <c r="BB814" s="4"/>
      <c r="BC814" s="6"/>
      <c r="BD814" s="6"/>
      <c r="BE814" s="6"/>
      <c r="BF814" s="7"/>
    </row>
    <row r="815" spans="1:58" ht="18" customHeight="1">
      <c r="A815" s="106" t="s">
        <v>15</v>
      </c>
      <c r="B815" s="93" t="s">
        <v>775</v>
      </c>
      <c r="C815" s="28">
        <v>2060.88</v>
      </c>
      <c r="D815" s="28">
        <v>2061</v>
      </c>
      <c r="E815" s="28">
        <v>2060.94</v>
      </c>
      <c r="F815" s="28">
        <v>2060.94</v>
      </c>
      <c r="G815" s="29">
        <v>189425.979389307</v>
      </c>
      <c r="H815" s="29">
        <v>185636.260954103</v>
      </c>
      <c r="I815" s="27">
        <f t="shared" si="36"/>
        <v>1</v>
      </c>
      <c r="J815" s="27">
        <f t="shared" si="38"/>
        <v>1</v>
      </c>
      <c r="K815" s="27">
        <f t="shared" si="37"/>
        <v>1</v>
      </c>
      <c r="L815" s="25">
        <v>529.46657899999991</v>
      </c>
      <c r="M815" s="25">
        <v>532.84666325476712</v>
      </c>
      <c r="N815" s="38">
        <v>0.49411320518411017</v>
      </c>
      <c r="O815" s="38">
        <v>-7.5497578007331922</v>
      </c>
      <c r="P815" s="71">
        <v>-9.5262106214696338</v>
      </c>
      <c r="Q815" s="53">
        <v>43207</v>
      </c>
      <c r="R815" s="23">
        <v>10</v>
      </c>
      <c r="S815" s="30">
        <v>529.46657899999991</v>
      </c>
      <c r="T815" s="24">
        <v>532.84666325476712</v>
      </c>
      <c r="U815" s="1">
        <v>0.49411320518411017</v>
      </c>
      <c r="V815" s="2">
        <v>-7.5497578007331922</v>
      </c>
      <c r="W815" s="2">
        <v>-9.5262106214696338</v>
      </c>
      <c r="X815" s="22" t="s">
        <v>17</v>
      </c>
      <c r="Y815" s="23"/>
      <c r="Z815" s="24" t="s">
        <v>17</v>
      </c>
      <c r="AA815" s="24" t="s">
        <v>17</v>
      </c>
      <c r="AB815" s="1" t="s">
        <v>17</v>
      </c>
      <c r="AC815" s="2" t="s">
        <v>17</v>
      </c>
      <c r="AD815" s="2" t="s">
        <v>17</v>
      </c>
      <c r="AE815" s="22" t="s">
        <v>17</v>
      </c>
      <c r="AF815" s="23"/>
      <c r="AG815" s="24" t="s">
        <v>17</v>
      </c>
      <c r="AH815" s="24" t="s">
        <v>17</v>
      </c>
      <c r="AI815" s="1" t="s">
        <v>17</v>
      </c>
      <c r="AJ815" s="2" t="s">
        <v>17</v>
      </c>
      <c r="AK815" s="2" t="s">
        <v>17</v>
      </c>
      <c r="AL815" s="22" t="s">
        <v>17</v>
      </c>
      <c r="AM815" s="4" t="s">
        <v>17</v>
      </c>
      <c r="AN815" s="4"/>
      <c r="AO815" s="24" t="s">
        <v>17</v>
      </c>
      <c r="AP815" s="1" t="s">
        <v>17</v>
      </c>
      <c r="AQ815" s="2" t="s">
        <v>17</v>
      </c>
      <c r="AR815" s="2" t="s">
        <v>17</v>
      </c>
      <c r="AS815" s="3"/>
      <c r="AT815" s="2"/>
      <c r="AU815" s="4"/>
      <c r="AV815" s="2"/>
      <c r="AW815" s="2"/>
      <c r="AX815" s="2"/>
      <c r="AY815" s="2"/>
      <c r="AZ815" s="5"/>
      <c r="BA815" s="6"/>
      <c r="BB815" s="4"/>
      <c r="BC815" s="6"/>
      <c r="BD815" s="6"/>
      <c r="BE815" s="6"/>
      <c r="BF815" s="7"/>
    </row>
    <row r="816" spans="1:58" ht="18" customHeight="1">
      <c r="A816" s="109" t="s">
        <v>776</v>
      </c>
      <c r="B816" s="93" t="s">
        <v>777</v>
      </c>
      <c r="C816" s="28">
        <v>2060.9899999999998</v>
      </c>
      <c r="D816" s="28">
        <v>2061.19</v>
      </c>
      <c r="E816" s="28">
        <v>2061.09</v>
      </c>
      <c r="F816" s="52">
        <v>2063.0300000000002</v>
      </c>
      <c r="G816" s="29">
        <v>189455.876482363</v>
      </c>
      <c r="H816" s="29">
        <v>185676.318355934</v>
      </c>
      <c r="I816" s="27">
        <f t="shared" si="36"/>
        <v>2</v>
      </c>
      <c r="J816" s="27">
        <f t="shared" si="38"/>
        <v>2</v>
      </c>
      <c r="K816" s="27">
        <f t="shared" si="37"/>
        <v>2</v>
      </c>
      <c r="L816" s="25">
        <v>528.16775783333333</v>
      </c>
      <c r="M816" s="25">
        <v>531.59581707662528</v>
      </c>
      <c r="N816" s="38">
        <v>0.50235850277091654</v>
      </c>
      <c r="O816" s="38">
        <v>-7.1109453687278616</v>
      </c>
      <c r="P816" s="71">
        <v>-9.1203793798115278</v>
      </c>
      <c r="Q816" s="53">
        <v>42989</v>
      </c>
      <c r="R816" s="23">
        <v>9</v>
      </c>
      <c r="S816" s="30">
        <v>528.27081399999997</v>
      </c>
      <c r="T816" s="24">
        <v>531.70608134667941</v>
      </c>
      <c r="U816" s="1">
        <v>0.50331678087456311</v>
      </c>
      <c r="V816" s="2">
        <v>-7.0960663960901726</v>
      </c>
      <c r="W816" s="2">
        <v>-9.1093335195884251</v>
      </c>
      <c r="X816" s="22">
        <v>42989</v>
      </c>
      <c r="Y816" s="23">
        <v>9</v>
      </c>
      <c r="Z816" s="24">
        <v>528.06470166666668</v>
      </c>
      <c r="AA816" s="24">
        <v>531.48555280657115</v>
      </c>
      <c r="AB816" s="1">
        <v>0.50140022466726997</v>
      </c>
      <c r="AC816" s="2">
        <v>-7.1258243413655498</v>
      </c>
      <c r="AD816" s="2">
        <v>-9.1314252400346305</v>
      </c>
      <c r="AE816" s="22" t="s">
        <v>17</v>
      </c>
      <c r="AF816" s="23"/>
      <c r="AG816" s="24" t="s">
        <v>17</v>
      </c>
      <c r="AH816" s="24" t="s">
        <v>17</v>
      </c>
      <c r="AI816" s="1" t="s">
        <v>17</v>
      </c>
      <c r="AJ816" s="2" t="s">
        <v>17</v>
      </c>
      <c r="AK816" s="2" t="s">
        <v>17</v>
      </c>
      <c r="AL816" s="22" t="s">
        <v>17</v>
      </c>
      <c r="AM816" s="4" t="s">
        <v>17</v>
      </c>
      <c r="AN816" s="4"/>
      <c r="AO816" s="24" t="s">
        <v>17</v>
      </c>
      <c r="AP816" s="1" t="s">
        <v>17</v>
      </c>
      <c r="AQ816" s="2" t="s">
        <v>17</v>
      </c>
      <c r="AR816" s="2" t="s">
        <v>17</v>
      </c>
      <c r="AS816" s="3"/>
      <c r="AT816" s="2"/>
      <c r="AU816" s="4"/>
      <c r="AV816" s="2"/>
      <c r="AW816" s="2"/>
      <c r="AX816" s="2"/>
      <c r="AY816" s="2"/>
      <c r="AZ816" s="5"/>
      <c r="BA816" s="6"/>
      <c r="BB816" s="4"/>
      <c r="BC816" s="6"/>
      <c r="BD816" s="6"/>
      <c r="BE816" s="6"/>
      <c r="BF816" s="7"/>
    </row>
    <row r="817" spans="1:58" ht="18" customHeight="1">
      <c r="A817" s="106" t="s">
        <v>15</v>
      </c>
      <c r="B817" s="93" t="s">
        <v>814</v>
      </c>
      <c r="C817" s="28">
        <v>2063</v>
      </c>
      <c r="D817" s="28">
        <v>2063.12</v>
      </c>
      <c r="E817" s="28">
        <v>2063.06</v>
      </c>
      <c r="F817" s="28">
        <v>2063.06</v>
      </c>
      <c r="G817" s="29">
        <v>189802.087948898</v>
      </c>
      <c r="H817" s="29">
        <v>186156.922942848</v>
      </c>
      <c r="I817" s="27">
        <f t="shared" si="36"/>
        <v>1</v>
      </c>
      <c r="J817" s="27">
        <f t="shared" si="38"/>
        <v>1</v>
      </c>
      <c r="K817" s="27">
        <f t="shared" si="37"/>
        <v>1</v>
      </c>
      <c r="L817" s="25">
        <v>533.04377250000005</v>
      </c>
      <c r="M817" s="25">
        <v>536.44895981474417</v>
      </c>
      <c r="N817" s="38">
        <v>0.4944423015205146</v>
      </c>
      <c r="O817" s="38">
        <v>-6.6280689081668065</v>
      </c>
      <c r="P817" s="71">
        <v>-8.6058381142488649</v>
      </c>
      <c r="Q817" s="53">
        <v>44280</v>
      </c>
      <c r="R817" s="23">
        <v>10</v>
      </c>
      <c r="S817" s="30">
        <v>533.04377250000005</v>
      </c>
      <c r="T817" s="24">
        <v>536.44895981474417</v>
      </c>
      <c r="U817" s="1">
        <v>0.4944423015205146</v>
      </c>
      <c r="V817" s="2">
        <v>-6.6280689081668065</v>
      </c>
      <c r="W817" s="2">
        <v>-8.6058381142488649</v>
      </c>
      <c r="X817" s="22" t="s">
        <v>17</v>
      </c>
      <c r="Y817" s="23" t="s">
        <v>17</v>
      </c>
      <c r="Z817" s="24"/>
      <c r="AA817" s="24"/>
      <c r="AB817" s="1" t="s">
        <v>17</v>
      </c>
      <c r="AC817" s="2" t="s">
        <v>17</v>
      </c>
      <c r="AD817" s="2" t="s">
        <v>17</v>
      </c>
      <c r="AE817" s="22"/>
      <c r="AF817" s="23"/>
      <c r="AG817" s="24"/>
      <c r="AH817" s="24"/>
      <c r="AI817" s="1"/>
      <c r="AJ817" s="2"/>
      <c r="AK817" s="2"/>
      <c r="AL817" s="22"/>
      <c r="AM817" s="4"/>
      <c r="AN817" s="4"/>
      <c r="AO817" s="24"/>
      <c r="AP817" s="1"/>
      <c r="AQ817" s="2"/>
      <c r="AR817" s="2"/>
      <c r="AS817" s="3"/>
      <c r="AT817" s="2"/>
      <c r="AU817" s="4"/>
      <c r="AV817" s="2"/>
      <c r="AW817" s="2"/>
      <c r="AX817" s="2"/>
      <c r="AY817" s="2"/>
      <c r="AZ817" s="50"/>
      <c r="BA817" s="51"/>
      <c r="BB817" s="4"/>
      <c r="BC817" s="51"/>
      <c r="BD817" s="51"/>
      <c r="BE817" s="51"/>
      <c r="BF817" s="57"/>
    </row>
    <row r="818" spans="1:58" ht="18" customHeight="1">
      <c r="A818" s="109" t="s">
        <v>776</v>
      </c>
      <c r="B818" s="93" t="s">
        <v>779</v>
      </c>
      <c r="C818" s="28">
        <v>2062.8000000000002</v>
      </c>
      <c r="D818" s="28">
        <v>2063</v>
      </c>
      <c r="E818" s="28">
        <v>2062.9</v>
      </c>
      <c r="F818" s="52">
        <v>2064.84</v>
      </c>
      <c r="G818" s="29">
        <v>189832.275605178</v>
      </c>
      <c r="H818" s="29">
        <v>186199.012913318</v>
      </c>
      <c r="I818" s="27">
        <f t="shared" si="36"/>
        <v>2</v>
      </c>
      <c r="J818" s="27">
        <f t="shared" si="38"/>
        <v>2</v>
      </c>
      <c r="K818" s="27">
        <f t="shared" si="37"/>
        <v>2</v>
      </c>
      <c r="L818" s="25">
        <v>521.39710300000002</v>
      </c>
      <c r="M818" s="25">
        <v>524.77112732016735</v>
      </c>
      <c r="N818" s="38">
        <v>0.50086074252753132</v>
      </c>
      <c r="O818" s="38">
        <v>-6.0633502304831</v>
      </c>
      <c r="P818" s="71">
        <v>-8.0667932005932244</v>
      </c>
      <c r="Q818" s="53">
        <v>42989</v>
      </c>
      <c r="R818" s="23">
        <v>9</v>
      </c>
      <c r="S818" s="30">
        <v>521.63691400000005</v>
      </c>
      <c r="T818" s="24">
        <v>525.0139801377652</v>
      </c>
      <c r="U818" s="1">
        <v>0.50108192304887389</v>
      </c>
      <c r="V818" s="2">
        <v>-6.0382260579596725</v>
      </c>
      <c r="W818" s="2">
        <v>-8.042553750155168</v>
      </c>
      <c r="X818" s="22">
        <v>42989</v>
      </c>
      <c r="Y818" s="23">
        <v>9</v>
      </c>
      <c r="Z818" s="24">
        <v>521.15729199999998</v>
      </c>
      <c r="AA818" s="24">
        <v>524.5282745025695</v>
      </c>
      <c r="AB818" s="1">
        <v>0.50063956200618875</v>
      </c>
      <c r="AC818" s="2">
        <v>-6.0884744030065274</v>
      </c>
      <c r="AD818" s="2">
        <v>-8.0910326510312824</v>
      </c>
      <c r="AE818" s="22" t="s">
        <v>17</v>
      </c>
      <c r="AF818" s="23"/>
      <c r="AG818" s="24" t="s">
        <v>17</v>
      </c>
      <c r="AH818" s="24" t="s">
        <v>17</v>
      </c>
      <c r="AI818" s="1" t="s">
        <v>17</v>
      </c>
      <c r="AJ818" s="2" t="s">
        <v>17</v>
      </c>
      <c r="AK818" s="2" t="s">
        <v>17</v>
      </c>
      <c r="AL818" s="22" t="s">
        <v>17</v>
      </c>
      <c r="AM818" s="4" t="s">
        <v>17</v>
      </c>
      <c r="AN818" s="4"/>
      <c r="AO818" s="24" t="s">
        <v>17</v>
      </c>
      <c r="AP818" s="1" t="s">
        <v>17</v>
      </c>
      <c r="AQ818" s="2" t="s">
        <v>17</v>
      </c>
      <c r="AR818" s="2" t="s">
        <v>17</v>
      </c>
      <c r="AS818" s="3"/>
      <c r="AT818" s="2"/>
      <c r="AU818" s="4"/>
      <c r="AV818" s="2"/>
      <c r="AW818" s="2"/>
      <c r="AX818" s="2"/>
      <c r="AY818" s="2"/>
      <c r="AZ818" s="5"/>
      <c r="BA818" s="6"/>
      <c r="BB818" s="4"/>
      <c r="BC818" s="6"/>
      <c r="BD818" s="6"/>
      <c r="BE818" s="6"/>
      <c r="BF818" s="7"/>
    </row>
    <row r="819" spans="1:58" ht="18" customHeight="1">
      <c r="A819" s="106" t="s">
        <v>15</v>
      </c>
      <c r="B819" s="93" t="s">
        <v>778</v>
      </c>
      <c r="C819" s="28">
        <v>2065.5</v>
      </c>
      <c r="D819" s="28">
        <v>2065.62</v>
      </c>
      <c r="E819" s="28">
        <v>2065.56</v>
      </c>
      <c r="F819" s="28">
        <v>2065.56</v>
      </c>
      <c r="G819" s="29">
        <v>190297.22722562001</v>
      </c>
      <c r="H819" s="29">
        <v>186794.687353357</v>
      </c>
      <c r="I819" s="27">
        <f t="shared" si="36"/>
        <v>1</v>
      </c>
      <c r="J819" s="27">
        <f t="shared" si="38"/>
        <v>1</v>
      </c>
      <c r="K819" s="27">
        <f t="shared" si="37"/>
        <v>1</v>
      </c>
      <c r="L819" s="25">
        <v>517.48013749999996</v>
      </c>
      <c r="M819" s="25">
        <v>520.79141574627079</v>
      </c>
      <c r="N819" s="38">
        <v>0.49526709792657719</v>
      </c>
      <c r="O819" s="38">
        <v>-6.5098114821510178</v>
      </c>
      <c r="P819" s="71">
        <v>-8.4908798738573275</v>
      </c>
      <c r="Q819" s="53">
        <v>43515</v>
      </c>
      <c r="R819" s="23">
        <v>10</v>
      </c>
      <c r="S819" s="30">
        <v>517.48013749999996</v>
      </c>
      <c r="T819" s="24">
        <v>520.79141574627079</v>
      </c>
      <c r="U819" s="1">
        <v>0.49526709792657719</v>
      </c>
      <c r="V819" s="2">
        <v>-6.5098114821510178</v>
      </c>
      <c r="W819" s="2">
        <v>-8.4908798738573275</v>
      </c>
      <c r="X819" s="22" t="s">
        <v>17</v>
      </c>
      <c r="Y819" s="23"/>
      <c r="Z819" s="24" t="s">
        <v>17</v>
      </c>
      <c r="AA819" s="24" t="s">
        <v>17</v>
      </c>
      <c r="AB819" s="1" t="s">
        <v>17</v>
      </c>
      <c r="AC819" s="2" t="s">
        <v>17</v>
      </c>
      <c r="AD819" s="2" t="s">
        <v>17</v>
      </c>
      <c r="AE819" s="22" t="s">
        <v>17</v>
      </c>
      <c r="AF819" s="23"/>
      <c r="AG819" s="24" t="s">
        <v>17</v>
      </c>
      <c r="AH819" s="24" t="s">
        <v>17</v>
      </c>
      <c r="AI819" s="1" t="s">
        <v>17</v>
      </c>
      <c r="AJ819" s="2" t="s">
        <v>17</v>
      </c>
      <c r="AK819" s="2" t="s">
        <v>17</v>
      </c>
      <c r="AL819" s="22" t="s">
        <v>17</v>
      </c>
      <c r="AM819" s="4" t="s">
        <v>17</v>
      </c>
      <c r="AN819" s="4"/>
      <c r="AO819" s="24" t="s">
        <v>17</v>
      </c>
      <c r="AP819" s="1" t="s">
        <v>17</v>
      </c>
      <c r="AQ819" s="2" t="s">
        <v>17</v>
      </c>
      <c r="AR819" s="2" t="s">
        <v>17</v>
      </c>
      <c r="AS819" s="3"/>
      <c r="AT819" s="2"/>
      <c r="AU819" s="4"/>
      <c r="AV819" s="2"/>
      <c r="AW819" s="2"/>
      <c r="AX819" s="2"/>
      <c r="AY819" s="2"/>
      <c r="AZ819" s="5"/>
      <c r="BA819" s="6"/>
      <c r="BB819" s="4"/>
      <c r="BC819" s="6"/>
      <c r="BD819" s="6"/>
      <c r="BE819" s="6"/>
      <c r="BF819" s="7"/>
    </row>
    <row r="820" spans="1:58" ht="18" customHeight="1">
      <c r="A820" s="106" t="s">
        <v>15</v>
      </c>
      <c r="B820" s="93" t="s">
        <v>815</v>
      </c>
      <c r="C820" s="28">
        <v>2068</v>
      </c>
      <c r="D820" s="28">
        <v>2068.12</v>
      </c>
      <c r="E820" s="28">
        <v>2068.06</v>
      </c>
      <c r="F820" s="28">
        <v>2068.06</v>
      </c>
      <c r="G820" s="29">
        <v>190701.84233023401</v>
      </c>
      <c r="H820" s="29">
        <v>187434.85474689401</v>
      </c>
      <c r="I820" s="27">
        <f t="shared" si="36"/>
        <v>1</v>
      </c>
      <c r="J820" s="27">
        <f t="shared" si="38"/>
        <v>1</v>
      </c>
      <c r="K820" s="27">
        <f t="shared" si="37"/>
        <v>1</v>
      </c>
      <c r="L820" s="25">
        <v>481.20451400000002</v>
      </c>
      <c r="M820" s="25">
        <v>484.32647960657948</v>
      </c>
      <c r="N820" s="38">
        <v>0.50215282237275893</v>
      </c>
      <c r="O820" s="38">
        <v>-4.9981128945389974</v>
      </c>
      <c r="P820" s="71">
        <v>-7.0067241840300332</v>
      </c>
      <c r="Q820" s="53">
        <v>44369</v>
      </c>
      <c r="R820" s="23">
        <v>9</v>
      </c>
      <c r="S820" s="30">
        <v>481.20451400000002</v>
      </c>
      <c r="T820" s="24">
        <v>484.32647960657948</v>
      </c>
      <c r="U820" s="1">
        <v>0.50215282237275893</v>
      </c>
      <c r="V820" s="2">
        <v>-4.9981128945389974</v>
      </c>
      <c r="W820" s="2">
        <v>-7.0067241840300332</v>
      </c>
      <c r="X820" s="22" t="s">
        <v>17</v>
      </c>
      <c r="Y820" s="23" t="s">
        <v>17</v>
      </c>
      <c r="Z820" s="24"/>
      <c r="AA820" s="24"/>
      <c r="AB820" s="1" t="s">
        <v>17</v>
      </c>
      <c r="AC820" s="2" t="s">
        <v>17</v>
      </c>
      <c r="AD820" s="2" t="s">
        <v>17</v>
      </c>
      <c r="AE820" s="22"/>
      <c r="AF820" s="23"/>
      <c r="AG820" s="24"/>
      <c r="AH820" s="24"/>
      <c r="AI820" s="1"/>
      <c r="AJ820" s="2"/>
      <c r="AK820" s="2"/>
      <c r="AL820" s="22"/>
      <c r="AM820" s="4"/>
      <c r="AN820" s="4"/>
      <c r="AO820" s="24"/>
      <c r="AP820" s="1"/>
      <c r="AQ820" s="2"/>
      <c r="AR820" s="2"/>
      <c r="AS820" s="3"/>
      <c r="AT820" s="2"/>
      <c r="AU820" s="4"/>
      <c r="AV820" s="2"/>
      <c r="AW820" s="2"/>
      <c r="AX820" s="2"/>
      <c r="AY820" s="2"/>
      <c r="AZ820" s="50"/>
      <c r="BA820" s="51"/>
      <c r="BB820" s="4"/>
      <c r="BC820" s="51"/>
      <c r="BD820" s="51"/>
      <c r="BE820" s="51"/>
      <c r="BF820" s="57"/>
    </row>
    <row r="821" spans="1:58" ht="18" customHeight="1">
      <c r="A821" s="106" t="s">
        <v>15</v>
      </c>
      <c r="B821" s="93" t="s">
        <v>780</v>
      </c>
      <c r="C821" s="28">
        <v>2070.5</v>
      </c>
      <c r="D821" s="28">
        <v>2070.62</v>
      </c>
      <c r="E821" s="28">
        <v>2070.56</v>
      </c>
      <c r="F821" s="28">
        <v>2070.56</v>
      </c>
      <c r="G821" s="29">
        <v>191169.412637464</v>
      </c>
      <c r="H821" s="29">
        <v>188064.721198118</v>
      </c>
      <c r="I821" s="27">
        <f t="shared" si="36"/>
        <v>2</v>
      </c>
      <c r="J821" s="27">
        <f t="shared" si="38"/>
        <v>2</v>
      </c>
      <c r="K821" s="27">
        <f t="shared" si="37"/>
        <v>2</v>
      </c>
      <c r="L821" s="25">
        <v>463.40468350000003</v>
      </c>
      <c r="M821" s="25">
        <v>466.36789145929231</v>
      </c>
      <c r="N821" s="38">
        <v>0.49492398489525691</v>
      </c>
      <c r="O821" s="38">
        <v>-5.6047949207145837</v>
      </c>
      <c r="P821" s="71">
        <v>-7.5844908602956114</v>
      </c>
      <c r="Q821" s="53">
        <v>43188</v>
      </c>
      <c r="R821" s="23">
        <v>9</v>
      </c>
      <c r="S821" s="30">
        <v>463.86102700000004</v>
      </c>
      <c r="T821" s="24">
        <v>466.83198991129882</v>
      </c>
      <c r="U821" s="1">
        <v>0.4957318600706806</v>
      </c>
      <c r="V821" s="2">
        <v>-5.6496083035040279</v>
      </c>
      <c r="W821" s="2">
        <v>-7.6325357437867503</v>
      </c>
      <c r="X821" s="22">
        <v>43188</v>
      </c>
      <c r="Y821" s="23">
        <v>9</v>
      </c>
      <c r="Z821" s="24">
        <v>462.94834000000003</v>
      </c>
      <c r="AA821" s="24">
        <v>465.9037930072858</v>
      </c>
      <c r="AB821" s="1">
        <v>0.49411610971983322</v>
      </c>
      <c r="AC821" s="2">
        <v>-5.5599815379251405</v>
      </c>
      <c r="AD821" s="2">
        <v>-7.5364459768044734</v>
      </c>
      <c r="AE821" s="22" t="s">
        <v>17</v>
      </c>
      <c r="AF821" s="23"/>
      <c r="AG821" s="24" t="s">
        <v>17</v>
      </c>
      <c r="AH821" s="24" t="s">
        <v>17</v>
      </c>
      <c r="AI821" s="1" t="s">
        <v>17</v>
      </c>
      <c r="AJ821" s="2" t="s">
        <v>17</v>
      </c>
      <c r="AK821" s="2" t="s">
        <v>17</v>
      </c>
      <c r="AL821" s="22" t="s">
        <v>17</v>
      </c>
      <c r="AM821" s="4" t="s">
        <v>17</v>
      </c>
      <c r="AN821" s="4"/>
      <c r="AO821" s="24" t="s">
        <v>17</v>
      </c>
      <c r="AP821" s="1" t="s">
        <v>17</v>
      </c>
      <c r="AQ821" s="2" t="s">
        <v>17</v>
      </c>
      <c r="AR821" s="2" t="s">
        <v>17</v>
      </c>
      <c r="AS821" s="3"/>
      <c r="AT821" s="2"/>
      <c r="AU821" s="4"/>
      <c r="AV821" s="2"/>
      <c r="AW821" s="2"/>
      <c r="AX821" s="2"/>
      <c r="AY821" s="2"/>
      <c r="AZ821" s="5"/>
      <c r="BA821" s="6"/>
      <c r="BB821" s="4"/>
      <c r="BC821" s="6"/>
      <c r="BD821" s="6"/>
      <c r="BE821" s="6"/>
      <c r="BF821" s="7"/>
    </row>
    <row r="822" spans="1:58" ht="18" customHeight="1">
      <c r="A822" s="106" t="s">
        <v>15</v>
      </c>
      <c r="B822" s="93" t="s">
        <v>816</v>
      </c>
      <c r="C822" s="28">
        <v>2073</v>
      </c>
      <c r="D822" s="28">
        <v>2073.12</v>
      </c>
      <c r="E822" s="28">
        <v>2073.06</v>
      </c>
      <c r="F822" s="28">
        <v>2073.06</v>
      </c>
      <c r="G822" s="29">
        <v>191654.98236076001</v>
      </c>
      <c r="H822" s="29">
        <v>188649.482614115</v>
      </c>
      <c r="I822" s="27">
        <f t="shared" si="36"/>
        <v>1</v>
      </c>
      <c r="J822" s="27">
        <f t="shared" si="38"/>
        <v>1</v>
      </c>
      <c r="K822" s="27">
        <f t="shared" si="37"/>
        <v>1</v>
      </c>
      <c r="L822" s="25">
        <v>441.9349775</v>
      </c>
      <c r="M822" s="25">
        <v>444.69113942384632</v>
      </c>
      <c r="N822" s="38">
        <v>0.48270726954147136</v>
      </c>
      <c r="O822" s="38">
        <v>-4.9473427038534412</v>
      </c>
      <c r="P822" s="71">
        <v>-6.8781717820193267</v>
      </c>
      <c r="Q822" s="53">
        <v>44357</v>
      </c>
      <c r="R822" s="23">
        <v>9</v>
      </c>
      <c r="S822" s="30">
        <v>441.9349775</v>
      </c>
      <c r="T822" s="24">
        <v>444.69113942384632</v>
      </c>
      <c r="U822" s="1">
        <v>0.48270726954147136</v>
      </c>
      <c r="V822" s="2">
        <v>-4.9473427038534412</v>
      </c>
      <c r="W822" s="2">
        <v>-6.8781717820193267</v>
      </c>
      <c r="X822" s="22" t="s">
        <v>17</v>
      </c>
      <c r="Y822" s="23" t="s">
        <v>17</v>
      </c>
      <c r="Z822" s="24"/>
      <c r="AA822" s="24"/>
      <c r="AB822" s="1" t="s">
        <v>17</v>
      </c>
      <c r="AC822" s="2" t="s">
        <v>17</v>
      </c>
      <c r="AD822" s="2" t="s">
        <v>17</v>
      </c>
      <c r="AE822" s="22"/>
      <c r="AF822" s="23"/>
      <c r="AG822" s="24"/>
      <c r="AH822" s="24"/>
      <c r="AI822" s="1"/>
      <c r="AJ822" s="2"/>
      <c r="AK822" s="2"/>
      <c r="AL822" s="22"/>
      <c r="AM822" s="4"/>
      <c r="AN822" s="4"/>
      <c r="AO822" s="24"/>
      <c r="AP822" s="1"/>
      <c r="AQ822" s="2"/>
      <c r="AR822" s="2"/>
      <c r="AS822" s="3"/>
      <c r="AT822" s="2"/>
      <c r="AU822" s="4"/>
      <c r="AV822" s="2"/>
      <c r="AW822" s="2"/>
      <c r="AX822" s="2"/>
      <c r="AY822" s="2"/>
      <c r="AZ822" s="50"/>
      <c r="BA822" s="51"/>
      <c r="BB822" s="4"/>
      <c r="BC822" s="51"/>
      <c r="BD822" s="51"/>
      <c r="BE822" s="51"/>
      <c r="BF822" s="57"/>
    </row>
    <row r="823" spans="1:58" ht="18" customHeight="1">
      <c r="A823" s="106" t="s">
        <v>15</v>
      </c>
      <c r="B823" s="93" t="s">
        <v>781</v>
      </c>
      <c r="C823" s="28">
        <v>2075</v>
      </c>
      <c r="D823" s="28">
        <v>2075.105</v>
      </c>
      <c r="E823" s="28">
        <v>2075.0524999999998</v>
      </c>
      <c r="F823" s="28">
        <v>2075.0524999999998</v>
      </c>
      <c r="G823" s="29">
        <v>192063.393059233</v>
      </c>
      <c r="H823" s="29">
        <v>189092.624353313</v>
      </c>
      <c r="I823" s="27">
        <f t="shared" si="36"/>
        <v>1</v>
      </c>
      <c r="J823" s="27">
        <f t="shared" si="38"/>
        <v>1</v>
      </c>
      <c r="K823" s="27">
        <f t="shared" si="37"/>
        <v>1</v>
      </c>
      <c r="L823" s="25">
        <v>441.71914000000004</v>
      </c>
      <c r="M823" s="25">
        <v>444.47693208994372</v>
      </c>
      <c r="N823" s="38">
        <v>0.4832287777940536</v>
      </c>
      <c r="O823" s="38">
        <v>-4.7736670254241442</v>
      </c>
      <c r="P823" s="71">
        <v>-6.7065821366003586</v>
      </c>
      <c r="Q823" s="53">
        <v>43515</v>
      </c>
      <c r="R823" s="23">
        <v>10</v>
      </c>
      <c r="S823" s="30">
        <v>441.71914000000004</v>
      </c>
      <c r="T823" s="24">
        <v>444.47693208994372</v>
      </c>
      <c r="U823" s="1">
        <v>0.4832287777940536</v>
      </c>
      <c r="V823" s="2">
        <v>-4.7736670254241442</v>
      </c>
      <c r="W823" s="2">
        <v>-6.7065821366003586</v>
      </c>
      <c r="X823" s="22" t="s">
        <v>17</v>
      </c>
      <c r="Y823" s="23"/>
      <c r="Z823" s="24" t="s">
        <v>17</v>
      </c>
      <c r="AA823" s="24" t="s">
        <v>17</v>
      </c>
      <c r="AB823" s="1" t="s">
        <v>17</v>
      </c>
      <c r="AC823" s="2" t="s">
        <v>17</v>
      </c>
      <c r="AD823" s="2" t="s">
        <v>17</v>
      </c>
      <c r="AE823" s="22" t="s">
        <v>17</v>
      </c>
      <c r="AF823" s="23"/>
      <c r="AG823" s="24" t="s">
        <v>17</v>
      </c>
      <c r="AH823" s="24" t="s">
        <v>17</v>
      </c>
      <c r="AI823" s="1" t="s">
        <v>17</v>
      </c>
      <c r="AJ823" s="2" t="s">
        <v>17</v>
      </c>
      <c r="AK823" s="2" t="s">
        <v>17</v>
      </c>
      <c r="AL823" s="22" t="s">
        <v>17</v>
      </c>
      <c r="AM823" s="4" t="s">
        <v>17</v>
      </c>
      <c r="AN823" s="4"/>
      <c r="AO823" s="24" t="s">
        <v>17</v>
      </c>
      <c r="AP823" s="1" t="s">
        <v>17</v>
      </c>
      <c r="AQ823" s="2" t="s">
        <v>17</v>
      </c>
      <c r="AR823" s="2" t="s">
        <v>17</v>
      </c>
      <c r="AS823" s="3"/>
      <c r="AT823" s="2"/>
      <c r="AU823" s="4"/>
      <c r="AV823" s="2"/>
      <c r="AW823" s="2"/>
      <c r="AX823" s="2"/>
      <c r="AY823" s="2"/>
      <c r="AZ823" s="5"/>
      <c r="BA823" s="6"/>
      <c r="BB823" s="4"/>
      <c r="BC823" s="6"/>
      <c r="BD823" s="6"/>
      <c r="BE823" s="6"/>
      <c r="BF823" s="7"/>
    </row>
    <row r="824" spans="1:58" ht="18" customHeight="1">
      <c r="A824" s="106" t="s">
        <v>15</v>
      </c>
      <c r="B824" s="93" t="s">
        <v>817</v>
      </c>
      <c r="C824" s="28">
        <v>2076.88</v>
      </c>
      <c r="D824" s="28">
        <v>2077</v>
      </c>
      <c r="E824" s="28">
        <v>2076.94</v>
      </c>
      <c r="F824" s="28">
        <v>2076.94</v>
      </c>
      <c r="G824" s="29">
        <v>192447.239076609</v>
      </c>
      <c r="H824" s="29">
        <v>189481.14003352</v>
      </c>
      <c r="I824" s="27">
        <f t="shared" si="36"/>
        <v>1</v>
      </c>
      <c r="J824" s="27">
        <f t="shared" si="38"/>
        <v>1</v>
      </c>
      <c r="K824" s="27">
        <f t="shared" si="37"/>
        <v>1</v>
      </c>
      <c r="L824" s="25">
        <v>444.7044765</v>
      </c>
      <c r="M824" s="25">
        <v>447.50400031169681</v>
      </c>
      <c r="N824" s="38">
        <v>0.48724809626254917</v>
      </c>
      <c r="O824" s="38">
        <v>-4.3221285649959196</v>
      </c>
      <c r="P824" s="71">
        <v>-6.2711209500461162</v>
      </c>
      <c r="Q824" s="53">
        <v>44361</v>
      </c>
      <c r="R824" s="23">
        <v>9</v>
      </c>
      <c r="S824" s="30">
        <v>444.7044765</v>
      </c>
      <c r="T824" s="24">
        <v>447.50400031169681</v>
      </c>
      <c r="U824" s="1">
        <v>0.48724809626254917</v>
      </c>
      <c r="V824" s="2">
        <v>-4.3221285649959196</v>
      </c>
      <c r="W824" s="2">
        <v>-6.2711209500461162</v>
      </c>
      <c r="X824" s="22" t="s">
        <v>17</v>
      </c>
      <c r="Y824" s="23" t="s">
        <v>17</v>
      </c>
      <c r="Z824" s="24"/>
      <c r="AA824" s="24"/>
      <c r="AB824" s="1" t="s">
        <v>17</v>
      </c>
      <c r="AC824" s="2" t="s">
        <v>17</v>
      </c>
      <c r="AD824" s="2" t="s">
        <v>17</v>
      </c>
      <c r="AE824" s="22"/>
      <c r="AF824" s="23"/>
      <c r="AG824" s="24"/>
      <c r="AH824" s="24"/>
      <c r="AI824" s="1"/>
      <c r="AJ824" s="2"/>
      <c r="AK824" s="2"/>
      <c r="AL824" s="22"/>
      <c r="AM824" s="4"/>
      <c r="AN824" s="4"/>
      <c r="AO824" s="24"/>
      <c r="AP824" s="1"/>
      <c r="AQ824" s="2"/>
      <c r="AR824" s="2"/>
      <c r="AS824" s="3"/>
      <c r="AT824" s="2"/>
      <c r="AU824" s="4"/>
      <c r="AV824" s="2"/>
      <c r="AW824" s="2"/>
      <c r="AX824" s="2"/>
      <c r="AY824" s="2"/>
      <c r="AZ824" s="50"/>
      <c r="BA824" s="51"/>
      <c r="BB824" s="4"/>
      <c r="BC824" s="51"/>
      <c r="BD824" s="51"/>
      <c r="BE824" s="51"/>
      <c r="BF824" s="57"/>
    </row>
    <row r="825" spans="1:58" ht="18" customHeight="1">
      <c r="A825" s="106" t="s">
        <v>15</v>
      </c>
      <c r="B825" s="93" t="s">
        <v>782</v>
      </c>
      <c r="C825" s="28">
        <v>2078.5</v>
      </c>
      <c r="D825" s="28">
        <v>2078.62</v>
      </c>
      <c r="E825" s="28">
        <v>2078.56</v>
      </c>
      <c r="F825" s="28">
        <v>2078.56</v>
      </c>
      <c r="G825" s="29">
        <v>192767.040932448</v>
      </c>
      <c r="H825" s="29">
        <v>189804.44937263301</v>
      </c>
      <c r="I825" s="27">
        <f t="shared" si="36"/>
        <v>2</v>
      </c>
      <c r="J825" s="27">
        <f t="shared" si="38"/>
        <v>2</v>
      </c>
      <c r="K825" s="27">
        <f t="shared" si="37"/>
        <v>2</v>
      </c>
      <c r="L825" s="25">
        <v>457.79986400000001</v>
      </c>
      <c r="M825" s="25">
        <v>460.67447913009971</v>
      </c>
      <c r="N825" s="38">
        <v>0.48600899421769039</v>
      </c>
      <c r="O825" s="38">
        <v>-4.5032068003794112</v>
      </c>
      <c r="P825" s="71">
        <v>-6.4472427772501728</v>
      </c>
      <c r="Q825" s="53">
        <v>43187</v>
      </c>
      <c r="R825" s="23">
        <v>9</v>
      </c>
      <c r="S825" s="30">
        <v>459.42333450000001</v>
      </c>
      <c r="T825" s="24">
        <v>462.30296909812381</v>
      </c>
      <c r="U825" s="1">
        <v>0.48513411945405593</v>
      </c>
      <c r="V825" s="2">
        <v>-4.4683281829894783</v>
      </c>
      <c r="W825" s="2">
        <v>-6.4088646608057021</v>
      </c>
      <c r="X825" s="22">
        <v>43187</v>
      </c>
      <c r="Y825" s="23">
        <v>9</v>
      </c>
      <c r="Z825" s="24">
        <v>456.17639350000002</v>
      </c>
      <c r="AA825" s="24">
        <v>459.04598916207556</v>
      </c>
      <c r="AB825" s="1">
        <v>0.48688386898132485</v>
      </c>
      <c r="AC825" s="2">
        <v>-4.5380854177693442</v>
      </c>
      <c r="AD825" s="2">
        <v>-6.4856208936946436</v>
      </c>
      <c r="AE825" s="22" t="s">
        <v>17</v>
      </c>
      <c r="AF825" s="23"/>
      <c r="AG825" s="24" t="s">
        <v>17</v>
      </c>
      <c r="AH825" s="24" t="s">
        <v>17</v>
      </c>
      <c r="AI825" s="1" t="s">
        <v>17</v>
      </c>
      <c r="AJ825" s="2" t="s">
        <v>17</v>
      </c>
      <c r="AK825" s="2" t="s">
        <v>17</v>
      </c>
      <c r="AL825" s="22" t="s">
        <v>17</v>
      </c>
      <c r="AM825" s="4" t="s">
        <v>17</v>
      </c>
      <c r="AN825" s="4"/>
      <c r="AO825" s="24" t="s">
        <v>17</v>
      </c>
      <c r="AP825" s="1" t="s">
        <v>17</v>
      </c>
      <c r="AQ825" s="2" t="s">
        <v>17</v>
      </c>
      <c r="AR825" s="2" t="s">
        <v>17</v>
      </c>
      <c r="AS825" s="3"/>
      <c r="AT825" s="2"/>
      <c r="AU825" s="4"/>
      <c r="AV825" s="2"/>
      <c r="AW825" s="2"/>
      <c r="AX825" s="2"/>
      <c r="AY825" s="2"/>
      <c r="AZ825" s="5"/>
      <c r="BA825" s="6"/>
      <c r="BB825" s="4"/>
      <c r="BC825" s="6"/>
      <c r="BD825" s="6"/>
      <c r="BE825" s="6"/>
      <c r="BF825" s="7"/>
    </row>
    <row r="826" spans="1:58" ht="18" customHeight="1">
      <c r="A826" s="106" t="s">
        <v>801</v>
      </c>
      <c r="B826" s="93" t="s">
        <v>800</v>
      </c>
      <c r="C826" s="28">
        <v>2080.5</v>
      </c>
      <c r="D826" s="28">
        <v>2080.62</v>
      </c>
      <c r="E826" s="28">
        <v>2080.56</v>
      </c>
      <c r="F826" s="28">
        <v>2080.56</v>
      </c>
      <c r="G826" s="29">
        <v>193207.382740439</v>
      </c>
      <c r="H826" s="29">
        <v>190193.80808965501</v>
      </c>
      <c r="I826" s="27">
        <f t="shared" si="36"/>
        <v>1</v>
      </c>
      <c r="J826" s="27">
        <f t="shared" si="38"/>
        <v>1</v>
      </c>
      <c r="K826" s="27">
        <f t="shared" si="37"/>
        <v>1</v>
      </c>
      <c r="L826" s="25">
        <v>478.43954300000001</v>
      </c>
      <c r="M826" s="25">
        <v>481.56864319102397</v>
      </c>
      <c r="N826" s="38">
        <v>0.50620903059828137</v>
      </c>
      <c r="O826" s="38">
        <v>-4.057957706989912</v>
      </c>
      <c r="P826" s="71">
        <v>-6.0827938293830375</v>
      </c>
      <c r="Q826" s="53">
        <v>44257</v>
      </c>
      <c r="R826" s="23">
        <v>10</v>
      </c>
      <c r="S826" s="30">
        <v>478.43954300000001</v>
      </c>
      <c r="T826" s="24">
        <v>481.56864319102397</v>
      </c>
      <c r="U826" s="1">
        <v>0.50620903059828137</v>
      </c>
      <c r="V826" s="2">
        <v>-4.057957706989912</v>
      </c>
      <c r="W826" s="2">
        <v>-6.0827938293830375</v>
      </c>
      <c r="X826" s="22"/>
      <c r="Y826" s="23"/>
      <c r="Z826" s="49" t="s">
        <v>17</v>
      </c>
      <c r="AA826" s="24"/>
      <c r="AB826" s="1"/>
      <c r="AC826" s="2"/>
      <c r="AD826" s="2"/>
      <c r="AE826" s="22"/>
      <c r="AF826" s="23"/>
      <c r="AG826" s="49"/>
      <c r="AH826" s="24"/>
      <c r="AI826" s="1"/>
      <c r="AJ826" s="2"/>
      <c r="AK826" s="2"/>
      <c r="AL826" s="22"/>
      <c r="AM826" s="4"/>
      <c r="AN826" s="4"/>
      <c r="AO826" s="24"/>
      <c r="AP826" s="1"/>
      <c r="AQ826" s="2"/>
      <c r="AR826" s="2"/>
      <c r="AS826" s="3"/>
      <c r="AT826" s="2"/>
      <c r="AU826" s="4"/>
      <c r="AV826" s="2"/>
      <c r="AW826" s="2"/>
      <c r="AX826" s="2"/>
      <c r="AY826" s="2"/>
      <c r="AZ826" s="5"/>
      <c r="BA826" s="6"/>
      <c r="BB826" s="4"/>
      <c r="BC826" s="6"/>
      <c r="BD826" s="6"/>
      <c r="BE826" s="6"/>
      <c r="BF826" s="7"/>
    </row>
    <row r="827" spans="1:58" ht="18" customHeight="1">
      <c r="A827" s="106" t="s">
        <v>15</v>
      </c>
      <c r="B827" s="93" t="s">
        <v>818</v>
      </c>
      <c r="C827" s="28">
        <v>2083.38</v>
      </c>
      <c r="D827" s="28">
        <v>2083.5</v>
      </c>
      <c r="E827" s="28">
        <v>2083.44</v>
      </c>
      <c r="F827" s="28">
        <v>2083.44</v>
      </c>
      <c r="G827" s="29">
        <v>193794.90409525801</v>
      </c>
      <c r="H827" s="29">
        <v>190680.26103350401</v>
      </c>
      <c r="I827" s="27">
        <f t="shared" si="36"/>
        <v>1</v>
      </c>
      <c r="J827" s="27">
        <f t="shared" si="38"/>
        <v>1</v>
      </c>
      <c r="K827" s="27">
        <f t="shared" si="37"/>
        <v>1</v>
      </c>
      <c r="L827" s="25">
        <v>425.88967600000001</v>
      </c>
      <c r="M827" s="25">
        <v>425.88967600000001</v>
      </c>
      <c r="N827" s="38">
        <v>0.51225946056021598</v>
      </c>
      <c r="O827" s="38">
        <v>-2.1935898528057107</v>
      </c>
      <c r="P827" s="71">
        <v>-4.2426276950465747</v>
      </c>
      <c r="Q827" s="53">
        <v>44361</v>
      </c>
      <c r="R827" s="23">
        <v>9</v>
      </c>
      <c r="S827" s="30">
        <v>425.88967600000001</v>
      </c>
      <c r="T827" s="24">
        <v>425.88967600000001</v>
      </c>
      <c r="U827" s="1"/>
      <c r="V827" s="2"/>
      <c r="W827" s="2"/>
      <c r="X827" s="22">
        <v>44364</v>
      </c>
      <c r="Y827" s="23">
        <v>9</v>
      </c>
      <c r="Z827" s="24"/>
      <c r="AA827" s="24"/>
      <c r="AB827" s="1">
        <v>0.51225946056021598</v>
      </c>
      <c r="AC827" s="2">
        <v>-2.1935898528057107</v>
      </c>
      <c r="AD827" s="2">
        <v>-4.2426276950465747</v>
      </c>
      <c r="AE827" s="22"/>
      <c r="AF827" s="23"/>
      <c r="AG827" s="24"/>
      <c r="AH827" s="24"/>
      <c r="AI827" s="1"/>
      <c r="AJ827" s="2"/>
      <c r="AK827" s="2"/>
      <c r="AL827" s="22"/>
      <c r="AM827" s="4"/>
      <c r="AN827" s="4"/>
      <c r="AO827" s="24"/>
      <c r="AP827" s="1"/>
      <c r="AQ827" s="2"/>
      <c r="AR827" s="2"/>
      <c r="AS827" s="3"/>
      <c r="AT827" s="2"/>
      <c r="AU827" s="4"/>
      <c r="AV827" s="2"/>
      <c r="AW827" s="2"/>
      <c r="AX827" s="2"/>
      <c r="AY827" s="2"/>
      <c r="AZ827" s="50"/>
      <c r="BA827" s="51"/>
      <c r="BB827" s="4"/>
      <c r="BC827" s="51"/>
      <c r="BD827" s="51"/>
      <c r="BE827" s="51"/>
      <c r="BF827" s="57"/>
    </row>
    <row r="828" spans="1:58" ht="18" customHeight="1">
      <c r="A828" s="106" t="s">
        <v>15</v>
      </c>
      <c r="B828" s="93" t="s">
        <v>783</v>
      </c>
      <c r="C828" s="28">
        <v>2085.5</v>
      </c>
      <c r="D828" s="28">
        <v>2085.62</v>
      </c>
      <c r="E828" s="28">
        <v>2085.56</v>
      </c>
      <c r="F828" s="28">
        <v>2085.56</v>
      </c>
      <c r="G828" s="29">
        <v>194166.56301666101</v>
      </c>
      <c r="H828" s="29">
        <v>191072.363295827</v>
      </c>
      <c r="I828" s="27">
        <f t="shared" si="36"/>
        <v>1</v>
      </c>
      <c r="J828" s="27">
        <f t="shared" si="38"/>
        <v>1</v>
      </c>
      <c r="K828" s="27">
        <f t="shared" si="37"/>
        <v>1</v>
      </c>
      <c r="L828" s="25">
        <v>431.88806049999999</v>
      </c>
      <c r="M828" s="25">
        <v>434.76899869069689</v>
      </c>
      <c r="N828" s="38">
        <v>0.51629774585371102</v>
      </c>
      <c r="O828" s="38">
        <v>-1.8607101521945779</v>
      </c>
      <c r="P828" s="71">
        <v>-3.925901135609422</v>
      </c>
      <c r="Q828" s="53">
        <v>43769</v>
      </c>
      <c r="R828" s="23">
        <v>9</v>
      </c>
      <c r="S828" s="30">
        <v>431.88806049999999</v>
      </c>
      <c r="T828" s="24">
        <v>434.76899869069689</v>
      </c>
      <c r="U828" s="1">
        <v>0.51629774585371102</v>
      </c>
      <c r="V828" s="2">
        <v>-1.8607101521945779</v>
      </c>
      <c r="W828" s="2">
        <v>-3.925901135609422</v>
      </c>
      <c r="X828" s="22" t="s">
        <v>17</v>
      </c>
      <c r="Y828" s="23"/>
      <c r="Z828" s="24" t="s">
        <v>17</v>
      </c>
      <c r="AA828" s="24" t="s">
        <v>17</v>
      </c>
      <c r="AB828" s="1" t="s">
        <v>17</v>
      </c>
      <c r="AC828" s="2" t="s">
        <v>17</v>
      </c>
      <c r="AD828" s="2" t="s">
        <v>17</v>
      </c>
      <c r="AE828" s="22" t="s">
        <v>17</v>
      </c>
      <c r="AF828" s="23"/>
      <c r="AG828" s="24" t="s">
        <v>17</v>
      </c>
      <c r="AH828" s="24" t="s">
        <v>17</v>
      </c>
      <c r="AI828" s="1" t="s">
        <v>17</v>
      </c>
      <c r="AJ828" s="2" t="s">
        <v>17</v>
      </c>
      <c r="AK828" s="2" t="s">
        <v>17</v>
      </c>
      <c r="AL828" s="22" t="s">
        <v>17</v>
      </c>
      <c r="AM828" s="4" t="s">
        <v>17</v>
      </c>
      <c r="AN828" s="4"/>
      <c r="AO828" s="24" t="s">
        <v>17</v>
      </c>
      <c r="AP828" s="1" t="s">
        <v>17</v>
      </c>
      <c r="AQ828" s="2" t="s">
        <v>17</v>
      </c>
      <c r="AR828" s="2" t="s">
        <v>17</v>
      </c>
      <c r="AS828" s="3"/>
      <c r="AT828" s="2"/>
      <c r="AU828" s="4"/>
      <c r="AV828" s="2"/>
      <c r="AW828" s="2"/>
      <c r="AX828" s="2"/>
      <c r="AY828" s="2"/>
      <c r="AZ828" s="5"/>
      <c r="BA828" s="6"/>
      <c r="BB828" s="4"/>
      <c r="BC828" s="6"/>
      <c r="BD828" s="6"/>
      <c r="BE828" s="6"/>
      <c r="BF828" s="7"/>
    </row>
    <row r="829" spans="1:58" ht="18" customHeight="1">
      <c r="A829" s="106" t="s">
        <v>15</v>
      </c>
      <c r="B829" s="93" t="s">
        <v>784</v>
      </c>
      <c r="C829" s="28">
        <v>2088</v>
      </c>
      <c r="D829" s="28">
        <v>2088.12</v>
      </c>
      <c r="E829" s="28">
        <v>2088.06</v>
      </c>
      <c r="F829" s="28">
        <v>2088.06</v>
      </c>
      <c r="G829" s="29">
        <v>194589.41799972701</v>
      </c>
      <c r="H829" s="29">
        <v>191555.34101144999</v>
      </c>
      <c r="I829" s="27">
        <f t="shared" si="36"/>
        <v>2</v>
      </c>
      <c r="J829" s="27">
        <f t="shared" si="38"/>
        <v>2</v>
      </c>
      <c r="K829" s="27">
        <f t="shared" si="37"/>
        <v>2</v>
      </c>
      <c r="L829" s="25">
        <v>441.3063755</v>
      </c>
      <c r="M829" s="25">
        <v>444.22121438488784</v>
      </c>
      <c r="N829" s="38">
        <v>0.51122215978116614</v>
      </c>
      <c r="O829" s="38">
        <v>-1.7279720864722403</v>
      </c>
      <c r="P829" s="71">
        <v>-3.7728607255969049</v>
      </c>
      <c r="Q829" s="53">
        <v>43188</v>
      </c>
      <c r="R829" s="23">
        <v>9</v>
      </c>
      <c r="S829" s="30">
        <v>441.68145900000002</v>
      </c>
      <c r="T829" s="24">
        <v>444.61589824536827</v>
      </c>
      <c r="U829" s="1">
        <v>0.51422529964351149</v>
      </c>
      <c r="V829" s="2">
        <v>-1.7114727658530393</v>
      </c>
      <c r="W829" s="2">
        <v>-3.7683739644270853</v>
      </c>
      <c r="X829" s="22">
        <v>43188</v>
      </c>
      <c r="Y829" s="23">
        <v>9</v>
      </c>
      <c r="Z829" s="24">
        <v>440.93129199999998</v>
      </c>
      <c r="AA829" s="24">
        <v>443.82653052440736</v>
      </c>
      <c r="AB829" s="1">
        <v>0.50821901991882079</v>
      </c>
      <c r="AC829" s="2">
        <v>-1.7444714070914413</v>
      </c>
      <c r="AD829" s="2">
        <v>-3.7773474867667245</v>
      </c>
      <c r="AE829" s="22" t="s">
        <v>17</v>
      </c>
      <c r="AF829" s="23"/>
      <c r="AG829" s="24" t="s">
        <v>17</v>
      </c>
      <c r="AH829" s="24" t="s">
        <v>17</v>
      </c>
      <c r="AI829" s="1" t="s">
        <v>17</v>
      </c>
      <c r="AJ829" s="2" t="s">
        <v>17</v>
      </c>
      <c r="AK829" s="2" t="s">
        <v>17</v>
      </c>
      <c r="AL829" s="22" t="s">
        <v>17</v>
      </c>
      <c r="AM829" s="4" t="s">
        <v>17</v>
      </c>
      <c r="AN829" s="4"/>
      <c r="AO829" s="24" t="s">
        <v>17</v>
      </c>
      <c r="AP829" s="1" t="s">
        <v>17</v>
      </c>
      <c r="AQ829" s="2" t="s">
        <v>17</v>
      </c>
      <c r="AR829" s="2" t="s">
        <v>17</v>
      </c>
      <c r="AS829" s="3"/>
      <c r="AT829" s="2"/>
      <c r="AU829" s="4"/>
      <c r="AV829" s="2"/>
      <c r="AW829" s="2"/>
      <c r="AX829" s="2"/>
      <c r="AY829" s="2"/>
      <c r="AZ829" s="5"/>
      <c r="BA829" s="6"/>
      <c r="BB829" s="4"/>
      <c r="BC829" s="6"/>
      <c r="BD829" s="6"/>
      <c r="BE829" s="6"/>
      <c r="BF829" s="7"/>
    </row>
    <row r="830" spans="1:58" ht="18" customHeight="1">
      <c r="A830" s="106" t="s">
        <v>15</v>
      </c>
      <c r="B830" s="93" t="s">
        <v>819</v>
      </c>
      <c r="C830" s="28">
        <v>2090.5</v>
      </c>
      <c r="D830" s="28">
        <v>2090.62</v>
      </c>
      <c r="E830" s="28">
        <v>2090.56</v>
      </c>
      <c r="F830" s="28">
        <v>2090.56</v>
      </c>
      <c r="G830" s="29">
        <v>195061.15056516801</v>
      </c>
      <c r="H830" s="29">
        <v>192056.49290057601</v>
      </c>
      <c r="I830" s="27">
        <f t="shared" si="36"/>
        <v>1</v>
      </c>
      <c r="J830" s="27">
        <f t="shared" si="38"/>
        <v>2</v>
      </c>
      <c r="K830" s="27">
        <f t="shared" si="37"/>
        <v>2</v>
      </c>
      <c r="L830" s="25">
        <v>461.24080849999996</v>
      </c>
      <c r="M830" s="25">
        <v>464.07733455816071</v>
      </c>
      <c r="N830" s="38">
        <v>0.48284577127699624</v>
      </c>
      <c r="O830" s="38">
        <v>-1.7164500590349796</v>
      </c>
      <c r="P830" s="71">
        <v>-3.6478331441429646</v>
      </c>
      <c r="Q830" s="53">
        <v>44357</v>
      </c>
      <c r="R830" s="23">
        <v>9</v>
      </c>
      <c r="S830" s="30">
        <v>461.24080849999996</v>
      </c>
      <c r="T830" s="24">
        <v>464.07733455816071</v>
      </c>
      <c r="U830" s="1">
        <v>0.47598858664033017</v>
      </c>
      <c r="V830" s="2">
        <v>-1.8696148840167126</v>
      </c>
      <c r="W830" s="2">
        <v>-3.7735692305780333</v>
      </c>
      <c r="X830" s="22">
        <v>44362</v>
      </c>
      <c r="Y830" s="23">
        <v>9</v>
      </c>
      <c r="Z830" s="24"/>
      <c r="AA830" s="24"/>
      <c r="AB830" s="1">
        <v>0.48970295591366231</v>
      </c>
      <c r="AC830" s="2">
        <v>-1.5632852340532466</v>
      </c>
      <c r="AD830" s="2">
        <v>-3.5220970577078958</v>
      </c>
      <c r="AE830" s="22"/>
      <c r="AF830" s="23"/>
      <c r="AG830" s="24"/>
      <c r="AH830" s="24"/>
      <c r="AI830" s="1"/>
      <c r="AJ830" s="2"/>
      <c r="AK830" s="2"/>
      <c r="AL830" s="22"/>
      <c r="AM830" s="4"/>
      <c r="AN830" s="4"/>
      <c r="AO830" s="24"/>
      <c r="AP830" s="1"/>
      <c r="AQ830" s="2"/>
      <c r="AR830" s="2"/>
      <c r="AS830" s="3"/>
      <c r="AT830" s="2"/>
      <c r="AU830" s="4"/>
      <c r="AV830" s="2"/>
      <c r="AW830" s="2"/>
      <c r="AX830" s="2"/>
      <c r="AY830" s="2"/>
      <c r="AZ830" s="50"/>
      <c r="BA830" s="51"/>
      <c r="BB830" s="4"/>
      <c r="BC830" s="51"/>
      <c r="BD830" s="51"/>
      <c r="BE830" s="51"/>
      <c r="BF830" s="57"/>
    </row>
    <row r="831" spans="1:58" ht="18" customHeight="1">
      <c r="A831" s="106" t="s">
        <v>15</v>
      </c>
      <c r="B831" s="93" t="s">
        <v>785</v>
      </c>
      <c r="C831" s="28">
        <v>2093.5</v>
      </c>
      <c r="D831" s="28">
        <v>2093.62</v>
      </c>
      <c r="E831" s="28">
        <v>2093.56</v>
      </c>
      <c r="F831" s="28">
        <v>2093.56</v>
      </c>
      <c r="G831" s="29">
        <v>195660.54444368501</v>
      </c>
      <c r="H831" s="29">
        <v>192661.913256684</v>
      </c>
      <c r="I831" s="27">
        <f t="shared" si="36"/>
        <v>1</v>
      </c>
      <c r="J831" s="27">
        <f t="shared" si="38"/>
        <v>1</v>
      </c>
      <c r="K831" s="27">
        <f t="shared" si="37"/>
        <v>1</v>
      </c>
      <c r="L831" s="25">
        <v>475.01097200000004</v>
      </c>
      <c r="M831" s="25">
        <v>477.93975137039337</v>
      </c>
      <c r="N831" s="38">
        <v>0.47722204989986139</v>
      </c>
      <c r="O831" s="38">
        <v>-1.4175458163986354</v>
      </c>
      <c r="P831" s="71">
        <v>-3.326434015998081</v>
      </c>
      <c r="Q831" s="53">
        <v>43514</v>
      </c>
      <c r="R831" s="23">
        <v>10</v>
      </c>
      <c r="S831" s="30">
        <v>475.01097200000004</v>
      </c>
      <c r="T831" s="24">
        <v>477.93975137039337</v>
      </c>
      <c r="U831" s="1">
        <v>0.47722204989986139</v>
      </c>
      <c r="V831" s="2">
        <v>-1.4175458163986354</v>
      </c>
      <c r="W831" s="2">
        <v>-3.326434015998081</v>
      </c>
      <c r="X831" s="22" t="s">
        <v>17</v>
      </c>
      <c r="Y831" s="23"/>
      <c r="Z831" s="24" t="s">
        <v>17</v>
      </c>
      <c r="AA831" s="24" t="s">
        <v>17</v>
      </c>
      <c r="AB831" s="1" t="s">
        <v>17</v>
      </c>
      <c r="AC831" s="2" t="s">
        <v>17</v>
      </c>
      <c r="AD831" s="2" t="s">
        <v>17</v>
      </c>
      <c r="AE831" s="22" t="s">
        <v>17</v>
      </c>
      <c r="AF831" s="23"/>
      <c r="AG831" s="24" t="s">
        <v>17</v>
      </c>
      <c r="AH831" s="24" t="s">
        <v>17</v>
      </c>
      <c r="AI831" s="1" t="s">
        <v>17</v>
      </c>
      <c r="AJ831" s="2" t="s">
        <v>17</v>
      </c>
      <c r="AK831" s="2" t="s">
        <v>17</v>
      </c>
      <c r="AL831" s="22" t="s">
        <v>17</v>
      </c>
      <c r="AM831" s="4" t="s">
        <v>17</v>
      </c>
      <c r="AN831" s="4"/>
      <c r="AO831" s="24" t="s">
        <v>17</v>
      </c>
      <c r="AP831" s="1" t="s">
        <v>17</v>
      </c>
      <c r="AQ831" s="2" t="s">
        <v>17</v>
      </c>
      <c r="AR831" s="2" t="s">
        <v>17</v>
      </c>
      <c r="AS831" s="3"/>
      <c r="AT831" s="2"/>
      <c r="AU831" s="4"/>
      <c r="AV831" s="2"/>
      <c r="AW831" s="2"/>
      <c r="AX831" s="2"/>
      <c r="AY831" s="2"/>
      <c r="AZ831" s="5"/>
      <c r="BA831" s="6"/>
      <c r="BB831" s="4"/>
      <c r="BC831" s="6"/>
      <c r="BD831" s="6"/>
      <c r="BE831" s="6"/>
      <c r="BF831" s="7"/>
    </row>
    <row r="832" spans="1:58" ht="18" customHeight="1">
      <c r="A832" s="106" t="s">
        <v>15</v>
      </c>
      <c r="B832" s="93" t="s">
        <v>820</v>
      </c>
      <c r="C832" s="28">
        <v>2095.5</v>
      </c>
      <c r="D832" s="28">
        <v>2095.62</v>
      </c>
      <c r="E832" s="28">
        <v>2095.56</v>
      </c>
      <c r="F832" s="28">
        <v>2095.56</v>
      </c>
      <c r="G832" s="29">
        <v>196048.89987289</v>
      </c>
      <c r="H832" s="29">
        <v>193100.254494569</v>
      </c>
      <c r="I832" s="27">
        <f t="shared" si="36"/>
        <v>1</v>
      </c>
      <c r="J832" s="27">
        <f t="shared" si="38"/>
        <v>1</v>
      </c>
      <c r="K832" s="27">
        <f t="shared" si="37"/>
        <v>1</v>
      </c>
      <c r="L832" s="25">
        <v>497.33155799999997</v>
      </c>
      <c r="M832" s="25">
        <v>500.4805482277647</v>
      </c>
      <c r="N832" s="38">
        <v>0.49007526240640864</v>
      </c>
      <c r="O832" s="38">
        <v>-0.92168897088340529</v>
      </c>
      <c r="P832" s="71">
        <v>-2.8819900205090399</v>
      </c>
      <c r="Q832" s="53">
        <v>44362</v>
      </c>
      <c r="R832" s="23">
        <v>9</v>
      </c>
      <c r="S832" s="30">
        <v>497.33155799999997</v>
      </c>
      <c r="T832" s="24">
        <v>500.4805482277647</v>
      </c>
      <c r="U832" s="1">
        <v>0.49007526240640864</v>
      </c>
      <c r="V832" s="2">
        <v>-0.92168897088340529</v>
      </c>
      <c r="W832" s="2">
        <v>-2.8819900205090399</v>
      </c>
      <c r="X832" s="22" t="s">
        <v>17</v>
      </c>
      <c r="Y832" s="23" t="s">
        <v>17</v>
      </c>
      <c r="Z832" s="24"/>
      <c r="AA832" s="24"/>
      <c r="AB832" s="1" t="s">
        <v>17</v>
      </c>
      <c r="AC832" s="2" t="s">
        <v>17</v>
      </c>
      <c r="AD832" s="2" t="s">
        <v>17</v>
      </c>
      <c r="AE832" s="22"/>
      <c r="AF832" s="23"/>
      <c r="AG832" s="24"/>
      <c r="AH832" s="24"/>
      <c r="AI832" s="1"/>
      <c r="AJ832" s="2"/>
      <c r="AK832" s="2"/>
      <c r="AL832" s="22"/>
      <c r="AM832" s="4"/>
      <c r="AN832" s="4"/>
      <c r="AO832" s="24"/>
      <c r="AP832" s="1"/>
      <c r="AQ832" s="2"/>
      <c r="AR832" s="2"/>
      <c r="AS832" s="3"/>
      <c r="AT832" s="2"/>
      <c r="AU832" s="4"/>
      <c r="AV832" s="2"/>
      <c r="AW832" s="2"/>
      <c r="AX832" s="2"/>
      <c r="AY832" s="2"/>
      <c r="AZ832" s="50"/>
      <c r="BA832" s="51"/>
      <c r="BB832" s="4"/>
      <c r="BC832" s="51"/>
      <c r="BD832" s="51"/>
      <c r="BE832" s="51"/>
      <c r="BF832" s="57"/>
    </row>
    <row r="833" spans="1:58" ht="18" customHeight="1">
      <c r="A833" s="106" t="s">
        <v>15</v>
      </c>
      <c r="B833" s="93" t="s">
        <v>786</v>
      </c>
      <c r="C833" s="28">
        <v>2098.88</v>
      </c>
      <c r="D833" s="28">
        <v>2099</v>
      </c>
      <c r="E833" s="28">
        <v>2098.94</v>
      </c>
      <c r="F833" s="28">
        <v>2098.94</v>
      </c>
      <c r="G833" s="29">
        <v>196667.60378368301</v>
      </c>
      <c r="H833" s="29">
        <v>193817.50418125201</v>
      </c>
      <c r="I833" s="27">
        <f t="shared" si="36"/>
        <v>1</v>
      </c>
      <c r="J833" s="27">
        <f t="shared" si="38"/>
        <v>1</v>
      </c>
      <c r="K833" s="27">
        <f t="shared" si="37"/>
        <v>1</v>
      </c>
      <c r="L833" s="25">
        <v>540.89519399999995</v>
      </c>
      <c r="M833" s="25">
        <v>544.45940453538958</v>
      </c>
      <c r="N833" s="38">
        <v>0.51002059466931371</v>
      </c>
      <c r="O833" s="38">
        <v>-0.52337657697387741</v>
      </c>
      <c r="P833" s="71">
        <v>-2.5634589556511322</v>
      </c>
      <c r="Q833" s="53">
        <v>43209</v>
      </c>
      <c r="R833" s="23">
        <v>10</v>
      </c>
      <c r="S833" s="30">
        <v>540.89519399999995</v>
      </c>
      <c r="T833" s="24">
        <v>544.45940453538958</v>
      </c>
      <c r="U833" s="1">
        <v>0.51002059466931371</v>
      </c>
      <c r="V833" s="2">
        <v>-0.52337657697387741</v>
      </c>
      <c r="W833" s="2">
        <v>-2.5634589556511322</v>
      </c>
      <c r="X833" s="22" t="s">
        <v>17</v>
      </c>
      <c r="Y833" s="23"/>
      <c r="Z833" s="24" t="s">
        <v>17</v>
      </c>
      <c r="AA833" s="24" t="s">
        <v>17</v>
      </c>
      <c r="AB833" s="1" t="s">
        <v>17</v>
      </c>
      <c r="AC833" s="2" t="s">
        <v>17</v>
      </c>
      <c r="AD833" s="2" t="s">
        <v>17</v>
      </c>
      <c r="AE833" s="22" t="s">
        <v>17</v>
      </c>
      <c r="AF833" s="23"/>
      <c r="AG833" s="24" t="s">
        <v>17</v>
      </c>
      <c r="AH833" s="24" t="s">
        <v>17</v>
      </c>
      <c r="AI833" s="1" t="s">
        <v>17</v>
      </c>
      <c r="AJ833" s="2" t="s">
        <v>17</v>
      </c>
      <c r="AK833" s="2" t="s">
        <v>17</v>
      </c>
      <c r="AL833" s="22" t="s">
        <v>17</v>
      </c>
      <c r="AM833" s="4" t="s">
        <v>17</v>
      </c>
      <c r="AN833" s="4"/>
      <c r="AO833" s="24" t="s">
        <v>17</v>
      </c>
      <c r="AP833" s="1" t="s">
        <v>17</v>
      </c>
      <c r="AQ833" s="2" t="s">
        <v>17</v>
      </c>
      <c r="AR833" s="2" t="s">
        <v>17</v>
      </c>
      <c r="AS833" s="3"/>
      <c r="AT833" s="2"/>
      <c r="AU833" s="4"/>
      <c r="AV833" s="2"/>
      <c r="AW833" s="2"/>
      <c r="AX833" s="2"/>
      <c r="AY833" s="2"/>
      <c r="AZ833" s="5"/>
      <c r="BA833" s="6"/>
      <c r="BB833" s="4"/>
      <c r="BC833" s="6"/>
      <c r="BD833" s="6"/>
      <c r="BE833" s="6"/>
      <c r="BF833" s="7"/>
    </row>
    <row r="834" spans="1:58" ht="18" customHeight="1">
      <c r="A834" s="106" t="s">
        <v>15</v>
      </c>
      <c r="B834" s="93" t="s">
        <v>821</v>
      </c>
      <c r="C834" s="28">
        <v>2101</v>
      </c>
      <c r="D834" s="28">
        <v>2101.12</v>
      </c>
      <c r="E834" s="28">
        <v>2101.06</v>
      </c>
      <c r="F834" s="28">
        <v>2101.06</v>
      </c>
      <c r="G834" s="29">
        <v>197054.219819825</v>
      </c>
      <c r="H834" s="29">
        <v>194191.01205154101</v>
      </c>
      <c r="I834" s="27">
        <f t="shared" si="36"/>
        <v>1</v>
      </c>
      <c r="J834" s="27">
        <f t="shared" si="38"/>
        <v>1</v>
      </c>
      <c r="K834" s="27">
        <f t="shared" si="37"/>
        <v>1</v>
      </c>
      <c r="L834" s="25">
        <v>494.67898750000001</v>
      </c>
      <c r="M834" s="25">
        <v>497.98075306172302</v>
      </c>
      <c r="N834" s="38">
        <v>0.51660696431032882</v>
      </c>
      <c r="O834" s="38">
        <v>-0.28186136226504566</v>
      </c>
      <c r="P834" s="71">
        <v>-2.3482892195063609</v>
      </c>
      <c r="Q834" s="53">
        <v>44369</v>
      </c>
      <c r="R834" s="23">
        <v>9</v>
      </c>
      <c r="S834" s="30">
        <v>494.67898750000001</v>
      </c>
      <c r="T834" s="24">
        <v>497.98075306172302</v>
      </c>
      <c r="U834" s="1">
        <v>0.51660696431032882</v>
      </c>
      <c r="V834" s="2">
        <v>-0.28186136226504566</v>
      </c>
      <c r="W834" s="2">
        <v>-2.3482892195063609</v>
      </c>
      <c r="X834" s="22" t="s">
        <v>17</v>
      </c>
      <c r="Y834" s="23" t="s">
        <v>17</v>
      </c>
      <c r="Z834" s="24"/>
      <c r="AA834" s="24"/>
      <c r="AB834" s="1" t="s">
        <v>17</v>
      </c>
      <c r="AC834" s="2" t="s">
        <v>17</v>
      </c>
      <c r="AD834" s="2" t="s">
        <v>17</v>
      </c>
      <c r="AE834" s="22"/>
      <c r="AF834" s="23"/>
      <c r="AG834" s="24"/>
      <c r="AH834" s="24"/>
      <c r="AI834" s="1"/>
      <c r="AJ834" s="2"/>
      <c r="AK834" s="2"/>
      <c r="AL834" s="22"/>
      <c r="AM834" s="4"/>
      <c r="AN834" s="4"/>
      <c r="AO834" s="24"/>
      <c r="AP834" s="1"/>
      <c r="AQ834" s="2"/>
      <c r="AR834" s="2"/>
      <c r="AS834" s="3"/>
      <c r="AT834" s="2"/>
      <c r="AU834" s="4"/>
      <c r="AV834" s="2"/>
      <c r="AW834" s="2"/>
      <c r="AX834" s="2"/>
      <c r="AY834" s="2"/>
      <c r="AZ834" s="50"/>
      <c r="BA834" s="51"/>
      <c r="BB834" s="4"/>
      <c r="BC834" s="51"/>
      <c r="BD834" s="51"/>
      <c r="BE834" s="51"/>
      <c r="BF834" s="57"/>
    </row>
    <row r="835" spans="1:58" ht="18" customHeight="1">
      <c r="A835" s="106" t="s">
        <v>15</v>
      </c>
      <c r="B835" s="93" t="s">
        <v>787</v>
      </c>
      <c r="C835" s="28">
        <v>2103.5</v>
      </c>
      <c r="D835" s="28">
        <v>2103.62</v>
      </c>
      <c r="E835" s="28">
        <v>2103.56</v>
      </c>
      <c r="F835" s="28">
        <v>2103.56</v>
      </c>
      <c r="G835" s="29">
        <v>197520.81229347599</v>
      </c>
      <c r="H835" s="29">
        <v>194628.81435007899</v>
      </c>
      <c r="I835" s="27">
        <f t="shared" si="36"/>
        <v>1</v>
      </c>
      <c r="J835" s="27">
        <f t="shared" si="38"/>
        <v>1</v>
      </c>
      <c r="K835" s="27">
        <f t="shared" si="37"/>
        <v>1</v>
      </c>
      <c r="L835" s="25">
        <v>482.20972549999999</v>
      </c>
      <c r="M835" s="25">
        <v>485.38316066029938</v>
      </c>
      <c r="N835" s="38">
        <v>0.50936740476803521</v>
      </c>
      <c r="O835" s="38">
        <v>-0.58183705334191593</v>
      </c>
      <c r="P835" s="71">
        <v>-2.6193066724140568</v>
      </c>
      <c r="Q835" s="53">
        <v>43524</v>
      </c>
      <c r="R835" s="23">
        <v>10</v>
      </c>
      <c r="S835" s="30">
        <v>482.20972549999999</v>
      </c>
      <c r="T835" s="24">
        <v>485.38316066029938</v>
      </c>
      <c r="U835" s="1">
        <v>0.50936740476803521</v>
      </c>
      <c r="V835" s="2">
        <v>-0.58183705334191593</v>
      </c>
      <c r="W835" s="2">
        <v>-2.6193066724140568</v>
      </c>
      <c r="X835" s="22" t="s">
        <v>17</v>
      </c>
      <c r="Y835" s="23"/>
      <c r="Z835" s="24" t="s">
        <v>17</v>
      </c>
      <c r="AA835" s="24" t="s">
        <v>17</v>
      </c>
      <c r="AB835" s="1" t="s">
        <v>17</v>
      </c>
      <c r="AC835" s="2" t="s">
        <v>17</v>
      </c>
      <c r="AD835" s="2" t="s">
        <v>17</v>
      </c>
      <c r="AE835" s="22" t="s">
        <v>17</v>
      </c>
      <c r="AF835" s="23"/>
      <c r="AG835" s="24" t="s">
        <v>17</v>
      </c>
      <c r="AH835" s="24" t="s">
        <v>17</v>
      </c>
      <c r="AI835" s="1" t="s">
        <v>17</v>
      </c>
      <c r="AJ835" s="2" t="s">
        <v>17</v>
      </c>
      <c r="AK835" s="2" t="s">
        <v>17</v>
      </c>
      <c r="AL835" s="22" t="s">
        <v>17</v>
      </c>
      <c r="AM835" s="4" t="s">
        <v>17</v>
      </c>
      <c r="AN835" s="4"/>
      <c r="AO835" s="24" t="s">
        <v>17</v>
      </c>
      <c r="AP835" s="1" t="s">
        <v>17</v>
      </c>
      <c r="AQ835" s="2" t="s">
        <v>17</v>
      </c>
      <c r="AR835" s="2" t="s">
        <v>17</v>
      </c>
      <c r="AS835" s="3"/>
      <c r="AT835" s="2"/>
      <c r="AU835" s="4"/>
      <c r="AV835" s="2"/>
      <c r="AW835" s="2"/>
      <c r="AX835" s="2"/>
      <c r="AY835" s="2"/>
      <c r="AZ835" s="5"/>
      <c r="BA835" s="6"/>
      <c r="BB835" s="4"/>
      <c r="BC835" s="6"/>
      <c r="BD835" s="6"/>
      <c r="BE835" s="6"/>
      <c r="BF835" s="7"/>
    </row>
    <row r="836" spans="1:58" ht="18" customHeight="1">
      <c r="A836" s="106" t="s">
        <v>15</v>
      </c>
      <c r="B836" s="93" t="s">
        <v>788</v>
      </c>
      <c r="C836" s="28">
        <v>2105.5</v>
      </c>
      <c r="D836" s="28">
        <v>2105.62</v>
      </c>
      <c r="E836" s="28">
        <v>2105.56</v>
      </c>
      <c r="F836" s="28">
        <v>2105.56</v>
      </c>
      <c r="G836" s="29">
        <v>197893.73321042501</v>
      </c>
      <c r="H836" s="29">
        <v>194990.599079682</v>
      </c>
      <c r="I836" s="27">
        <f t="shared" si="36"/>
        <v>1</v>
      </c>
      <c r="J836" s="27">
        <f t="shared" si="38"/>
        <v>1</v>
      </c>
      <c r="K836" s="27">
        <f t="shared" si="37"/>
        <v>1</v>
      </c>
      <c r="L836" s="25">
        <v>473.05064249999998</v>
      </c>
      <c r="M836" s="25">
        <v>476.14387471382412</v>
      </c>
      <c r="N836" s="38">
        <v>0.50846946285854067</v>
      </c>
      <c r="O836" s="38">
        <v>-0.57163021761208466</v>
      </c>
      <c r="P836" s="71">
        <v>-2.6055080690462473</v>
      </c>
      <c r="Q836" s="53">
        <v>44222</v>
      </c>
      <c r="R836" s="23">
        <v>10</v>
      </c>
      <c r="S836" s="30">
        <v>473.05064249999998</v>
      </c>
      <c r="T836" s="24">
        <v>476.14387471382412</v>
      </c>
      <c r="U836" s="1">
        <v>0.50846946285854067</v>
      </c>
      <c r="V836" s="2">
        <v>-0.57163021761208466</v>
      </c>
      <c r="W836" s="2">
        <v>-2.6055080690462473</v>
      </c>
      <c r="X836" s="22"/>
      <c r="Y836" s="23"/>
      <c r="Z836" s="24" t="s">
        <v>17</v>
      </c>
      <c r="AA836" s="24"/>
      <c r="AB836" s="1"/>
      <c r="AC836" s="2"/>
      <c r="AD836" s="2"/>
      <c r="AE836" s="22"/>
      <c r="AF836" s="23"/>
      <c r="AG836" s="24"/>
      <c r="AH836" s="24"/>
      <c r="AI836" s="1"/>
      <c r="AJ836" s="2"/>
      <c r="AK836" s="2"/>
      <c r="AL836" s="22"/>
      <c r="AM836" s="4"/>
      <c r="AN836" s="4"/>
      <c r="AO836" s="24"/>
      <c r="AP836" s="1"/>
      <c r="AQ836" s="2"/>
      <c r="AR836" s="2"/>
      <c r="AS836" s="3"/>
      <c r="AT836" s="2"/>
      <c r="AU836" s="4"/>
      <c r="AV836" s="2"/>
      <c r="AW836" s="2"/>
      <c r="AX836" s="2"/>
      <c r="AY836" s="2"/>
      <c r="AZ836" s="5"/>
      <c r="BA836" s="6"/>
      <c r="BB836" s="4"/>
      <c r="BC836" s="6"/>
      <c r="BD836" s="6"/>
      <c r="BE836" s="6"/>
      <c r="BF836" s="7"/>
    </row>
    <row r="837" spans="1:58" ht="18" customHeight="1">
      <c r="A837" s="106" t="s">
        <v>15</v>
      </c>
      <c r="B837" s="93" t="s">
        <v>789</v>
      </c>
      <c r="C837" s="28">
        <v>2108</v>
      </c>
      <c r="D837" s="28">
        <v>2108.12</v>
      </c>
      <c r="E837" s="28">
        <v>2108.06</v>
      </c>
      <c r="F837" s="28">
        <v>2108.06</v>
      </c>
      <c r="G837" s="29">
        <v>198326.702197476</v>
      </c>
      <c r="H837" s="29">
        <v>195478.656590837</v>
      </c>
      <c r="I837" s="27">
        <f t="shared" si="36"/>
        <v>2</v>
      </c>
      <c r="J837" s="27">
        <f t="shared" si="38"/>
        <v>2</v>
      </c>
      <c r="K837" s="27">
        <f t="shared" si="37"/>
        <v>2</v>
      </c>
      <c r="L837" s="25">
        <v>487.67488500000002</v>
      </c>
      <c r="M837" s="25">
        <v>490.87265233622037</v>
      </c>
      <c r="N837" s="38">
        <v>0.50752088466099465</v>
      </c>
      <c r="O837" s="38">
        <v>-1.1255015653898748</v>
      </c>
      <c r="P837" s="71">
        <v>-3.1555851040338534</v>
      </c>
      <c r="Q837" s="53">
        <v>43187</v>
      </c>
      <c r="R837" s="23">
        <v>9</v>
      </c>
      <c r="S837" s="30">
        <v>487.66943300000003</v>
      </c>
      <c r="T837" s="24">
        <v>490.84090801631203</v>
      </c>
      <c r="U837" s="1">
        <v>0.50335367749188009</v>
      </c>
      <c r="V837" s="2">
        <v>-1.0753154671437892</v>
      </c>
      <c r="W837" s="2">
        <v>-3.0887301771113096</v>
      </c>
      <c r="X837" s="22">
        <v>43187</v>
      </c>
      <c r="Y837" s="23">
        <v>9</v>
      </c>
      <c r="Z837" s="24">
        <v>487.68033700000001</v>
      </c>
      <c r="AA837" s="24">
        <v>490.90439665612871</v>
      </c>
      <c r="AB837" s="1">
        <v>0.51168809183010922</v>
      </c>
      <c r="AC837" s="2">
        <v>-1.1756876636359603</v>
      </c>
      <c r="AD837" s="2">
        <v>-3.2224400309563972</v>
      </c>
      <c r="AE837" s="22" t="s">
        <v>17</v>
      </c>
      <c r="AF837" s="23"/>
      <c r="AG837" s="24" t="s">
        <v>17</v>
      </c>
      <c r="AH837" s="24" t="s">
        <v>17</v>
      </c>
      <c r="AI837" s="1" t="s">
        <v>17</v>
      </c>
      <c r="AJ837" s="2" t="s">
        <v>17</v>
      </c>
      <c r="AK837" s="2" t="s">
        <v>17</v>
      </c>
      <c r="AL837" s="22" t="s">
        <v>17</v>
      </c>
      <c r="AM837" s="4" t="s">
        <v>17</v>
      </c>
      <c r="AN837" s="4"/>
      <c r="AO837" s="24" t="s">
        <v>17</v>
      </c>
      <c r="AP837" s="1" t="s">
        <v>17</v>
      </c>
      <c r="AQ837" s="2" t="s">
        <v>17</v>
      </c>
      <c r="AR837" s="2" t="s">
        <v>17</v>
      </c>
      <c r="AS837" s="3"/>
      <c r="AT837" s="2"/>
      <c r="AU837" s="4"/>
      <c r="AV837" s="2"/>
      <c r="AW837" s="2"/>
      <c r="AX837" s="2"/>
      <c r="AY837" s="2"/>
      <c r="AZ837" s="5"/>
      <c r="BA837" s="6"/>
      <c r="BB837" s="4"/>
      <c r="BC837" s="6"/>
      <c r="BD837" s="6"/>
      <c r="BE837" s="6"/>
      <c r="BF837" s="7"/>
    </row>
    <row r="838" spans="1:58" ht="18" customHeight="1">
      <c r="A838" s="106" t="s">
        <v>15</v>
      </c>
      <c r="B838" s="93" t="s">
        <v>822</v>
      </c>
      <c r="C838" s="28">
        <v>2111</v>
      </c>
      <c r="D838" s="28">
        <v>2111.12</v>
      </c>
      <c r="E838" s="28">
        <v>2111.06</v>
      </c>
      <c r="F838" s="28">
        <v>2111.06</v>
      </c>
      <c r="G838" s="29">
        <v>198884.74251481</v>
      </c>
      <c r="H838" s="29">
        <v>196072.294520856</v>
      </c>
      <c r="I838" s="27">
        <f t="shared" si="36"/>
        <v>1</v>
      </c>
      <c r="J838" s="27">
        <f t="shared" si="38"/>
        <v>1</v>
      </c>
      <c r="K838" s="27">
        <f t="shared" si="37"/>
        <v>1</v>
      </c>
      <c r="L838" s="25">
        <v>519.45599549999997</v>
      </c>
      <c r="M838" s="25">
        <v>522.84296884301466</v>
      </c>
      <c r="N838" s="38">
        <v>0.50466188055042771</v>
      </c>
      <c r="O838" s="38">
        <v>-0.32193195303242828</v>
      </c>
      <c r="P838" s="71">
        <v>-2.3405794752341391</v>
      </c>
      <c r="Q838" s="53">
        <v>44301</v>
      </c>
      <c r="R838" s="23">
        <v>9</v>
      </c>
      <c r="S838" s="30">
        <v>519.45599549999997</v>
      </c>
      <c r="T838" s="24">
        <v>522.84296884301466</v>
      </c>
      <c r="U838" s="1">
        <v>0.50466188055042771</v>
      </c>
      <c r="V838" s="2">
        <v>-0.32193195303242828</v>
      </c>
      <c r="W838" s="2">
        <v>-2.3405794752341391</v>
      </c>
      <c r="X838" s="22" t="s">
        <v>17</v>
      </c>
      <c r="Y838" s="23" t="s">
        <v>17</v>
      </c>
      <c r="Z838" s="24"/>
      <c r="AA838" s="24"/>
      <c r="AB838" s="1" t="s">
        <v>17</v>
      </c>
      <c r="AC838" s="2" t="s">
        <v>17</v>
      </c>
      <c r="AD838" s="2" t="s">
        <v>17</v>
      </c>
      <c r="AE838" s="22"/>
      <c r="AF838" s="23"/>
      <c r="AG838" s="24"/>
      <c r="AH838" s="24"/>
      <c r="AI838" s="1"/>
      <c r="AJ838" s="2"/>
      <c r="AK838" s="2"/>
      <c r="AL838" s="22"/>
      <c r="AM838" s="4"/>
      <c r="AN838" s="4"/>
      <c r="AO838" s="24"/>
      <c r="AP838" s="1"/>
      <c r="AQ838" s="2"/>
      <c r="AR838" s="2"/>
      <c r="AS838" s="3"/>
      <c r="AT838" s="2"/>
      <c r="AU838" s="4"/>
      <c r="AV838" s="2"/>
      <c r="AW838" s="2"/>
      <c r="AX838" s="2"/>
      <c r="AY838" s="2"/>
      <c r="AZ838" s="50"/>
      <c r="BA838" s="51"/>
      <c r="BB838" s="4"/>
      <c r="BC838" s="51"/>
      <c r="BD838" s="51"/>
      <c r="BE838" s="51"/>
      <c r="BF838" s="57"/>
    </row>
    <row r="839" spans="1:58" ht="18" customHeight="1">
      <c r="A839" s="106" t="s">
        <v>15</v>
      </c>
      <c r="B839" s="93" t="s">
        <v>823</v>
      </c>
      <c r="C839" s="28">
        <v>2113.5</v>
      </c>
      <c r="D839" s="28">
        <v>2113.61</v>
      </c>
      <c r="E839" s="28">
        <v>2113.5550000000003</v>
      </c>
      <c r="F839" s="28">
        <v>2113.5550000000003</v>
      </c>
      <c r="G839" s="29">
        <v>199365.555272839</v>
      </c>
      <c r="H839" s="29">
        <v>196533.319349314</v>
      </c>
      <c r="I839" s="27">
        <f t="shared" si="36"/>
        <v>1</v>
      </c>
      <c r="J839" s="27">
        <f t="shared" si="38"/>
        <v>1</v>
      </c>
      <c r="K839" s="27">
        <f t="shared" si="37"/>
        <v>1</v>
      </c>
      <c r="L839" s="25">
        <v>540.5951675</v>
      </c>
      <c r="M839" s="25">
        <v>544.2054943281513</v>
      </c>
      <c r="N839" s="38">
        <v>0.51690632436596218</v>
      </c>
      <c r="O839" s="38">
        <v>-3.0486478231390723</v>
      </c>
      <c r="P839" s="71">
        <v>-5.1162731206029211</v>
      </c>
      <c r="Q839" s="53">
        <v>44369</v>
      </c>
      <c r="R839" s="23">
        <v>9</v>
      </c>
      <c r="S839" s="30">
        <v>540.5951675</v>
      </c>
      <c r="T839" s="24">
        <v>544.2054943281513</v>
      </c>
      <c r="U839" s="1">
        <v>0.51690632436596218</v>
      </c>
      <c r="V839" s="2">
        <v>-3.0486478231390723</v>
      </c>
      <c r="W839" s="2">
        <v>-5.1162731206029211</v>
      </c>
      <c r="X839" s="22" t="s">
        <v>17</v>
      </c>
      <c r="Y839" s="23" t="s">
        <v>17</v>
      </c>
      <c r="Z839" s="24"/>
      <c r="AA839" s="24"/>
      <c r="AB839" s="1" t="s">
        <v>17</v>
      </c>
      <c r="AC839" s="2" t="s">
        <v>17</v>
      </c>
      <c r="AD839" s="2" t="s">
        <v>17</v>
      </c>
      <c r="AE839" s="22"/>
      <c r="AF839" s="23"/>
      <c r="AG839" s="24"/>
      <c r="AH839" s="24"/>
      <c r="AI839" s="1"/>
      <c r="AJ839" s="2"/>
      <c r="AK839" s="2"/>
      <c r="AL839" s="22"/>
      <c r="AM839" s="4"/>
      <c r="AN839" s="4"/>
      <c r="AO839" s="24"/>
      <c r="AP839" s="1"/>
      <c r="AQ839" s="2"/>
      <c r="AR839" s="2"/>
      <c r="AS839" s="3"/>
      <c r="AT839" s="2"/>
      <c r="AU839" s="4"/>
      <c r="AV839" s="2"/>
      <c r="AW839" s="2"/>
      <c r="AX839" s="2"/>
      <c r="AY839" s="2"/>
      <c r="AZ839" s="50"/>
      <c r="BA839" s="51"/>
      <c r="BB839" s="4"/>
      <c r="BC839" s="51"/>
      <c r="BD839" s="51"/>
      <c r="BE839" s="51"/>
      <c r="BF839" s="57"/>
    </row>
    <row r="840" spans="1:58" ht="18" customHeight="1">
      <c r="A840" s="106" t="s">
        <v>15</v>
      </c>
      <c r="B840" s="93" t="s">
        <v>824</v>
      </c>
      <c r="C840" s="28">
        <v>2116</v>
      </c>
      <c r="D840" s="28">
        <v>2116.12</v>
      </c>
      <c r="E840" s="28">
        <v>2116.06</v>
      </c>
      <c r="F840" s="28">
        <v>2116.06</v>
      </c>
      <c r="G840" s="29">
        <v>199822.72476385601</v>
      </c>
      <c r="H840" s="29">
        <v>197001.26946892199</v>
      </c>
      <c r="I840" s="27">
        <f t="shared" si="36"/>
        <v>1</v>
      </c>
      <c r="J840" s="27">
        <f t="shared" si="38"/>
        <v>1</v>
      </c>
      <c r="K840" s="27">
        <f t="shared" si="37"/>
        <v>1</v>
      </c>
      <c r="L840" s="25">
        <v>546.69622550000008</v>
      </c>
      <c r="M840" s="25">
        <v>550.39217496927483</v>
      </c>
      <c r="N840" s="38">
        <v>0.52325987827450682</v>
      </c>
      <c r="O840" s="38">
        <v>-1.6401378639760988</v>
      </c>
      <c r="P840" s="71">
        <v>-3.7331773770741261</v>
      </c>
      <c r="Q840" s="53">
        <v>44285</v>
      </c>
      <c r="R840" s="23">
        <v>9</v>
      </c>
      <c r="S840" s="30">
        <v>546.69622550000008</v>
      </c>
      <c r="T840" s="24">
        <v>550.39217496927483</v>
      </c>
      <c r="U840" s="1">
        <v>0.52325987827450682</v>
      </c>
      <c r="V840" s="2">
        <v>-1.6401378639760988</v>
      </c>
      <c r="W840" s="2">
        <v>-3.7331773770741261</v>
      </c>
      <c r="X840" s="22" t="s">
        <v>17</v>
      </c>
      <c r="Y840" s="23" t="s">
        <v>17</v>
      </c>
      <c r="Z840" s="24"/>
      <c r="AA840" s="24"/>
      <c r="AB840" s="1" t="s">
        <v>17</v>
      </c>
      <c r="AC840" s="2" t="s">
        <v>17</v>
      </c>
      <c r="AD840" s="2" t="s">
        <v>17</v>
      </c>
      <c r="AE840" s="22"/>
      <c r="AF840" s="23"/>
      <c r="AG840" s="24"/>
      <c r="AH840" s="24"/>
      <c r="AI840" s="1"/>
      <c r="AJ840" s="2"/>
      <c r="AK840" s="2"/>
      <c r="AL840" s="22"/>
      <c r="AM840" s="4"/>
      <c r="AN840" s="4"/>
      <c r="AO840" s="24"/>
      <c r="AP840" s="1"/>
      <c r="AQ840" s="2"/>
      <c r="AR840" s="2"/>
      <c r="AS840" s="3"/>
      <c r="AT840" s="2"/>
      <c r="AU840" s="4"/>
      <c r="AV840" s="2"/>
      <c r="AW840" s="2"/>
      <c r="AX840" s="2"/>
      <c r="AY840" s="2"/>
      <c r="AZ840" s="50"/>
      <c r="BA840" s="51"/>
      <c r="BB840" s="4"/>
      <c r="BC840" s="51"/>
      <c r="BD840" s="51"/>
      <c r="BE840" s="51"/>
      <c r="BF840" s="57"/>
    </row>
    <row r="841" spans="1:58" ht="18" customHeight="1">
      <c r="A841" s="106" t="s">
        <v>15</v>
      </c>
      <c r="B841" s="93" t="s">
        <v>790</v>
      </c>
      <c r="C841" s="28">
        <v>2118.88</v>
      </c>
      <c r="D841" s="28">
        <v>2119</v>
      </c>
      <c r="E841" s="28">
        <v>2118.94</v>
      </c>
      <c r="F841" s="28">
        <v>2118.94</v>
      </c>
      <c r="G841" s="29">
        <v>200346.58360496801</v>
      </c>
      <c r="H841" s="29">
        <v>197556.400336636</v>
      </c>
      <c r="I841" s="27">
        <f t="shared" si="36"/>
        <v>1</v>
      </c>
      <c r="J841" s="27">
        <f t="shared" si="38"/>
        <v>1</v>
      </c>
      <c r="K841" s="27">
        <f t="shared" si="37"/>
        <v>1</v>
      </c>
      <c r="L841" s="25">
        <v>571.17875349999997</v>
      </c>
      <c r="M841" s="25">
        <v>574.95927741630237</v>
      </c>
      <c r="N841" s="38">
        <v>0.51229183236789488</v>
      </c>
      <c r="O841" s="38">
        <v>-2.243136206581009</v>
      </c>
      <c r="P841" s="71">
        <v>-4.2923035360525885</v>
      </c>
      <c r="Q841" s="53">
        <v>43207</v>
      </c>
      <c r="R841" s="23">
        <v>10</v>
      </c>
      <c r="S841" s="30">
        <v>571.17875349999997</v>
      </c>
      <c r="T841" s="24">
        <v>574.95927741630237</v>
      </c>
      <c r="U841" s="1">
        <v>0.51229183236789488</v>
      </c>
      <c r="V841" s="2">
        <v>-2.243136206581009</v>
      </c>
      <c r="W841" s="2">
        <v>-4.2923035360525885</v>
      </c>
      <c r="X841" s="22" t="s">
        <v>17</v>
      </c>
      <c r="Y841" s="23"/>
      <c r="Z841" s="24" t="s">
        <v>17</v>
      </c>
      <c r="AA841" s="24" t="s">
        <v>17</v>
      </c>
      <c r="AB841" s="1" t="s">
        <v>17</v>
      </c>
      <c r="AC841" s="2" t="s">
        <v>17</v>
      </c>
      <c r="AD841" s="2" t="s">
        <v>17</v>
      </c>
      <c r="AE841" s="22" t="s">
        <v>17</v>
      </c>
      <c r="AF841" s="23"/>
      <c r="AG841" s="24" t="s">
        <v>17</v>
      </c>
      <c r="AH841" s="24" t="s">
        <v>17</v>
      </c>
      <c r="AI841" s="1" t="s">
        <v>17</v>
      </c>
      <c r="AJ841" s="2" t="s">
        <v>17</v>
      </c>
      <c r="AK841" s="2" t="s">
        <v>17</v>
      </c>
      <c r="AL841" s="22" t="s">
        <v>17</v>
      </c>
      <c r="AM841" s="4" t="s">
        <v>17</v>
      </c>
      <c r="AN841" s="4"/>
      <c r="AO841" s="24" t="s">
        <v>17</v>
      </c>
      <c r="AP841" s="1" t="s">
        <v>17</v>
      </c>
      <c r="AQ841" s="2" t="s">
        <v>17</v>
      </c>
      <c r="AR841" s="2" t="s">
        <v>17</v>
      </c>
      <c r="AS841" s="3"/>
      <c r="AT841" s="2"/>
      <c r="AU841" s="4"/>
      <c r="AV841" s="2"/>
      <c r="AW841" s="2"/>
      <c r="AX841" s="2"/>
      <c r="AY841" s="2"/>
      <c r="AZ841" s="5"/>
      <c r="BA841" s="6"/>
      <c r="BB841" s="4"/>
      <c r="BC841" s="6"/>
      <c r="BD841" s="6"/>
      <c r="BE841" s="6"/>
      <c r="BF841" s="7"/>
    </row>
    <row r="842" spans="1:58" ht="18" customHeight="1">
      <c r="A842" s="106" t="s">
        <v>15</v>
      </c>
      <c r="B842" s="93" t="s">
        <v>825</v>
      </c>
      <c r="C842" s="28">
        <v>2120.5</v>
      </c>
      <c r="D842" s="28">
        <v>2120.62</v>
      </c>
      <c r="E842" s="28">
        <v>2120.56</v>
      </c>
      <c r="F842" s="28">
        <v>2120.56</v>
      </c>
      <c r="G842" s="29">
        <v>200665.90047159599</v>
      </c>
      <c r="H842" s="29">
        <v>197863.89386283001</v>
      </c>
      <c r="I842" s="27">
        <f t="shared" si="36"/>
        <v>1</v>
      </c>
      <c r="J842" s="27">
        <f t="shared" si="38"/>
        <v>1</v>
      </c>
      <c r="K842" s="27">
        <f t="shared" si="37"/>
        <v>1</v>
      </c>
      <c r="L842" s="25">
        <v>575.94966399999998</v>
      </c>
      <c r="M842" s="25">
        <v>579.81122913328727</v>
      </c>
      <c r="N842" s="38">
        <v>0.51893901313992963</v>
      </c>
      <c r="O842" s="38">
        <v>-2.615575303753892</v>
      </c>
      <c r="P842" s="71">
        <v>-4.6913313563136105</v>
      </c>
      <c r="Q842" s="53">
        <v>44410</v>
      </c>
      <c r="R842" s="23">
        <v>9</v>
      </c>
      <c r="S842" s="30">
        <v>575.94966399999998</v>
      </c>
      <c r="T842" s="24">
        <v>579.81122913328727</v>
      </c>
      <c r="U842" s="1">
        <v>0.51893901313992963</v>
      </c>
      <c r="V842" s="2">
        <v>-2.615575303753892</v>
      </c>
      <c r="W842" s="2">
        <v>-4.6913313563136105</v>
      </c>
      <c r="X842" s="22" t="s">
        <v>17</v>
      </c>
      <c r="Y842" s="23" t="s">
        <v>17</v>
      </c>
      <c r="Z842" s="24"/>
      <c r="AA842" s="24"/>
      <c r="AB842" s="1" t="s">
        <v>17</v>
      </c>
      <c r="AC842" s="2" t="s">
        <v>17</v>
      </c>
      <c r="AD842" s="2" t="s">
        <v>17</v>
      </c>
      <c r="AE842" s="22"/>
      <c r="AF842" s="23"/>
      <c r="AG842" s="24"/>
      <c r="AH842" s="24"/>
      <c r="AI842" s="1"/>
      <c r="AJ842" s="2"/>
      <c r="AK842" s="2"/>
      <c r="AL842" s="22"/>
      <c r="AM842" s="4"/>
      <c r="AN842" s="4"/>
      <c r="AO842" s="24"/>
      <c r="AP842" s="1"/>
      <c r="AQ842" s="2"/>
      <c r="AR842" s="2"/>
      <c r="AS842" s="3"/>
      <c r="AT842" s="2"/>
      <c r="AU842" s="4"/>
      <c r="AV842" s="2"/>
      <c r="AW842" s="2"/>
      <c r="AX842" s="2"/>
      <c r="AY842" s="2"/>
      <c r="AZ842" s="50"/>
      <c r="BA842" s="51"/>
      <c r="BB842" s="4"/>
      <c r="BC842" s="51"/>
      <c r="BD842" s="51"/>
      <c r="BE842" s="51"/>
      <c r="BF842" s="57"/>
    </row>
    <row r="843" spans="1:58" ht="18" customHeight="1">
      <c r="A843" s="106" t="s">
        <v>15</v>
      </c>
      <c r="B843" s="93" t="s">
        <v>791</v>
      </c>
      <c r="C843" s="28">
        <v>2123.88</v>
      </c>
      <c r="D843" s="28">
        <v>2124</v>
      </c>
      <c r="E843" s="28">
        <v>2123.94</v>
      </c>
      <c r="F843" s="28">
        <v>2123.94</v>
      </c>
      <c r="G843" s="29">
        <v>201359.352753602</v>
      </c>
      <c r="H843" s="29">
        <v>198483.209183803</v>
      </c>
      <c r="I843" s="27">
        <f t="shared" si="36"/>
        <v>1</v>
      </c>
      <c r="J843" s="27">
        <f t="shared" si="38"/>
        <v>1</v>
      </c>
      <c r="K843" s="27">
        <f t="shared" si="37"/>
        <v>1</v>
      </c>
      <c r="L843" s="25">
        <v>595.87068699999998</v>
      </c>
      <c r="M843" s="25">
        <v>599.87063518803518</v>
      </c>
      <c r="N843" s="38">
        <v>0.51956493205684851</v>
      </c>
      <c r="O843" s="38">
        <v>-3.6015798054642723</v>
      </c>
      <c r="P843" s="71">
        <v>-5.6798395336916663</v>
      </c>
      <c r="Q843" s="53">
        <v>43515</v>
      </c>
      <c r="R843" s="23">
        <v>10</v>
      </c>
      <c r="S843" s="30">
        <v>595.87068699999998</v>
      </c>
      <c r="T843" s="24">
        <v>599.87063518803518</v>
      </c>
      <c r="U843" s="1">
        <v>0.51956493205684851</v>
      </c>
      <c r="V843" s="2">
        <v>-3.6015798054642723</v>
      </c>
      <c r="W843" s="2">
        <v>-5.6798395336916663</v>
      </c>
      <c r="X843" s="22" t="s">
        <v>17</v>
      </c>
      <c r="Y843" s="23"/>
      <c r="Z843" s="24" t="s">
        <v>17</v>
      </c>
      <c r="AA843" s="24" t="s">
        <v>17</v>
      </c>
      <c r="AB843" s="1" t="s">
        <v>17</v>
      </c>
      <c r="AC843" s="2" t="s">
        <v>17</v>
      </c>
      <c r="AD843" s="2" t="s">
        <v>17</v>
      </c>
      <c r="AE843" s="22" t="s">
        <v>17</v>
      </c>
      <c r="AF843" s="23"/>
      <c r="AG843" s="24" t="s">
        <v>17</v>
      </c>
      <c r="AH843" s="24" t="s">
        <v>17</v>
      </c>
      <c r="AI843" s="1" t="s">
        <v>17</v>
      </c>
      <c r="AJ843" s="2" t="s">
        <v>17</v>
      </c>
      <c r="AK843" s="2" t="s">
        <v>17</v>
      </c>
      <c r="AL843" s="22" t="s">
        <v>17</v>
      </c>
      <c r="AM843" s="4" t="s">
        <v>17</v>
      </c>
      <c r="AN843" s="4"/>
      <c r="AO843" s="24" t="s">
        <v>17</v>
      </c>
      <c r="AP843" s="1" t="s">
        <v>17</v>
      </c>
      <c r="AQ843" s="2" t="s">
        <v>17</v>
      </c>
      <c r="AR843" s="2" t="s">
        <v>17</v>
      </c>
      <c r="AS843" s="3"/>
      <c r="AT843" s="2"/>
      <c r="AU843" s="4"/>
      <c r="AV843" s="2"/>
      <c r="AW843" s="2"/>
      <c r="AX843" s="2"/>
      <c r="AY843" s="2"/>
      <c r="AZ843" s="5"/>
      <c r="BA843" s="6"/>
      <c r="BB843" s="4"/>
      <c r="BC843" s="6"/>
      <c r="BD843" s="6"/>
      <c r="BE843" s="6"/>
      <c r="BF843" s="7"/>
    </row>
    <row r="844" spans="1:58" ht="18" customHeight="1">
      <c r="A844" s="106" t="s">
        <v>15</v>
      </c>
      <c r="B844" s="93" t="s">
        <v>826</v>
      </c>
      <c r="C844" s="28">
        <v>2126</v>
      </c>
      <c r="D844" s="28">
        <v>2126.12</v>
      </c>
      <c r="E844" s="28">
        <v>2126.06</v>
      </c>
      <c r="F844" s="28">
        <v>2126.06</v>
      </c>
      <c r="G844" s="29">
        <v>201820.10059391399</v>
      </c>
      <c r="H844" s="29">
        <v>198893.409976208</v>
      </c>
      <c r="I844" s="27">
        <f t="shared" si="36"/>
        <v>1</v>
      </c>
      <c r="J844" s="27">
        <f t="shared" si="38"/>
        <v>1</v>
      </c>
      <c r="K844" s="27">
        <f t="shared" si="37"/>
        <v>1</v>
      </c>
      <c r="L844" s="25">
        <v>604.02677949999998</v>
      </c>
      <c r="M844" s="25">
        <v>608.09812464669528</v>
      </c>
      <c r="N844" s="38">
        <v>0.52169805063662089</v>
      </c>
      <c r="O844" s="38">
        <v>-3.5200898715491702</v>
      </c>
      <c r="P844" s="71">
        <v>-5.6068820740956538</v>
      </c>
      <c r="Q844" s="53">
        <v>44413</v>
      </c>
      <c r="R844" s="23">
        <v>9</v>
      </c>
      <c r="S844" s="30">
        <v>604.02677949999998</v>
      </c>
      <c r="T844" s="24">
        <v>608.09812464669528</v>
      </c>
      <c r="U844" s="1">
        <v>0.52169805063662089</v>
      </c>
      <c r="V844" s="2">
        <v>-3.5200898715491702</v>
      </c>
      <c r="W844" s="2">
        <v>-5.6068820740956538</v>
      </c>
      <c r="X844" s="22" t="s">
        <v>17</v>
      </c>
      <c r="Y844" s="23" t="s">
        <v>17</v>
      </c>
      <c r="Z844" s="24"/>
      <c r="AA844" s="24"/>
      <c r="AB844" s="1" t="s">
        <v>17</v>
      </c>
      <c r="AC844" s="2" t="s">
        <v>17</v>
      </c>
      <c r="AD844" s="2" t="s">
        <v>17</v>
      </c>
      <c r="AE844" s="22"/>
      <c r="AF844" s="23"/>
      <c r="AG844" s="24"/>
      <c r="AH844" s="24"/>
      <c r="AI844" s="1"/>
      <c r="AJ844" s="2"/>
      <c r="AK844" s="2"/>
      <c r="AL844" s="22"/>
      <c r="AM844" s="4"/>
      <c r="AN844" s="4"/>
      <c r="AO844" s="24"/>
      <c r="AP844" s="1"/>
      <c r="AQ844" s="2"/>
      <c r="AR844" s="2"/>
      <c r="AS844" s="3"/>
      <c r="AT844" s="2"/>
      <c r="AU844" s="4"/>
      <c r="AV844" s="2"/>
      <c r="AW844" s="2"/>
      <c r="AX844" s="2"/>
      <c r="AY844" s="2"/>
      <c r="AZ844" s="50"/>
      <c r="BA844" s="51"/>
      <c r="BB844" s="4"/>
      <c r="BC844" s="51"/>
      <c r="BD844" s="51"/>
      <c r="BE844" s="51"/>
      <c r="BF844" s="57"/>
    </row>
    <row r="845" spans="1:58" ht="18" customHeight="1">
      <c r="A845" s="106" t="s">
        <v>15</v>
      </c>
      <c r="B845" s="93" t="s">
        <v>827</v>
      </c>
      <c r="C845" s="28">
        <v>2128.8249999999998</v>
      </c>
      <c r="D845" s="28">
        <v>2128.9450000000002</v>
      </c>
      <c r="E845" s="28">
        <v>2128.8850000000002</v>
      </c>
      <c r="F845" s="28">
        <v>2128.8850000000002</v>
      </c>
      <c r="G845" s="29">
        <v>202469.33847747801</v>
      </c>
      <c r="H845" s="29">
        <v>199437.45344188699</v>
      </c>
      <c r="I845" s="27">
        <f t="shared" si="36"/>
        <v>1</v>
      </c>
      <c r="J845" s="27">
        <f t="shared" si="38"/>
        <v>1</v>
      </c>
      <c r="K845" s="27">
        <f t="shared" si="37"/>
        <v>1</v>
      </c>
      <c r="L845" s="25">
        <v>624.93691050000007</v>
      </c>
      <c r="M845" s="25">
        <v>629.1471699697147</v>
      </c>
      <c r="N845" s="38">
        <v>0.52144699810319217</v>
      </c>
      <c r="O845" s="38">
        <v>-3.945468546562636</v>
      </c>
      <c r="P845" s="71">
        <v>-6.0312565389754047</v>
      </c>
      <c r="Q845" s="53">
        <v>44419</v>
      </c>
      <c r="R845" s="23">
        <v>9</v>
      </c>
      <c r="S845" s="30">
        <v>624.93691050000007</v>
      </c>
      <c r="T845" s="24">
        <v>629.1471699697147</v>
      </c>
      <c r="U845" s="1">
        <v>0.52144699810319217</v>
      </c>
      <c r="V845" s="2">
        <v>-3.945468546562636</v>
      </c>
      <c r="W845" s="2">
        <v>-6.0312565389754047</v>
      </c>
      <c r="X845" s="22" t="s">
        <v>17</v>
      </c>
      <c r="Y845" s="23" t="s">
        <v>17</v>
      </c>
      <c r="Z845" s="24"/>
      <c r="AA845" s="24"/>
      <c r="AB845" s="1" t="s">
        <v>17</v>
      </c>
      <c r="AC845" s="2" t="s">
        <v>17</v>
      </c>
      <c r="AD845" s="2" t="s">
        <v>17</v>
      </c>
      <c r="AE845" s="22"/>
      <c r="AF845" s="23"/>
      <c r="AG845" s="24"/>
      <c r="AH845" s="24"/>
      <c r="AI845" s="1"/>
      <c r="AJ845" s="2"/>
      <c r="AK845" s="2"/>
      <c r="AL845" s="22"/>
      <c r="AM845" s="4"/>
      <c r="AN845" s="4"/>
      <c r="AO845" s="24"/>
      <c r="AP845" s="1"/>
      <c r="AQ845" s="2"/>
      <c r="AR845" s="2"/>
      <c r="AS845" s="3"/>
      <c r="AT845" s="2"/>
      <c r="AU845" s="4"/>
      <c r="AV845" s="2"/>
      <c r="AW845" s="2"/>
      <c r="AX845" s="2"/>
      <c r="AY845" s="2"/>
      <c r="AZ845" s="50"/>
      <c r="BA845" s="51"/>
      <c r="BB845" s="4"/>
      <c r="BC845" s="51"/>
      <c r="BD845" s="51"/>
      <c r="BE845" s="51"/>
      <c r="BF845" s="57"/>
    </row>
    <row r="846" spans="1:58" ht="18" customHeight="1">
      <c r="A846" s="106" t="s">
        <v>15</v>
      </c>
      <c r="B846" s="93" t="s">
        <v>792</v>
      </c>
      <c r="C846" s="28">
        <v>2131.5</v>
      </c>
      <c r="D846" s="28">
        <v>2131.62</v>
      </c>
      <c r="E846" s="28">
        <v>2131.56</v>
      </c>
      <c r="F846" s="28">
        <v>2131.56</v>
      </c>
      <c r="G846" s="29">
        <v>203084.76209332701</v>
      </c>
      <c r="H846" s="29">
        <v>199929.46928141799</v>
      </c>
      <c r="I846" s="27">
        <f t="shared" si="36"/>
        <v>1</v>
      </c>
      <c r="J846" s="27">
        <f t="shared" si="38"/>
        <v>1</v>
      </c>
      <c r="K846" s="27">
        <f t="shared" si="37"/>
        <v>1</v>
      </c>
      <c r="L846" s="25">
        <v>643.13948000000005</v>
      </c>
      <c r="M846" s="25">
        <v>647.47559054913131</v>
      </c>
      <c r="N846" s="38">
        <v>0.52183434859975897</v>
      </c>
      <c r="O846" s="38">
        <v>-4.9578978019577669</v>
      </c>
      <c r="P846" s="71">
        <v>-7.0452351963568027</v>
      </c>
      <c r="Q846" s="53">
        <v>43515</v>
      </c>
      <c r="R846" s="23">
        <v>10</v>
      </c>
      <c r="S846" s="30">
        <v>643.13948000000005</v>
      </c>
      <c r="T846" s="24">
        <v>647.47559054913131</v>
      </c>
      <c r="U846" s="1">
        <v>0.52183434859975897</v>
      </c>
      <c r="V846" s="2">
        <v>-4.9578978019577669</v>
      </c>
      <c r="W846" s="2">
        <v>-7.0452351963568027</v>
      </c>
      <c r="X846" s="22" t="s">
        <v>17</v>
      </c>
      <c r="Y846" s="23"/>
      <c r="Z846" s="24" t="s">
        <v>17</v>
      </c>
      <c r="AA846" s="24" t="s">
        <v>17</v>
      </c>
      <c r="AB846" s="1" t="s">
        <v>17</v>
      </c>
      <c r="AC846" s="2" t="s">
        <v>17</v>
      </c>
      <c r="AD846" s="2" t="s">
        <v>17</v>
      </c>
      <c r="AE846" s="22" t="s">
        <v>17</v>
      </c>
      <c r="AF846" s="23"/>
      <c r="AG846" s="24" t="s">
        <v>17</v>
      </c>
      <c r="AH846" s="24" t="s">
        <v>17</v>
      </c>
      <c r="AI846" s="1" t="s">
        <v>17</v>
      </c>
      <c r="AJ846" s="2" t="s">
        <v>17</v>
      </c>
      <c r="AK846" s="2" t="s">
        <v>17</v>
      </c>
      <c r="AL846" s="22" t="s">
        <v>17</v>
      </c>
      <c r="AM846" s="4" t="s">
        <v>17</v>
      </c>
      <c r="AN846" s="4"/>
      <c r="AO846" s="24" t="s">
        <v>17</v>
      </c>
      <c r="AP846" s="1" t="s">
        <v>17</v>
      </c>
      <c r="AQ846" s="2" t="s">
        <v>17</v>
      </c>
      <c r="AR846" s="2" t="s">
        <v>17</v>
      </c>
      <c r="AS846" s="3"/>
      <c r="AT846" s="2"/>
      <c r="AU846" s="4"/>
      <c r="AV846" s="2"/>
      <c r="AW846" s="2"/>
      <c r="AX846" s="2"/>
      <c r="AY846" s="2"/>
      <c r="AZ846" s="5"/>
      <c r="BA846" s="6"/>
      <c r="BB846" s="4"/>
      <c r="BC846" s="6"/>
      <c r="BD846" s="6"/>
      <c r="BE846" s="6"/>
      <c r="BF846" s="7"/>
    </row>
    <row r="847" spans="1:58" ht="18" customHeight="1">
      <c r="A847" s="106" t="s">
        <v>15</v>
      </c>
      <c r="B847" s="93" t="s">
        <v>828</v>
      </c>
      <c r="C847" s="28">
        <v>2133.5</v>
      </c>
      <c r="D847" s="28">
        <v>2133.62</v>
      </c>
      <c r="E847" s="28">
        <v>2133.56</v>
      </c>
      <c r="F847" s="28">
        <v>2133.56</v>
      </c>
      <c r="G847" s="29">
        <v>203575.198328653</v>
      </c>
      <c r="H847" s="29">
        <v>200310.46483715699</v>
      </c>
      <c r="I847" s="27">
        <f t="shared" si="36"/>
        <v>1</v>
      </c>
      <c r="J847" s="27">
        <f t="shared" si="38"/>
        <v>1</v>
      </c>
      <c r="K847" s="27">
        <f t="shared" si="37"/>
        <v>1</v>
      </c>
      <c r="L847" s="25">
        <v>629.54873850000001</v>
      </c>
      <c r="M847" s="25">
        <v>633.79701079213555</v>
      </c>
      <c r="N847" s="38">
        <v>0.52230053813717703</v>
      </c>
      <c r="O847" s="38">
        <v>-5.361808512124755</v>
      </c>
      <c r="P847" s="71">
        <v>-7.4510106646734631</v>
      </c>
      <c r="Q847" s="53">
        <v>44413</v>
      </c>
      <c r="R847" s="23">
        <v>9</v>
      </c>
      <c r="S847" s="30">
        <v>629.54873850000001</v>
      </c>
      <c r="T847" s="24">
        <v>633.79701079213555</v>
      </c>
      <c r="U847" s="1">
        <v>0.52230053813717703</v>
      </c>
      <c r="V847" s="2">
        <v>-5.361808512124755</v>
      </c>
      <c r="W847" s="2">
        <v>-7.4510106646734631</v>
      </c>
      <c r="X847" s="22" t="s">
        <v>17</v>
      </c>
      <c r="Y847" s="23" t="s">
        <v>17</v>
      </c>
      <c r="Z847" s="24"/>
      <c r="AA847" s="24"/>
      <c r="AB847" s="1" t="s">
        <v>17</v>
      </c>
      <c r="AC847" s="2" t="s">
        <v>17</v>
      </c>
      <c r="AD847" s="2" t="s">
        <v>17</v>
      </c>
      <c r="AE847" s="22"/>
      <c r="AF847" s="23"/>
      <c r="AG847" s="24"/>
      <c r="AH847" s="24"/>
      <c r="AI847" s="1"/>
      <c r="AJ847" s="2"/>
      <c r="AK847" s="2"/>
      <c r="AL847" s="22"/>
      <c r="AM847" s="4"/>
      <c r="AN847" s="4"/>
      <c r="AO847" s="24"/>
      <c r="AP847" s="1"/>
      <c r="AQ847" s="2"/>
      <c r="AR847" s="2"/>
      <c r="AS847" s="3"/>
      <c r="AT847" s="2"/>
      <c r="AU847" s="4"/>
      <c r="AV847" s="2"/>
      <c r="AW847" s="2"/>
      <c r="AX847" s="2"/>
      <c r="AY847" s="2"/>
      <c r="AZ847" s="50"/>
      <c r="BA847" s="51"/>
      <c r="BB847" s="4"/>
      <c r="BC847" s="51"/>
      <c r="BD847" s="51"/>
      <c r="BE847" s="51"/>
      <c r="BF847" s="57"/>
    </row>
    <row r="848" spans="1:58" ht="18" customHeight="1">
      <c r="A848" s="106" t="s">
        <v>15</v>
      </c>
      <c r="B848" s="93" t="s">
        <v>802</v>
      </c>
      <c r="C848" s="28">
        <v>2135.5</v>
      </c>
      <c r="D848" s="28">
        <v>2135.62</v>
      </c>
      <c r="E848" s="28">
        <v>2135.56</v>
      </c>
      <c r="F848" s="28">
        <v>2135.56</v>
      </c>
      <c r="G848" s="29">
        <v>204114.31374039</v>
      </c>
      <c r="H848" s="29">
        <v>200713.82596535599</v>
      </c>
      <c r="I848" s="27">
        <f t="shared" si="36"/>
        <v>1</v>
      </c>
      <c r="J848" s="27">
        <f t="shared" si="38"/>
        <v>1</v>
      </c>
      <c r="K848" s="27">
        <f t="shared" si="37"/>
        <v>1</v>
      </c>
      <c r="L848" s="25">
        <v>604.11572249999995</v>
      </c>
      <c r="M848" s="25">
        <v>608.16058628828239</v>
      </c>
      <c r="N848" s="38">
        <v>0.51822844695692538</v>
      </c>
      <c r="O848" s="38">
        <v>-5.8859553571364298</v>
      </c>
      <c r="P848" s="71">
        <v>-7.9588691449641313</v>
      </c>
      <c r="Q848" s="53">
        <v>44257</v>
      </c>
      <c r="R848" s="23">
        <v>10</v>
      </c>
      <c r="S848" s="30">
        <v>604.11572249999995</v>
      </c>
      <c r="T848" s="24">
        <v>608.16058628828239</v>
      </c>
      <c r="U848" s="1">
        <v>0.51822844695692538</v>
      </c>
      <c r="V848" s="2">
        <v>-5.8859553571364298</v>
      </c>
      <c r="W848" s="2">
        <v>-7.9588691449641313</v>
      </c>
      <c r="X848" s="22"/>
      <c r="Y848" s="23"/>
      <c r="Z848" s="49" t="s">
        <v>17</v>
      </c>
      <c r="AA848" s="24"/>
      <c r="AB848" s="1"/>
      <c r="AC848" s="2"/>
      <c r="AD848" s="2"/>
      <c r="AE848" s="22"/>
      <c r="AF848" s="23"/>
      <c r="AG848" s="49"/>
      <c r="AH848" s="24"/>
      <c r="AI848" s="1"/>
      <c r="AJ848" s="2"/>
      <c r="AK848" s="2"/>
      <c r="AL848" s="22"/>
      <c r="AM848" s="4"/>
      <c r="AN848" s="4"/>
      <c r="AO848" s="24"/>
      <c r="AP848" s="1"/>
      <c r="AQ848" s="2"/>
      <c r="AR848" s="2"/>
      <c r="AS848" s="3"/>
      <c r="AT848" s="2"/>
      <c r="AU848" s="4"/>
      <c r="AV848" s="2"/>
      <c r="AW848" s="2"/>
      <c r="AX848" s="2"/>
      <c r="AY848" s="2"/>
      <c r="AZ848" s="5"/>
      <c r="BA848" s="6"/>
      <c r="BB848" s="4"/>
      <c r="BC848" s="6"/>
      <c r="BD848" s="6"/>
      <c r="BE848" s="6"/>
      <c r="BF848" s="7"/>
    </row>
    <row r="849" spans="1:58" ht="18" customHeight="1">
      <c r="A849" s="106" t="s">
        <v>15</v>
      </c>
      <c r="B849" s="93" t="s">
        <v>793</v>
      </c>
      <c r="C849" s="28">
        <v>2137.5</v>
      </c>
      <c r="D849" s="28">
        <v>2137.62</v>
      </c>
      <c r="E849" s="28">
        <v>2137.56</v>
      </c>
      <c r="F849" s="28">
        <v>2137.56</v>
      </c>
      <c r="G849" s="29">
        <v>204666.367188359</v>
      </c>
      <c r="H849" s="29">
        <v>201125.58672289</v>
      </c>
      <c r="I849" s="27">
        <f t="shared" si="36"/>
        <v>1</v>
      </c>
      <c r="J849" s="27">
        <f t="shared" si="38"/>
        <v>3</v>
      </c>
      <c r="K849" s="27">
        <f t="shared" si="37"/>
        <v>3</v>
      </c>
      <c r="L849" s="25">
        <v>506.58378849999997</v>
      </c>
      <c r="M849" s="25">
        <v>509.98782107869221</v>
      </c>
      <c r="N849" s="38">
        <v>0.51744653066336055</v>
      </c>
      <c r="O849" s="38">
        <v>-7.9141418569176336</v>
      </c>
      <c r="P849" s="71">
        <v>-9.9839279795710762</v>
      </c>
      <c r="Q849" s="53">
        <v>43201</v>
      </c>
      <c r="R849" s="23">
        <v>10</v>
      </c>
      <c r="S849" s="30">
        <v>506.58378849999997</v>
      </c>
      <c r="T849" s="24">
        <v>509.98782107869221</v>
      </c>
      <c r="U849" s="1">
        <v>0.52009168041244891</v>
      </c>
      <c r="V849" s="2">
        <v>-6.7706570549400658</v>
      </c>
      <c r="W849" s="2">
        <v>-8.8510237765898623</v>
      </c>
      <c r="X849" s="22">
        <v>43339</v>
      </c>
      <c r="Y849" s="23">
        <v>8</v>
      </c>
      <c r="Z849" s="24"/>
      <c r="AA849" s="24"/>
      <c r="AB849" s="1">
        <v>0.51778161766846686</v>
      </c>
      <c r="AC849" s="2">
        <v>-6.5100078292764652</v>
      </c>
      <c r="AD849" s="2">
        <v>-8.5811342999503317</v>
      </c>
      <c r="AE849" s="22">
        <v>43339</v>
      </c>
      <c r="AF849" s="23">
        <v>8</v>
      </c>
      <c r="AG849" s="24"/>
      <c r="AH849" s="24"/>
      <c r="AI849" s="1">
        <v>0.51446629390916598</v>
      </c>
      <c r="AJ849" s="2">
        <v>-10.461760686536369</v>
      </c>
      <c r="AK849" s="2">
        <v>-12.519625862173033</v>
      </c>
      <c r="AL849" s="22" t="s">
        <v>17</v>
      </c>
      <c r="AM849" s="4" t="s">
        <v>17</v>
      </c>
      <c r="AN849" s="4"/>
      <c r="AO849" s="24" t="s">
        <v>17</v>
      </c>
      <c r="AP849" s="1" t="s">
        <v>17</v>
      </c>
      <c r="AQ849" s="2" t="s">
        <v>17</v>
      </c>
      <c r="AR849" s="2" t="s">
        <v>17</v>
      </c>
      <c r="AS849" s="3"/>
      <c r="AT849" s="2"/>
      <c r="AU849" s="4"/>
      <c r="AV849" s="2"/>
      <c r="AW849" s="2"/>
      <c r="AX849" s="2"/>
      <c r="AY849" s="2"/>
      <c r="AZ849" s="5"/>
      <c r="BA849" s="6"/>
      <c r="BB849" s="4"/>
      <c r="BC849" s="6"/>
      <c r="BD849" s="6"/>
      <c r="BE849" s="6"/>
      <c r="BF849" s="7"/>
    </row>
    <row r="850" spans="1:58" ht="18" customHeight="1">
      <c r="A850" s="106" t="s">
        <v>15</v>
      </c>
      <c r="B850" s="93" t="s">
        <v>829</v>
      </c>
      <c r="C850" s="28">
        <v>2139</v>
      </c>
      <c r="D850" s="28">
        <v>2139.12</v>
      </c>
      <c r="E850" s="28">
        <v>2139.06</v>
      </c>
      <c r="F850" s="28">
        <v>2139.06</v>
      </c>
      <c r="G850" s="29">
        <v>205079.84554759201</v>
      </c>
      <c r="H850" s="29">
        <v>201466.79778155001</v>
      </c>
      <c r="I850" s="27">
        <f t="shared" si="36"/>
        <v>1</v>
      </c>
      <c r="J850" s="27">
        <f t="shared" si="38"/>
        <v>1</v>
      </c>
      <c r="K850" s="27">
        <f t="shared" si="37"/>
        <v>1</v>
      </c>
      <c r="L850" s="25">
        <v>487.79789500000004</v>
      </c>
      <c r="M850" s="25">
        <v>491.08505042341727</v>
      </c>
      <c r="N850" s="38">
        <v>0.52157624497772836</v>
      </c>
      <c r="O850" s="38">
        <v>-6.8458241083259042</v>
      </c>
      <c r="P850" s="71">
        <v>-8.9321290882368167</v>
      </c>
      <c r="Q850" s="53">
        <v>44434</v>
      </c>
      <c r="R850" s="23">
        <v>9</v>
      </c>
      <c r="S850" s="30">
        <v>487.79789500000004</v>
      </c>
      <c r="T850" s="24">
        <v>491.08505042341727</v>
      </c>
      <c r="U850" s="1">
        <v>0.52157624497772836</v>
      </c>
      <c r="V850" s="2">
        <v>-6.8458241083259042</v>
      </c>
      <c r="W850" s="2">
        <v>-8.9321290882368167</v>
      </c>
      <c r="X850" s="22" t="s">
        <v>17</v>
      </c>
      <c r="Y850" s="23" t="s">
        <v>17</v>
      </c>
      <c r="Z850" s="24"/>
      <c r="AA850" s="24"/>
      <c r="AB850" s="1" t="s">
        <v>17</v>
      </c>
      <c r="AC850" s="2" t="s">
        <v>17</v>
      </c>
      <c r="AD850" s="2" t="s">
        <v>17</v>
      </c>
      <c r="AE850" s="22"/>
      <c r="AF850" s="23"/>
      <c r="AG850" s="24"/>
      <c r="AH850" s="24"/>
      <c r="AI850" s="1"/>
      <c r="AJ850" s="2"/>
      <c r="AK850" s="2"/>
      <c r="AL850" s="22"/>
      <c r="AM850" s="4"/>
      <c r="AN850" s="4"/>
      <c r="AO850" s="24"/>
      <c r="AP850" s="1"/>
      <c r="AQ850" s="2"/>
      <c r="AR850" s="2"/>
      <c r="AS850" s="3"/>
      <c r="AT850" s="2"/>
      <c r="AU850" s="4"/>
      <c r="AV850" s="2"/>
      <c r="AW850" s="2"/>
      <c r="AX850" s="2"/>
      <c r="AY850" s="2"/>
      <c r="AZ850" s="50"/>
      <c r="BA850" s="51"/>
      <c r="BB850" s="4"/>
      <c r="BC850" s="51"/>
      <c r="BD850" s="51"/>
      <c r="BE850" s="51"/>
      <c r="BF850" s="57"/>
    </row>
    <row r="851" spans="1:58" ht="18" customHeight="1">
      <c r="A851" s="106" t="s">
        <v>15</v>
      </c>
      <c r="B851" s="93" t="s">
        <v>794</v>
      </c>
      <c r="C851" s="28">
        <v>2141</v>
      </c>
      <c r="D851" s="28">
        <v>2141.12</v>
      </c>
      <c r="E851" s="28">
        <v>2141.06</v>
      </c>
      <c r="F851" s="28">
        <v>2141.06</v>
      </c>
      <c r="G851" s="29">
        <v>205642.57213649401</v>
      </c>
      <c r="H851" s="29">
        <v>201915.13841767699</v>
      </c>
      <c r="I851" s="27">
        <f t="shared" si="36"/>
        <v>1</v>
      </c>
      <c r="J851" s="27">
        <f t="shared" si="38"/>
        <v>1</v>
      </c>
      <c r="K851" s="27">
        <f t="shared" si="37"/>
        <v>1</v>
      </c>
      <c r="L851" s="25">
        <v>561.35771499999998</v>
      </c>
      <c r="M851" s="25">
        <v>565.20790396424752</v>
      </c>
      <c r="N851" s="38">
        <v>0.53085979554912122</v>
      </c>
      <c r="O851" s="38">
        <v>-7.7285957709792852</v>
      </c>
      <c r="P851" s="71">
        <v>-9.8520349531757709</v>
      </c>
      <c r="Q851" s="53">
        <v>43748</v>
      </c>
      <c r="R851" s="23">
        <v>9</v>
      </c>
      <c r="S851" s="30">
        <v>561.35771499999998</v>
      </c>
      <c r="T851" s="24">
        <v>565.20790396424752</v>
      </c>
      <c r="U851" s="1">
        <v>0.53085979554912122</v>
      </c>
      <c r="V851" s="2">
        <v>-7.7285957709792852</v>
      </c>
      <c r="W851" s="2">
        <v>-9.8520349531757709</v>
      </c>
      <c r="X851" s="22" t="s">
        <v>17</v>
      </c>
      <c r="Y851" s="23"/>
      <c r="Z851" s="24" t="s">
        <v>17</v>
      </c>
      <c r="AA851" s="24" t="s">
        <v>17</v>
      </c>
      <c r="AB851" s="1" t="s">
        <v>17</v>
      </c>
      <c r="AC851" s="2" t="s">
        <v>17</v>
      </c>
      <c r="AD851" s="2" t="s">
        <v>17</v>
      </c>
      <c r="AE851" s="22" t="s">
        <v>17</v>
      </c>
      <c r="AF851" s="23"/>
      <c r="AG851" s="24" t="s">
        <v>17</v>
      </c>
      <c r="AH851" s="24" t="s">
        <v>17</v>
      </c>
      <c r="AI851" s="1" t="s">
        <v>17</v>
      </c>
      <c r="AJ851" s="2" t="s">
        <v>17</v>
      </c>
      <c r="AK851" s="2" t="s">
        <v>17</v>
      </c>
      <c r="AL851" s="22" t="s">
        <v>17</v>
      </c>
      <c r="AM851" s="4" t="s">
        <v>17</v>
      </c>
      <c r="AN851" s="4"/>
      <c r="AO851" s="24" t="s">
        <v>17</v>
      </c>
      <c r="AP851" s="1" t="s">
        <v>17</v>
      </c>
      <c r="AQ851" s="2" t="s">
        <v>17</v>
      </c>
      <c r="AR851" s="2" t="s">
        <v>17</v>
      </c>
      <c r="AS851" s="3"/>
      <c r="AT851" s="2"/>
      <c r="AU851" s="4"/>
      <c r="AV851" s="2"/>
      <c r="AW851" s="2"/>
      <c r="AX851" s="2"/>
      <c r="AY851" s="2"/>
      <c r="AZ851" s="5"/>
      <c r="BA851" s="6"/>
      <c r="BB851" s="4"/>
      <c r="BC851" s="6"/>
      <c r="BD851" s="6"/>
      <c r="BE851" s="6"/>
      <c r="BF851" s="7"/>
    </row>
    <row r="852" spans="1:58" ht="18" customHeight="1">
      <c r="A852" s="106" t="s">
        <v>15</v>
      </c>
      <c r="B852" s="93" t="s">
        <v>830</v>
      </c>
      <c r="C852" s="28">
        <v>2142.5</v>
      </c>
      <c r="D852" s="28">
        <v>2142.62</v>
      </c>
      <c r="E852" s="28">
        <v>2142.56</v>
      </c>
      <c r="F852" s="28">
        <v>2142.56</v>
      </c>
      <c r="G852" s="29">
        <v>206020.76396535299</v>
      </c>
      <c r="H852" s="29">
        <v>202279.24240884799</v>
      </c>
      <c r="I852" s="27">
        <f t="shared" si="36"/>
        <v>1</v>
      </c>
      <c r="J852" s="27">
        <f t="shared" si="38"/>
        <v>1</v>
      </c>
      <c r="K852" s="27">
        <f t="shared" si="37"/>
        <v>1</v>
      </c>
      <c r="L852" s="25">
        <v>506.5257325</v>
      </c>
      <c r="M852" s="25">
        <v>509.94054990715046</v>
      </c>
      <c r="N852" s="38">
        <v>0.5217992609594102</v>
      </c>
      <c r="O852" s="38">
        <v>-7.9168565675945546</v>
      </c>
      <c r="P852" s="71">
        <v>-10.004053611432195</v>
      </c>
      <c r="Q852" s="53">
        <v>44434</v>
      </c>
      <c r="R852" s="23">
        <v>9</v>
      </c>
      <c r="S852" s="30">
        <v>506.5257325</v>
      </c>
      <c r="T852" s="24">
        <v>509.94054990715046</v>
      </c>
      <c r="U852" s="1">
        <v>0.5217992609594102</v>
      </c>
      <c r="V852" s="2">
        <v>-7.9168565675945546</v>
      </c>
      <c r="W852" s="2">
        <v>-10.004053611432195</v>
      </c>
      <c r="X852" s="22" t="s">
        <v>17</v>
      </c>
      <c r="Y852" s="23" t="s">
        <v>17</v>
      </c>
      <c r="Z852" s="24"/>
      <c r="AA852" s="24"/>
      <c r="AB852" s="1" t="s">
        <v>17</v>
      </c>
      <c r="AC852" s="2" t="s">
        <v>17</v>
      </c>
      <c r="AD852" s="2" t="s">
        <v>17</v>
      </c>
      <c r="AE852" s="22"/>
      <c r="AF852" s="23"/>
      <c r="AG852" s="24"/>
      <c r="AH852" s="24"/>
      <c r="AI852" s="1"/>
      <c r="AJ852" s="2"/>
      <c r="AK852" s="2"/>
      <c r="AL852" s="22"/>
      <c r="AM852" s="4"/>
      <c r="AN852" s="4"/>
      <c r="AO852" s="24"/>
      <c r="AP852" s="1"/>
      <c r="AQ852" s="2"/>
      <c r="AR852" s="2"/>
      <c r="AS852" s="3"/>
      <c r="AT852" s="2"/>
      <c r="AU852" s="4"/>
      <c r="AV852" s="2"/>
      <c r="AW852" s="2"/>
      <c r="AX852" s="2"/>
      <c r="AY852" s="2"/>
      <c r="AZ852" s="50"/>
      <c r="BA852" s="51"/>
      <c r="BB852" s="4"/>
      <c r="BC852" s="51"/>
      <c r="BD852" s="51"/>
      <c r="BE852" s="51"/>
      <c r="BF852" s="57"/>
    </row>
    <row r="853" spans="1:58" ht="18" customHeight="1">
      <c r="A853" s="106" t="s">
        <v>15</v>
      </c>
      <c r="B853" s="93" t="s">
        <v>795</v>
      </c>
      <c r="C853" s="28">
        <v>2144</v>
      </c>
      <c r="D853" s="28">
        <v>2144.12</v>
      </c>
      <c r="E853" s="28">
        <v>2144.06</v>
      </c>
      <c r="F853" s="28">
        <v>2144.06</v>
      </c>
      <c r="G853" s="29">
        <v>206412.48660070801</v>
      </c>
      <c r="H853" s="29">
        <v>202644.39068572299</v>
      </c>
      <c r="I853" s="27">
        <f t="shared" si="36"/>
        <v>1</v>
      </c>
      <c r="J853" s="27">
        <f t="shared" si="38"/>
        <v>1</v>
      </c>
      <c r="K853" s="27">
        <f t="shared" si="37"/>
        <v>1</v>
      </c>
      <c r="L853" s="25">
        <v>449.21538099999998</v>
      </c>
      <c r="M853" s="25">
        <v>452.21083256397071</v>
      </c>
      <c r="N853" s="38">
        <v>0.51611344154434136</v>
      </c>
      <c r="O853" s="38">
        <v>-8.1727536073801232</v>
      </c>
      <c r="P853" s="71">
        <v>-10.237207373557489</v>
      </c>
      <c r="Q853" s="53">
        <v>43201</v>
      </c>
      <c r="R853" s="23">
        <v>10</v>
      </c>
      <c r="S853" s="30">
        <v>449.21538099999998</v>
      </c>
      <c r="T853" s="24">
        <v>452.21083256397071</v>
      </c>
      <c r="U853" s="1">
        <v>0.51611344154434136</v>
      </c>
      <c r="V853" s="2">
        <v>-8.1727536073801232</v>
      </c>
      <c r="W853" s="2">
        <v>-10.237207373557489</v>
      </c>
      <c r="X853" s="22" t="s">
        <v>17</v>
      </c>
      <c r="Y853" s="23"/>
      <c r="Z853" s="24" t="s">
        <v>17</v>
      </c>
      <c r="AA853" s="24" t="s">
        <v>17</v>
      </c>
      <c r="AB853" s="1" t="s">
        <v>17</v>
      </c>
      <c r="AC853" s="2" t="s">
        <v>17</v>
      </c>
      <c r="AD853" s="2" t="s">
        <v>17</v>
      </c>
      <c r="AE853" s="22" t="s">
        <v>17</v>
      </c>
      <c r="AF853" s="23"/>
      <c r="AG853" s="24" t="s">
        <v>17</v>
      </c>
      <c r="AH853" s="24" t="s">
        <v>17</v>
      </c>
      <c r="AI853" s="1" t="s">
        <v>17</v>
      </c>
      <c r="AJ853" s="2" t="s">
        <v>17</v>
      </c>
      <c r="AK853" s="2" t="s">
        <v>17</v>
      </c>
      <c r="AL853" s="22" t="s">
        <v>17</v>
      </c>
      <c r="AM853" s="4" t="s">
        <v>17</v>
      </c>
      <c r="AN853" s="4"/>
      <c r="AO853" s="24" t="s">
        <v>17</v>
      </c>
      <c r="AP853" s="1" t="s">
        <v>17</v>
      </c>
      <c r="AQ853" s="2" t="s">
        <v>17</v>
      </c>
      <c r="AR853" s="2" t="s">
        <v>17</v>
      </c>
      <c r="AS853" s="3"/>
      <c r="AT853" s="2"/>
      <c r="AU853" s="4"/>
      <c r="AV853" s="2"/>
      <c r="AW853" s="2"/>
      <c r="AX853" s="2"/>
      <c r="AY853" s="2"/>
      <c r="AZ853" s="5"/>
      <c r="BA853" s="6"/>
      <c r="BB853" s="4"/>
      <c r="BC853" s="6"/>
      <c r="BD853" s="6"/>
      <c r="BE853" s="6"/>
      <c r="BF853" s="7"/>
    </row>
    <row r="854" spans="1:58" ht="18" customHeight="1">
      <c r="A854" s="106" t="s">
        <v>15</v>
      </c>
      <c r="B854" s="93" t="s">
        <v>831</v>
      </c>
      <c r="C854" s="28">
        <v>2146</v>
      </c>
      <c r="D854" s="28">
        <v>2146.12</v>
      </c>
      <c r="E854" s="28">
        <v>2146.06</v>
      </c>
      <c r="F854" s="28">
        <v>2146.06</v>
      </c>
      <c r="G854" s="29">
        <v>206955.56361844199</v>
      </c>
      <c r="H854" s="29">
        <v>203129.647114291</v>
      </c>
      <c r="I854" s="27">
        <f t="shared" si="36"/>
        <v>1</v>
      </c>
      <c r="J854" s="27">
        <f t="shared" si="38"/>
        <v>1</v>
      </c>
      <c r="K854" s="27">
        <f t="shared" si="37"/>
        <v>1</v>
      </c>
      <c r="L854" s="25">
        <v>450.69306649999999</v>
      </c>
      <c r="M854" s="25">
        <v>453.70241172022094</v>
      </c>
      <c r="N854" s="38">
        <v>0.51680727747216437</v>
      </c>
      <c r="O854" s="38">
        <v>-8.4022456011655358</v>
      </c>
      <c r="P854" s="71">
        <v>-10.469474711054193</v>
      </c>
      <c r="Q854" s="53">
        <v>44410</v>
      </c>
      <c r="R854" s="23">
        <v>9</v>
      </c>
      <c r="S854" s="30">
        <v>450.69306649999999</v>
      </c>
      <c r="T854" s="24">
        <v>453.70241172022094</v>
      </c>
      <c r="U854" s="1">
        <v>0.51680727747216437</v>
      </c>
      <c r="V854" s="2">
        <v>-8.4022456011655358</v>
      </c>
      <c r="W854" s="2">
        <v>-10.469474711054193</v>
      </c>
      <c r="X854" s="22" t="s">
        <v>17</v>
      </c>
      <c r="Y854" s="23" t="s">
        <v>17</v>
      </c>
      <c r="Z854" s="24"/>
      <c r="AA854" s="24"/>
      <c r="AB854" s="1" t="s">
        <v>17</v>
      </c>
      <c r="AC854" s="2" t="s">
        <v>17</v>
      </c>
      <c r="AD854" s="2" t="s">
        <v>17</v>
      </c>
      <c r="AE854" s="22"/>
      <c r="AF854" s="23"/>
      <c r="AG854" s="24"/>
      <c r="AH854" s="24"/>
      <c r="AI854" s="1"/>
      <c r="AJ854" s="2"/>
      <c r="AK854" s="2"/>
      <c r="AL854" s="22"/>
      <c r="AM854" s="4"/>
      <c r="AN854" s="4"/>
      <c r="AO854" s="24"/>
      <c r="AP854" s="1"/>
      <c r="AQ854" s="2"/>
      <c r="AR854" s="2"/>
      <c r="AS854" s="3"/>
      <c r="AT854" s="2"/>
      <c r="AU854" s="4"/>
      <c r="AV854" s="2"/>
      <c r="AW854" s="2"/>
      <c r="AX854" s="2"/>
      <c r="AY854" s="2"/>
      <c r="AZ854" s="50"/>
      <c r="BA854" s="51"/>
      <c r="BB854" s="4"/>
      <c r="BC854" s="51"/>
      <c r="BD854" s="51"/>
      <c r="BE854" s="51"/>
      <c r="BF854" s="57"/>
    </row>
    <row r="855" spans="1:58" ht="18" customHeight="1" thickBot="1">
      <c r="A855" s="108" t="s">
        <v>15</v>
      </c>
      <c r="B855" s="114" t="s">
        <v>796</v>
      </c>
      <c r="C855" s="73">
        <v>2148.5</v>
      </c>
      <c r="D855" s="73">
        <v>2148.62</v>
      </c>
      <c r="E855" s="73">
        <v>2148.56</v>
      </c>
      <c r="F855" s="73">
        <v>2148.56</v>
      </c>
      <c r="G855" s="74">
        <v>207591.904859384</v>
      </c>
      <c r="H855" s="74">
        <v>203797.390329977</v>
      </c>
      <c r="I855" s="72">
        <f t="shared" si="36"/>
        <v>1</v>
      </c>
      <c r="J855" s="72">
        <f t="shared" si="38"/>
        <v>1</v>
      </c>
      <c r="K855" s="72">
        <f t="shared" si="37"/>
        <v>1</v>
      </c>
      <c r="L855" s="75">
        <v>444.55216949999999</v>
      </c>
      <c r="M855" s="75">
        <v>447.47437635813708</v>
      </c>
      <c r="N855" s="76">
        <v>0.50877493559009501</v>
      </c>
      <c r="O855" s="76">
        <v>-9.0282780641595117</v>
      </c>
      <c r="P855" s="77">
        <v>-11.063377806519892</v>
      </c>
      <c r="Q855" s="58">
        <v>43769</v>
      </c>
      <c r="R855" s="59">
        <v>9</v>
      </c>
      <c r="S855" s="60">
        <v>444.55216949999999</v>
      </c>
      <c r="T855" s="61">
        <v>447.47437635813708</v>
      </c>
      <c r="U855" s="62">
        <v>0.50877493559009501</v>
      </c>
      <c r="V855" s="63">
        <v>-9.0282780641595117</v>
      </c>
      <c r="W855" s="63">
        <v>-11.063377806519892</v>
      </c>
      <c r="X855" s="64" t="s">
        <v>17</v>
      </c>
      <c r="Y855" s="59"/>
      <c r="Z855" s="61" t="s">
        <v>17</v>
      </c>
      <c r="AA855" s="61" t="s">
        <v>17</v>
      </c>
      <c r="AB855" s="62" t="s">
        <v>17</v>
      </c>
      <c r="AC855" s="63" t="s">
        <v>17</v>
      </c>
      <c r="AD855" s="63" t="s">
        <v>17</v>
      </c>
      <c r="AE855" s="64" t="s">
        <v>17</v>
      </c>
      <c r="AF855" s="59"/>
      <c r="AG855" s="61" t="s">
        <v>17</v>
      </c>
      <c r="AH855" s="61" t="s">
        <v>17</v>
      </c>
      <c r="AI855" s="62" t="s">
        <v>17</v>
      </c>
      <c r="AJ855" s="63" t="s">
        <v>17</v>
      </c>
      <c r="AK855" s="63" t="s">
        <v>17</v>
      </c>
      <c r="AL855" s="64" t="s">
        <v>17</v>
      </c>
      <c r="AM855" s="65" t="s">
        <v>17</v>
      </c>
      <c r="AN855" s="65"/>
      <c r="AO855" s="61" t="s">
        <v>17</v>
      </c>
      <c r="AP855" s="62" t="s">
        <v>17</v>
      </c>
      <c r="AQ855" s="63" t="s">
        <v>17</v>
      </c>
      <c r="AR855" s="63" t="s">
        <v>17</v>
      </c>
      <c r="AS855" s="66"/>
      <c r="AT855" s="63"/>
      <c r="AU855" s="65"/>
      <c r="AV855" s="63"/>
      <c r="AW855" s="63"/>
      <c r="AX855" s="63"/>
      <c r="AY855" s="63"/>
      <c r="AZ855" s="67"/>
      <c r="BA855" s="68"/>
      <c r="BB855" s="65"/>
      <c r="BC855" s="68"/>
      <c r="BD855" s="68"/>
      <c r="BE855" s="68"/>
      <c r="BF855" s="69"/>
    </row>
    <row r="856" spans="1:58" ht="15" customHeight="1">
      <c r="K856" s="27"/>
    </row>
    <row r="857" spans="1:58" ht="15" customHeight="1">
      <c r="K857" s="27"/>
    </row>
    <row r="858" spans="1:58" ht="15" customHeight="1">
      <c r="K858" s="27"/>
    </row>
    <row r="859" spans="1:58" ht="15" customHeight="1">
      <c r="K859" s="27"/>
    </row>
    <row r="860" spans="1:58" ht="15" customHeight="1">
      <c r="K860" s="27"/>
    </row>
    <row r="861" spans="1:58" ht="15" customHeight="1">
      <c r="K861" s="27"/>
    </row>
    <row r="862" spans="1:58" ht="15" customHeight="1">
      <c r="K862" s="27"/>
    </row>
    <row r="863" spans="1:58" ht="15" customHeight="1">
      <c r="K863" s="27"/>
    </row>
    <row r="864" spans="1:58" ht="15" customHeight="1">
      <c r="K864" s="27"/>
    </row>
    <row r="865" spans="11:11" ht="15" customHeight="1">
      <c r="K865" s="27"/>
    </row>
    <row r="866" spans="11:11" ht="15" customHeight="1">
      <c r="K866" s="27"/>
    </row>
  </sheetData>
  <mergeCells count="6">
    <mergeCell ref="AZ37:BF37"/>
    <mergeCell ref="Q37:W37"/>
    <mergeCell ref="X37:AD37"/>
    <mergeCell ref="AE37:AK37"/>
    <mergeCell ref="AL37:AR37"/>
    <mergeCell ref="AS37:AY37"/>
  </mergeCells>
  <phoneticPr fontId="2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9389-BA46-834E-8CAA-531AA64C4B44}">
  <dimension ref="A1:I321"/>
  <sheetViews>
    <sheetView topLeftCell="A16" workbookViewId="0">
      <selection activeCell="F30" sqref="F30:F253"/>
    </sheetView>
  </sheetViews>
  <sheetFormatPr baseColWidth="10" defaultRowHeight="16"/>
  <cols>
    <col min="1" max="1" width="9.5703125" style="82" customWidth="1"/>
    <col min="2" max="2" width="11.140625" style="83" customWidth="1"/>
    <col min="3" max="3" width="8.140625" style="83" bestFit="1" customWidth="1"/>
    <col min="4" max="4" width="11.28515625" style="83" customWidth="1"/>
    <col min="5" max="5" width="12.140625" style="84" customWidth="1"/>
    <col min="6" max="6" width="11.42578125" style="85" customWidth="1"/>
    <col min="7" max="7" width="13" style="85" bestFit="1" customWidth="1"/>
    <col min="8" max="8" width="11" style="88" bestFit="1" customWidth="1"/>
    <col min="9" max="193" width="11" style="87" customWidth="1"/>
    <col min="194" max="194" width="9.28515625" style="87" customWidth="1"/>
    <col min="195" max="196" width="11.28515625" style="87" bestFit="1" customWidth="1"/>
    <col min="197" max="198" width="12.140625" style="87" customWidth="1"/>
    <col min="199" max="199" width="9.5703125" style="87" customWidth="1"/>
    <col min="200" max="201" width="8.140625" style="87" bestFit="1" customWidth="1"/>
    <col min="202" max="205" width="11.28515625" style="87" customWidth="1"/>
    <col min="206" max="206" width="12.28515625" style="87" customWidth="1"/>
    <col min="207" max="208" width="12.5703125" style="87" customWidth="1"/>
    <col min="209" max="209" width="7.5703125" style="87" customWidth="1"/>
    <col min="210" max="211" width="13" style="87" customWidth="1"/>
    <col min="212" max="213" width="9.5703125" style="87" customWidth="1"/>
    <col min="214" max="216" width="7.85546875" style="87" customWidth="1"/>
    <col min="217" max="217" width="16.42578125" style="87" customWidth="1"/>
    <col min="218" max="218" width="6.140625" style="87" customWidth="1"/>
    <col min="219" max="219" width="8.28515625" style="87" customWidth="1"/>
    <col min="220" max="220" width="6.140625" style="87" customWidth="1"/>
    <col min="221" max="221" width="14.7109375" style="87" customWidth="1"/>
    <col min="222" max="224" width="11.5703125" style="87" customWidth="1"/>
    <col min="225" max="225" width="18" style="87" customWidth="1"/>
    <col min="226" max="226" width="16.28515625" style="87" customWidth="1"/>
    <col min="227" max="227" width="17.5703125" style="87" customWidth="1"/>
    <col min="228" max="228" width="15" style="87" bestFit="1" customWidth="1"/>
    <col min="229" max="229" width="14.7109375" style="87" bestFit="1" customWidth="1"/>
    <col min="230" max="232" width="14.7109375" style="87" customWidth="1"/>
    <col min="233" max="233" width="8.42578125" style="87" customWidth="1"/>
    <col min="234" max="237" width="11.42578125" style="87" customWidth="1"/>
    <col min="238" max="238" width="8.5703125" style="87" customWidth="1"/>
    <col min="239" max="239" width="12.140625" style="87" customWidth="1"/>
    <col min="240" max="240" width="11.28515625" style="87" customWidth="1"/>
    <col min="241" max="241" width="9.5703125" style="87" customWidth="1"/>
    <col min="242" max="242" width="8.7109375" style="87" customWidth="1"/>
    <col min="243" max="244" width="11.42578125" style="87" customWidth="1"/>
    <col min="245" max="245" width="9.7109375" style="87" customWidth="1"/>
    <col min="246" max="246" width="10" style="87" customWidth="1"/>
    <col min="247" max="247" width="11" style="87" bestFit="1" customWidth="1"/>
    <col min="248" max="250" width="11" style="87" customWidth="1"/>
    <col min="251" max="251" width="9.5703125" style="87" customWidth="1"/>
    <col min="252" max="252" width="13.5703125" style="87" bestFit="1" customWidth="1"/>
    <col min="253" max="254" width="18.140625" style="87" customWidth="1"/>
    <col min="255" max="449" width="11" style="87" customWidth="1"/>
    <col min="450" max="450" width="9.28515625" style="87" customWidth="1"/>
    <col min="451" max="452" width="11.28515625" style="87" bestFit="1" customWidth="1"/>
    <col min="453" max="454" width="12.140625" style="87" customWidth="1"/>
    <col min="455" max="455" width="9.5703125" style="87" customWidth="1"/>
    <col min="456" max="457" width="8.140625" style="87" bestFit="1" customWidth="1"/>
    <col min="458" max="461" width="11.28515625" style="87" customWidth="1"/>
    <col min="462" max="462" width="12.28515625" style="87" customWidth="1"/>
    <col min="463" max="464" width="12.5703125" style="87" customWidth="1"/>
    <col min="465" max="465" width="7.5703125" style="87" customWidth="1"/>
    <col min="466" max="467" width="13" style="87" customWidth="1"/>
    <col min="468" max="469" width="9.5703125" style="87" customWidth="1"/>
    <col min="470" max="472" width="7.85546875" style="87" customWidth="1"/>
    <col min="473" max="473" width="16.42578125" style="87" customWidth="1"/>
    <col min="474" max="474" width="6.140625" style="87" customWidth="1"/>
    <col min="475" max="475" width="8.28515625" style="87" customWidth="1"/>
    <col min="476" max="476" width="6.140625" style="87" customWidth="1"/>
    <col min="477" max="477" width="14.7109375" style="87" customWidth="1"/>
    <col min="478" max="480" width="11.5703125" style="87" customWidth="1"/>
    <col min="481" max="481" width="18" style="87" customWidth="1"/>
    <col min="482" max="482" width="16.28515625" style="87" customWidth="1"/>
    <col min="483" max="483" width="17.5703125" style="87" customWidth="1"/>
    <col min="484" max="484" width="15" style="87" bestFit="1" customWidth="1"/>
    <col min="485" max="485" width="14.7109375" style="87" bestFit="1" customWidth="1"/>
    <col min="486" max="488" width="14.7109375" style="87" customWidth="1"/>
    <col min="489" max="489" width="8.42578125" style="87" customWidth="1"/>
    <col min="490" max="493" width="11.42578125" style="87" customWidth="1"/>
    <col min="494" max="494" width="8.5703125" style="87" customWidth="1"/>
    <col min="495" max="495" width="12.140625" style="87" customWidth="1"/>
    <col min="496" max="496" width="11.28515625" style="87" customWidth="1"/>
    <col min="497" max="497" width="9.5703125" style="87" customWidth="1"/>
    <col min="498" max="498" width="8.7109375" style="87" customWidth="1"/>
    <col min="499" max="500" width="11.42578125" style="87" customWidth="1"/>
    <col min="501" max="501" width="9.7109375" style="87" customWidth="1"/>
    <col min="502" max="502" width="10" style="87" customWidth="1"/>
    <col min="503" max="503" width="11" style="87" bestFit="1" customWidth="1"/>
    <col min="504" max="506" width="11" style="87" customWidth="1"/>
    <col min="507" max="507" width="9.5703125" style="87" customWidth="1"/>
    <col min="508" max="508" width="13.5703125" style="87" bestFit="1" customWidth="1"/>
    <col min="509" max="510" width="18.140625" style="87" customWidth="1"/>
    <col min="511" max="705" width="11" style="87" customWidth="1"/>
    <col min="706" max="706" width="9.28515625" style="87" customWidth="1"/>
    <col min="707" max="708" width="11.28515625" style="87" bestFit="1" customWidth="1"/>
    <col min="709" max="710" width="12.140625" style="87" customWidth="1"/>
    <col min="711" max="711" width="9.5703125" style="87" customWidth="1"/>
    <col min="712" max="713" width="8.140625" style="87" bestFit="1" customWidth="1"/>
    <col min="714" max="717" width="11.28515625" style="87" customWidth="1"/>
    <col min="718" max="718" width="12.28515625" style="87" customWidth="1"/>
    <col min="719" max="720" width="12.5703125" style="87" customWidth="1"/>
    <col min="721" max="721" width="7.5703125" style="87" customWidth="1"/>
    <col min="722" max="723" width="13" style="87" customWidth="1"/>
    <col min="724" max="725" width="9.5703125" style="87" customWidth="1"/>
    <col min="726" max="728" width="7.85546875" style="87" customWidth="1"/>
    <col min="729" max="729" width="16.42578125" style="87" customWidth="1"/>
    <col min="730" max="730" width="6.140625" style="87" customWidth="1"/>
    <col min="731" max="731" width="8.28515625" style="87" customWidth="1"/>
    <col min="732" max="732" width="6.140625" style="87" customWidth="1"/>
    <col min="733" max="733" width="14.7109375" style="87" customWidth="1"/>
    <col min="734" max="736" width="11.5703125" style="87" customWidth="1"/>
    <col min="737" max="737" width="18" style="87" customWidth="1"/>
    <col min="738" max="738" width="16.28515625" style="87" customWidth="1"/>
    <col min="739" max="739" width="17.5703125" style="87" customWidth="1"/>
    <col min="740" max="740" width="15" style="87" bestFit="1" customWidth="1"/>
    <col min="741" max="741" width="14.7109375" style="87" bestFit="1" customWidth="1"/>
    <col min="742" max="744" width="14.7109375" style="87" customWidth="1"/>
    <col min="745" max="745" width="8.42578125" style="87" customWidth="1"/>
    <col min="746" max="749" width="11.42578125" style="87" customWidth="1"/>
    <col min="750" max="750" width="8.5703125" style="87" customWidth="1"/>
    <col min="751" max="751" width="12.140625" style="87" customWidth="1"/>
    <col min="752" max="752" width="11.28515625" style="87" customWidth="1"/>
    <col min="753" max="753" width="9.5703125" style="87" customWidth="1"/>
    <col min="754" max="754" width="8.7109375" style="87" customWidth="1"/>
    <col min="755" max="756" width="11.42578125" style="87" customWidth="1"/>
    <col min="757" max="757" width="9.7109375" style="87" customWidth="1"/>
    <col min="758" max="758" width="10" style="87" customWidth="1"/>
    <col min="759" max="759" width="11" style="87" bestFit="1" customWidth="1"/>
    <col min="760" max="762" width="11" style="87" customWidth="1"/>
    <col min="763" max="763" width="9.5703125" style="87" customWidth="1"/>
    <col min="764" max="764" width="13.5703125" style="87" bestFit="1" customWidth="1"/>
    <col min="765" max="766" width="18.140625" style="87" customWidth="1"/>
    <col min="767" max="961" width="11" style="87" customWidth="1"/>
    <col min="962" max="962" width="9.28515625" style="87" customWidth="1"/>
    <col min="963" max="964" width="11.28515625" style="87" bestFit="1" customWidth="1"/>
    <col min="965" max="966" width="12.140625" style="87" customWidth="1"/>
    <col min="967" max="967" width="9.5703125" style="87" customWidth="1"/>
    <col min="968" max="969" width="8.140625" style="87" bestFit="1" customWidth="1"/>
    <col min="970" max="973" width="11.28515625" style="87" customWidth="1"/>
    <col min="974" max="974" width="12.28515625" style="87" customWidth="1"/>
    <col min="975" max="976" width="12.5703125" style="87" customWidth="1"/>
    <col min="977" max="977" width="7.5703125" style="87" customWidth="1"/>
    <col min="978" max="979" width="13" style="87" customWidth="1"/>
    <col min="980" max="981" width="9.5703125" style="87" customWidth="1"/>
    <col min="982" max="984" width="7.85546875" style="87" customWidth="1"/>
    <col min="985" max="985" width="16.42578125" style="87" customWidth="1"/>
    <col min="986" max="986" width="6.140625" style="87" customWidth="1"/>
    <col min="987" max="987" width="8.28515625" style="87" customWidth="1"/>
    <col min="988" max="988" width="6.140625" style="87" customWidth="1"/>
    <col min="989" max="989" width="14.7109375" style="87" customWidth="1"/>
    <col min="990" max="992" width="11.5703125" style="87" customWidth="1"/>
    <col min="993" max="993" width="18" style="87" customWidth="1"/>
    <col min="994" max="994" width="16.28515625" style="87" customWidth="1"/>
    <col min="995" max="995" width="17.5703125" style="87" customWidth="1"/>
    <col min="996" max="996" width="15" style="87" bestFit="1" customWidth="1"/>
    <col min="997" max="997" width="14.7109375" style="87" bestFit="1" customWidth="1"/>
    <col min="998" max="1000" width="14.7109375" style="87" customWidth="1"/>
    <col min="1001" max="1001" width="8.42578125" style="87" customWidth="1"/>
    <col min="1002" max="1005" width="11.42578125" style="87" customWidth="1"/>
    <col min="1006" max="1006" width="8.5703125" style="87" customWidth="1"/>
    <col min="1007" max="1007" width="12.140625" style="87" customWidth="1"/>
    <col min="1008" max="1008" width="11.28515625" style="87" customWidth="1"/>
    <col min="1009" max="1009" width="9.5703125" style="87" customWidth="1"/>
    <col min="1010" max="1010" width="8.7109375" style="87" customWidth="1"/>
    <col min="1011" max="1012" width="11.42578125" style="87" customWidth="1"/>
    <col min="1013" max="1013" width="9.7109375" style="87" customWidth="1"/>
    <col min="1014" max="1014" width="10" style="87" customWidth="1"/>
    <col min="1015" max="1015" width="11" style="87" bestFit="1" customWidth="1"/>
    <col min="1016" max="1018" width="11" style="87" customWidth="1"/>
    <col min="1019" max="1019" width="9.5703125" style="87" customWidth="1"/>
    <col min="1020" max="1020" width="13.5703125" style="87" bestFit="1" customWidth="1"/>
    <col min="1021" max="1022" width="18.140625" style="87" customWidth="1"/>
    <col min="1023" max="1217" width="11" style="87" customWidth="1"/>
    <col min="1218" max="1218" width="9.28515625" style="87" customWidth="1"/>
    <col min="1219" max="1220" width="11.28515625" style="87" bestFit="1" customWidth="1"/>
    <col min="1221" max="1222" width="12.140625" style="87" customWidth="1"/>
    <col min="1223" max="1223" width="9.5703125" style="87" customWidth="1"/>
    <col min="1224" max="1225" width="8.140625" style="87" bestFit="1" customWidth="1"/>
    <col min="1226" max="1229" width="11.28515625" style="87" customWidth="1"/>
    <col min="1230" max="1230" width="12.28515625" style="87" customWidth="1"/>
    <col min="1231" max="1232" width="12.5703125" style="87" customWidth="1"/>
    <col min="1233" max="1233" width="7.5703125" style="87" customWidth="1"/>
    <col min="1234" max="1235" width="13" style="87" customWidth="1"/>
    <col min="1236" max="1237" width="9.5703125" style="87" customWidth="1"/>
    <col min="1238" max="1240" width="7.85546875" style="87" customWidth="1"/>
    <col min="1241" max="1241" width="16.42578125" style="87" customWidth="1"/>
    <col min="1242" max="1242" width="6.140625" style="87" customWidth="1"/>
    <col min="1243" max="1243" width="8.28515625" style="87" customWidth="1"/>
    <col min="1244" max="1244" width="6.140625" style="87" customWidth="1"/>
    <col min="1245" max="1245" width="14.7109375" style="87" customWidth="1"/>
    <col min="1246" max="1248" width="11.5703125" style="87" customWidth="1"/>
    <col min="1249" max="1249" width="18" style="87" customWidth="1"/>
    <col min="1250" max="1250" width="16.28515625" style="87" customWidth="1"/>
    <col min="1251" max="1251" width="17.5703125" style="87" customWidth="1"/>
    <col min="1252" max="1252" width="15" style="87" bestFit="1" customWidth="1"/>
    <col min="1253" max="1253" width="14.7109375" style="87" bestFit="1" customWidth="1"/>
    <col min="1254" max="1256" width="14.7109375" style="87" customWidth="1"/>
    <col min="1257" max="1257" width="8.42578125" style="87" customWidth="1"/>
    <col min="1258" max="1261" width="11.42578125" style="87" customWidth="1"/>
    <col min="1262" max="1262" width="8.5703125" style="87" customWidth="1"/>
    <col min="1263" max="1263" width="12.140625" style="87" customWidth="1"/>
    <col min="1264" max="1264" width="11.28515625" style="87" customWidth="1"/>
    <col min="1265" max="1265" width="9.5703125" style="87" customWidth="1"/>
    <col min="1266" max="1266" width="8.7109375" style="87" customWidth="1"/>
    <col min="1267" max="1268" width="11.42578125" style="87" customWidth="1"/>
    <col min="1269" max="1269" width="9.7109375" style="87" customWidth="1"/>
    <col min="1270" max="1270" width="10" style="87" customWidth="1"/>
    <col min="1271" max="1271" width="11" style="87" bestFit="1" customWidth="1"/>
    <col min="1272" max="1274" width="11" style="87" customWidth="1"/>
    <col min="1275" max="1275" width="9.5703125" style="87" customWidth="1"/>
    <col min="1276" max="1276" width="13.5703125" style="87" bestFit="1" customWidth="1"/>
    <col min="1277" max="1278" width="18.140625" style="87" customWidth="1"/>
    <col min="1279" max="1473" width="11" style="87" customWidth="1"/>
    <col min="1474" max="1474" width="9.28515625" style="87" customWidth="1"/>
    <col min="1475" max="1476" width="11.28515625" style="87" bestFit="1" customWidth="1"/>
    <col min="1477" max="1478" width="12.140625" style="87" customWidth="1"/>
    <col min="1479" max="1479" width="9.5703125" style="87" customWidth="1"/>
    <col min="1480" max="1481" width="8.140625" style="87" bestFit="1" customWidth="1"/>
    <col min="1482" max="1485" width="11.28515625" style="87" customWidth="1"/>
    <col min="1486" max="1486" width="12.28515625" style="87" customWidth="1"/>
    <col min="1487" max="1488" width="12.5703125" style="87" customWidth="1"/>
    <col min="1489" max="1489" width="7.5703125" style="87" customWidth="1"/>
    <col min="1490" max="1491" width="13" style="87" customWidth="1"/>
    <col min="1492" max="1493" width="9.5703125" style="87" customWidth="1"/>
    <col min="1494" max="1496" width="7.85546875" style="87" customWidth="1"/>
    <col min="1497" max="1497" width="16.42578125" style="87" customWidth="1"/>
    <col min="1498" max="1498" width="6.140625" style="87" customWidth="1"/>
    <col min="1499" max="1499" width="8.28515625" style="87" customWidth="1"/>
    <col min="1500" max="1500" width="6.140625" style="87" customWidth="1"/>
    <col min="1501" max="1501" width="14.7109375" style="87" customWidth="1"/>
    <col min="1502" max="1504" width="11.5703125" style="87" customWidth="1"/>
    <col min="1505" max="1505" width="18" style="87" customWidth="1"/>
    <col min="1506" max="1506" width="16.28515625" style="87" customWidth="1"/>
    <col min="1507" max="1507" width="17.5703125" style="87" customWidth="1"/>
    <col min="1508" max="1508" width="15" style="87" bestFit="1" customWidth="1"/>
    <col min="1509" max="1509" width="14.7109375" style="87" bestFit="1" customWidth="1"/>
    <col min="1510" max="1512" width="14.7109375" style="87" customWidth="1"/>
    <col min="1513" max="1513" width="8.42578125" style="87" customWidth="1"/>
    <col min="1514" max="1517" width="11.42578125" style="87" customWidth="1"/>
    <col min="1518" max="1518" width="8.5703125" style="87" customWidth="1"/>
    <col min="1519" max="1519" width="12.140625" style="87" customWidth="1"/>
    <col min="1520" max="1520" width="11.28515625" style="87" customWidth="1"/>
    <col min="1521" max="1521" width="9.5703125" style="87" customWidth="1"/>
    <col min="1522" max="1522" width="8.7109375" style="87" customWidth="1"/>
    <col min="1523" max="1524" width="11.42578125" style="87" customWidth="1"/>
    <col min="1525" max="1525" width="9.7109375" style="87" customWidth="1"/>
    <col min="1526" max="1526" width="10" style="87" customWidth="1"/>
    <col min="1527" max="1527" width="11" style="87" bestFit="1" customWidth="1"/>
    <col min="1528" max="1530" width="11" style="87" customWidth="1"/>
    <col min="1531" max="1531" width="9.5703125" style="87" customWidth="1"/>
    <col min="1532" max="1532" width="13.5703125" style="87" bestFit="1" customWidth="1"/>
    <col min="1533" max="1534" width="18.140625" style="87" customWidth="1"/>
    <col min="1535" max="1729" width="11" style="87" customWidth="1"/>
    <col min="1730" max="1730" width="9.28515625" style="87" customWidth="1"/>
    <col min="1731" max="1732" width="11.28515625" style="87" bestFit="1" customWidth="1"/>
    <col min="1733" max="1734" width="12.140625" style="87" customWidth="1"/>
    <col min="1735" max="1735" width="9.5703125" style="87" customWidth="1"/>
    <col min="1736" max="1737" width="8.140625" style="87" bestFit="1" customWidth="1"/>
    <col min="1738" max="1741" width="11.28515625" style="87" customWidth="1"/>
    <col min="1742" max="1742" width="12.28515625" style="87" customWidth="1"/>
    <col min="1743" max="1744" width="12.5703125" style="87" customWidth="1"/>
    <col min="1745" max="1745" width="7.5703125" style="87" customWidth="1"/>
    <col min="1746" max="1747" width="13" style="87" customWidth="1"/>
    <col min="1748" max="1749" width="9.5703125" style="87" customWidth="1"/>
    <col min="1750" max="1752" width="7.85546875" style="87" customWidth="1"/>
    <col min="1753" max="1753" width="16.42578125" style="87" customWidth="1"/>
    <col min="1754" max="1754" width="6.140625" style="87" customWidth="1"/>
    <col min="1755" max="1755" width="8.28515625" style="87" customWidth="1"/>
    <col min="1756" max="1756" width="6.140625" style="87" customWidth="1"/>
    <col min="1757" max="1757" width="14.7109375" style="87" customWidth="1"/>
    <col min="1758" max="1760" width="11.5703125" style="87" customWidth="1"/>
    <col min="1761" max="1761" width="18" style="87" customWidth="1"/>
    <col min="1762" max="1762" width="16.28515625" style="87" customWidth="1"/>
    <col min="1763" max="1763" width="17.5703125" style="87" customWidth="1"/>
    <col min="1764" max="1764" width="15" style="87" bestFit="1" customWidth="1"/>
    <col min="1765" max="1765" width="14.7109375" style="87" bestFit="1" customWidth="1"/>
    <col min="1766" max="1768" width="14.7109375" style="87" customWidth="1"/>
    <col min="1769" max="1769" width="8.42578125" style="87" customWidth="1"/>
    <col min="1770" max="1773" width="11.42578125" style="87" customWidth="1"/>
    <col min="1774" max="1774" width="8.5703125" style="87" customWidth="1"/>
    <col min="1775" max="1775" width="12.140625" style="87" customWidth="1"/>
    <col min="1776" max="1776" width="11.28515625" style="87" customWidth="1"/>
    <col min="1777" max="1777" width="9.5703125" style="87" customWidth="1"/>
    <col min="1778" max="1778" width="8.7109375" style="87" customWidth="1"/>
    <col min="1779" max="1780" width="11.42578125" style="87" customWidth="1"/>
    <col min="1781" max="1781" width="9.7109375" style="87" customWidth="1"/>
    <col min="1782" max="1782" width="10" style="87" customWidth="1"/>
    <col min="1783" max="1783" width="11" style="87" bestFit="1" customWidth="1"/>
    <col min="1784" max="1786" width="11" style="87" customWidth="1"/>
    <col min="1787" max="1787" width="9.5703125" style="87" customWidth="1"/>
    <col min="1788" max="1788" width="13.5703125" style="87" bestFit="1" customWidth="1"/>
    <col min="1789" max="1790" width="18.140625" style="87" customWidth="1"/>
    <col min="1791" max="1985" width="11" style="87" customWidth="1"/>
    <col min="1986" max="1986" width="9.28515625" style="87" customWidth="1"/>
    <col min="1987" max="1988" width="11.28515625" style="87" bestFit="1" customWidth="1"/>
    <col min="1989" max="1990" width="12.140625" style="87" customWidth="1"/>
    <col min="1991" max="1991" width="9.5703125" style="87" customWidth="1"/>
    <col min="1992" max="1993" width="8.140625" style="87" bestFit="1" customWidth="1"/>
    <col min="1994" max="1997" width="11.28515625" style="87" customWidth="1"/>
    <col min="1998" max="1998" width="12.28515625" style="87" customWidth="1"/>
    <col min="1999" max="2000" width="12.5703125" style="87" customWidth="1"/>
    <col min="2001" max="2001" width="7.5703125" style="87" customWidth="1"/>
    <col min="2002" max="2003" width="13" style="87" customWidth="1"/>
    <col min="2004" max="2005" width="9.5703125" style="87" customWidth="1"/>
    <col min="2006" max="2008" width="7.85546875" style="87" customWidth="1"/>
    <col min="2009" max="2009" width="16.42578125" style="87" customWidth="1"/>
    <col min="2010" max="2010" width="6.140625" style="87" customWidth="1"/>
    <col min="2011" max="2011" width="8.28515625" style="87" customWidth="1"/>
    <col min="2012" max="2012" width="6.140625" style="87" customWidth="1"/>
    <col min="2013" max="2013" width="14.7109375" style="87" customWidth="1"/>
    <col min="2014" max="2016" width="11.5703125" style="87" customWidth="1"/>
    <col min="2017" max="2017" width="18" style="87" customWidth="1"/>
    <col min="2018" max="2018" width="16.28515625" style="87" customWidth="1"/>
    <col min="2019" max="2019" width="17.5703125" style="87" customWidth="1"/>
    <col min="2020" max="2020" width="15" style="87" bestFit="1" customWidth="1"/>
    <col min="2021" max="2021" width="14.7109375" style="87" bestFit="1" customWidth="1"/>
    <col min="2022" max="2024" width="14.7109375" style="87" customWidth="1"/>
    <col min="2025" max="2025" width="8.42578125" style="87" customWidth="1"/>
    <col min="2026" max="2029" width="11.42578125" style="87" customWidth="1"/>
    <col min="2030" max="2030" width="8.5703125" style="87" customWidth="1"/>
    <col min="2031" max="2031" width="12.140625" style="87" customWidth="1"/>
    <col min="2032" max="2032" width="11.28515625" style="87" customWidth="1"/>
    <col min="2033" max="2033" width="9.5703125" style="87" customWidth="1"/>
    <col min="2034" max="2034" width="8.7109375" style="87" customWidth="1"/>
    <col min="2035" max="2036" width="11.42578125" style="87" customWidth="1"/>
    <col min="2037" max="2037" width="9.7109375" style="87" customWidth="1"/>
    <col min="2038" max="2038" width="10" style="87" customWidth="1"/>
    <col min="2039" max="2039" width="11" style="87" bestFit="1" customWidth="1"/>
    <col min="2040" max="2042" width="11" style="87" customWidth="1"/>
    <col min="2043" max="2043" width="9.5703125" style="87" customWidth="1"/>
    <col min="2044" max="2044" width="13.5703125" style="87" bestFit="1" customWidth="1"/>
    <col min="2045" max="2046" width="18.140625" style="87" customWidth="1"/>
    <col min="2047" max="2241" width="11" style="87" customWidth="1"/>
    <col min="2242" max="2242" width="9.28515625" style="87" customWidth="1"/>
    <col min="2243" max="2244" width="11.28515625" style="87" bestFit="1" customWidth="1"/>
    <col min="2245" max="2246" width="12.140625" style="87" customWidth="1"/>
    <col min="2247" max="2247" width="9.5703125" style="87" customWidth="1"/>
    <col min="2248" max="2249" width="8.140625" style="87" bestFit="1" customWidth="1"/>
    <col min="2250" max="2253" width="11.28515625" style="87" customWidth="1"/>
    <col min="2254" max="2254" width="12.28515625" style="87" customWidth="1"/>
    <col min="2255" max="2256" width="12.5703125" style="87" customWidth="1"/>
    <col min="2257" max="2257" width="7.5703125" style="87" customWidth="1"/>
    <col min="2258" max="2259" width="13" style="87" customWidth="1"/>
    <col min="2260" max="2261" width="9.5703125" style="87" customWidth="1"/>
    <col min="2262" max="2264" width="7.85546875" style="87" customWidth="1"/>
    <col min="2265" max="2265" width="16.42578125" style="87" customWidth="1"/>
    <col min="2266" max="2266" width="6.140625" style="87" customWidth="1"/>
    <col min="2267" max="2267" width="8.28515625" style="87" customWidth="1"/>
    <col min="2268" max="2268" width="6.140625" style="87" customWidth="1"/>
    <col min="2269" max="2269" width="14.7109375" style="87" customWidth="1"/>
    <col min="2270" max="2272" width="11.5703125" style="87" customWidth="1"/>
    <col min="2273" max="2273" width="18" style="87" customWidth="1"/>
    <col min="2274" max="2274" width="16.28515625" style="87" customWidth="1"/>
    <col min="2275" max="2275" width="17.5703125" style="87" customWidth="1"/>
    <col min="2276" max="2276" width="15" style="87" bestFit="1" customWidth="1"/>
    <col min="2277" max="2277" width="14.7109375" style="87" bestFit="1" customWidth="1"/>
    <col min="2278" max="2280" width="14.7109375" style="87" customWidth="1"/>
    <col min="2281" max="2281" width="8.42578125" style="87" customWidth="1"/>
    <col min="2282" max="2285" width="11.42578125" style="87" customWidth="1"/>
    <col min="2286" max="2286" width="8.5703125" style="87" customWidth="1"/>
    <col min="2287" max="2287" width="12.140625" style="87" customWidth="1"/>
    <col min="2288" max="2288" width="11.28515625" style="87" customWidth="1"/>
    <col min="2289" max="2289" width="9.5703125" style="87" customWidth="1"/>
    <col min="2290" max="2290" width="8.7109375" style="87" customWidth="1"/>
    <col min="2291" max="2292" width="11.42578125" style="87" customWidth="1"/>
    <col min="2293" max="2293" width="9.7109375" style="87" customWidth="1"/>
    <col min="2294" max="2294" width="10" style="87" customWidth="1"/>
    <col min="2295" max="2295" width="11" style="87" bestFit="1" customWidth="1"/>
    <col min="2296" max="2298" width="11" style="87" customWidth="1"/>
    <col min="2299" max="2299" width="9.5703125" style="87" customWidth="1"/>
    <col min="2300" max="2300" width="13.5703125" style="87" bestFit="1" customWidth="1"/>
    <col min="2301" max="2302" width="18.140625" style="87" customWidth="1"/>
    <col min="2303" max="2497" width="11" style="87" customWidth="1"/>
    <col min="2498" max="2498" width="9.28515625" style="87" customWidth="1"/>
    <col min="2499" max="2500" width="11.28515625" style="87" bestFit="1" customWidth="1"/>
    <col min="2501" max="2502" width="12.140625" style="87" customWidth="1"/>
    <col min="2503" max="2503" width="9.5703125" style="87" customWidth="1"/>
    <col min="2504" max="2505" width="8.140625" style="87" bestFit="1" customWidth="1"/>
    <col min="2506" max="2509" width="11.28515625" style="87" customWidth="1"/>
    <col min="2510" max="2510" width="12.28515625" style="87" customWidth="1"/>
    <col min="2511" max="2512" width="12.5703125" style="87" customWidth="1"/>
    <col min="2513" max="2513" width="7.5703125" style="87" customWidth="1"/>
    <col min="2514" max="2515" width="13" style="87" customWidth="1"/>
    <col min="2516" max="2517" width="9.5703125" style="87" customWidth="1"/>
    <col min="2518" max="2520" width="7.85546875" style="87" customWidth="1"/>
    <col min="2521" max="2521" width="16.42578125" style="87" customWidth="1"/>
    <col min="2522" max="2522" width="6.140625" style="87" customWidth="1"/>
    <col min="2523" max="2523" width="8.28515625" style="87" customWidth="1"/>
    <col min="2524" max="2524" width="6.140625" style="87" customWidth="1"/>
    <col min="2525" max="2525" width="14.7109375" style="87" customWidth="1"/>
    <col min="2526" max="2528" width="11.5703125" style="87" customWidth="1"/>
    <col min="2529" max="2529" width="18" style="87" customWidth="1"/>
    <col min="2530" max="2530" width="16.28515625" style="87" customWidth="1"/>
    <col min="2531" max="2531" width="17.5703125" style="87" customWidth="1"/>
    <col min="2532" max="2532" width="15" style="87" bestFit="1" customWidth="1"/>
    <col min="2533" max="2533" width="14.7109375" style="87" bestFit="1" customWidth="1"/>
    <col min="2534" max="2536" width="14.7109375" style="87" customWidth="1"/>
    <col min="2537" max="2537" width="8.42578125" style="87" customWidth="1"/>
    <col min="2538" max="2541" width="11.42578125" style="87" customWidth="1"/>
    <col min="2542" max="2542" width="8.5703125" style="87" customWidth="1"/>
    <col min="2543" max="2543" width="12.140625" style="87" customWidth="1"/>
    <col min="2544" max="2544" width="11.28515625" style="87" customWidth="1"/>
    <col min="2545" max="2545" width="9.5703125" style="87" customWidth="1"/>
    <col min="2546" max="2546" width="8.7109375" style="87" customWidth="1"/>
    <col min="2547" max="2548" width="11.42578125" style="87" customWidth="1"/>
    <col min="2549" max="2549" width="9.7109375" style="87" customWidth="1"/>
    <col min="2550" max="2550" width="10" style="87" customWidth="1"/>
    <col min="2551" max="2551" width="11" style="87" bestFit="1" customWidth="1"/>
    <col min="2552" max="2554" width="11" style="87" customWidth="1"/>
    <col min="2555" max="2555" width="9.5703125" style="87" customWidth="1"/>
    <col min="2556" max="2556" width="13.5703125" style="87" bestFit="1" customWidth="1"/>
    <col min="2557" max="2558" width="18.140625" style="87" customWidth="1"/>
    <col min="2559" max="2753" width="11" style="87" customWidth="1"/>
    <col min="2754" max="2754" width="9.28515625" style="87" customWidth="1"/>
    <col min="2755" max="2756" width="11.28515625" style="87" bestFit="1" customWidth="1"/>
    <col min="2757" max="2758" width="12.140625" style="87" customWidth="1"/>
    <col min="2759" max="2759" width="9.5703125" style="87" customWidth="1"/>
    <col min="2760" max="2761" width="8.140625" style="87" bestFit="1" customWidth="1"/>
    <col min="2762" max="2765" width="11.28515625" style="87" customWidth="1"/>
    <col min="2766" max="2766" width="12.28515625" style="87" customWidth="1"/>
    <col min="2767" max="2768" width="12.5703125" style="87" customWidth="1"/>
    <col min="2769" max="2769" width="7.5703125" style="87" customWidth="1"/>
    <col min="2770" max="2771" width="13" style="87" customWidth="1"/>
    <col min="2772" max="2773" width="9.5703125" style="87" customWidth="1"/>
    <col min="2774" max="2776" width="7.85546875" style="87" customWidth="1"/>
    <col min="2777" max="2777" width="16.42578125" style="87" customWidth="1"/>
    <col min="2778" max="2778" width="6.140625" style="87" customWidth="1"/>
    <col min="2779" max="2779" width="8.28515625" style="87" customWidth="1"/>
    <col min="2780" max="2780" width="6.140625" style="87" customWidth="1"/>
    <col min="2781" max="2781" width="14.7109375" style="87" customWidth="1"/>
    <col min="2782" max="2784" width="11.5703125" style="87" customWidth="1"/>
    <col min="2785" max="2785" width="18" style="87" customWidth="1"/>
    <col min="2786" max="2786" width="16.28515625" style="87" customWidth="1"/>
    <col min="2787" max="2787" width="17.5703125" style="87" customWidth="1"/>
    <col min="2788" max="2788" width="15" style="87" bestFit="1" customWidth="1"/>
    <col min="2789" max="2789" width="14.7109375" style="87" bestFit="1" customWidth="1"/>
    <col min="2790" max="2792" width="14.7109375" style="87" customWidth="1"/>
    <col min="2793" max="2793" width="8.42578125" style="87" customWidth="1"/>
    <col min="2794" max="2797" width="11.42578125" style="87" customWidth="1"/>
    <col min="2798" max="2798" width="8.5703125" style="87" customWidth="1"/>
    <col min="2799" max="2799" width="12.140625" style="87" customWidth="1"/>
    <col min="2800" max="2800" width="11.28515625" style="87" customWidth="1"/>
    <col min="2801" max="2801" width="9.5703125" style="87" customWidth="1"/>
    <col min="2802" max="2802" width="8.7109375" style="87" customWidth="1"/>
    <col min="2803" max="2804" width="11.42578125" style="87" customWidth="1"/>
    <col min="2805" max="2805" width="9.7109375" style="87" customWidth="1"/>
    <col min="2806" max="2806" width="10" style="87" customWidth="1"/>
    <col min="2807" max="2807" width="11" style="87" bestFit="1" customWidth="1"/>
    <col min="2808" max="2810" width="11" style="87" customWidth="1"/>
    <col min="2811" max="2811" width="9.5703125" style="87" customWidth="1"/>
    <col min="2812" max="2812" width="13.5703125" style="87" bestFit="1" customWidth="1"/>
    <col min="2813" max="2814" width="18.140625" style="87" customWidth="1"/>
    <col min="2815" max="3009" width="11" style="87" customWidth="1"/>
    <col min="3010" max="3010" width="9.28515625" style="87" customWidth="1"/>
    <col min="3011" max="3012" width="11.28515625" style="87" bestFit="1" customWidth="1"/>
    <col min="3013" max="3014" width="12.140625" style="87" customWidth="1"/>
    <col min="3015" max="3015" width="9.5703125" style="87" customWidth="1"/>
    <col min="3016" max="3017" width="8.140625" style="87" bestFit="1" customWidth="1"/>
    <col min="3018" max="3021" width="11.28515625" style="87" customWidth="1"/>
    <col min="3022" max="3022" width="12.28515625" style="87" customWidth="1"/>
    <col min="3023" max="3024" width="12.5703125" style="87" customWidth="1"/>
    <col min="3025" max="3025" width="7.5703125" style="87" customWidth="1"/>
    <col min="3026" max="3027" width="13" style="87" customWidth="1"/>
    <col min="3028" max="3029" width="9.5703125" style="87" customWidth="1"/>
    <col min="3030" max="3032" width="7.85546875" style="87" customWidth="1"/>
    <col min="3033" max="3033" width="16.42578125" style="87" customWidth="1"/>
    <col min="3034" max="3034" width="6.140625" style="87" customWidth="1"/>
    <col min="3035" max="3035" width="8.28515625" style="87" customWidth="1"/>
    <col min="3036" max="3036" width="6.140625" style="87" customWidth="1"/>
    <col min="3037" max="3037" width="14.7109375" style="87" customWidth="1"/>
    <col min="3038" max="3040" width="11.5703125" style="87" customWidth="1"/>
    <col min="3041" max="3041" width="18" style="87" customWidth="1"/>
    <col min="3042" max="3042" width="16.28515625" style="87" customWidth="1"/>
    <col min="3043" max="3043" width="17.5703125" style="87" customWidth="1"/>
    <col min="3044" max="3044" width="15" style="87" bestFit="1" customWidth="1"/>
    <col min="3045" max="3045" width="14.7109375" style="87" bestFit="1" customWidth="1"/>
    <col min="3046" max="3048" width="14.7109375" style="87" customWidth="1"/>
    <col min="3049" max="3049" width="8.42578125" style="87" customWidth="1"/>
    <col min="3050" max="3053" width="11.42578125" style="87" customWidth="1"/>
    <col min="3054" max="3054" width="8.5703125" style="87" customWidth="1"/>
    <col min="3055" max="3055" width="12.140625" style="87" customWidth="1"/>
    <col min="3056" max="3056" width="11.28515625" style="87" customWidth="1"/>
    <col min="3057" max="3057" width="9.5703125" style="87" customWidth="1"/>
    <col min="3058" max="3058" width="8.7109375" style="87" customWidth="1"/>
    <col min="3059" max="3060" width="11.42578125" style="87" customWidth="1"/>
    <col min="3061" max="3061" width="9.7109375" style="87" customWidth="1"/>
    <col min="3062" max="3062" width="10" style="87" customWidth="1"/>
    <col min="3063" max="3063" width="11" style="87" bestFit="1" customWidth="1"/>
    <col min="3064" max="3066" width="11" style="87" customWidth="1"/>
    <col min="3067" max="3067" width="9.5703125" style="87" customWidth="1"/>
    <col min="3068" max="3068" width="13.5703125" style="87" bestFit="1" customWidth="1"/>
    <col min="3069" max="3070" width="18.140625" style="87" customWidth="1"/>
    <col min="3071" max="3265" width="11" style="87" customWidth="1"/>
    <col min="3266" max="3266" width="9.28515625" style="87" customWidth="1"/>
    <col min="3267" max="3268" width="11.28515625" style="87" bestFit="1" customWidth="1"/>
    <col min="3269" max="3270" width="12.140625" style="87" customWidth="1"/>
    <col min="3271" max="3271" width="9.5703125" style="87" customWidth="1"/>
    <col min="3272" max="3273" width="8.140625" style="87" bestFit="1" customWidth="1"/>
    <col min="3274" max="3277" width="11.28515625" style="87" customWidth="1"/>
    <col min="3278" max="3278" width="12.28515625" style="87" customWidth="1"/>
    <col min="3279" max="3280" width="12.5703125" style="87" customWidth="1"/>
    <col min="3281" max="3281" width="7.5703125" style="87" customWidth="1"/>
    <col min="3282" max="3283" width="13" style="87" customWidth="1"/>
    <col min="3284" max="3285" width="9.5703125" style="87" customWidth="1"/>
    <col min="3286" max="3288" width="7.85546875" style="87" customWidth="1"/>
    <col min="3289" max="3289" width="16.42578125" style="87" customWidth="1"/>
    <col min="3290" max="3290" width="6.140625" style="87" customWidth="1"/>
    <col min="3291" max="3291" width="8.28515625" style="87" customWidth="1"/>
    <col min="3292" max="3292" width="6.140625" style="87" customWidth="1"/>
    <col min="3293" max="3293" width="14.7109375" style="87" customWidth="1"/>
    <col min="3294" max="3296" width="11.5703125" style="87" customWidth="1"/>
    <col min="3297" max="3297" width="18" style="87" customWidth="1"/>
    <col min="3298" max="3298" width="16.28515625" style="87" customWidth="1"/>
    <col min="3299" max="3299" width="17.5703125" style="87" customWidth="1"/>
    <col min="3300" max="3300" width="15" style="87" bestFit="1" customWidth="1"/>
    <col min="3301" max="3301" width="14.7109375" style="87" bestFit="1" customWidth="1"/>
    <col min="3302" max="3304" width="14.7109375" style="87" customWidth="1"/>
    <col min="3305" max="3305" width="8.42578125" style="87" customWidth="1"/>
    <col min="3306" max="3309" width="11.42578125" style="87" customWidth="1"/>
    <col min="3310" max="3310" width="8.5703125" style="87" customWidth="1"/>
    <col min="3311" max="3311" width="12.140625" style="87" customWidth="1"/>
    <col min="3312" max="3312" width="11.28515625" style="87" customWidth="1"/>
    <col min="3313" max="3313" width="9.5703125" style="87" customWidth="1"/>
    <col min="3314" max="3314" width="8.7109375" style="87" customWidth="1"/>
    <col min="3315" max="3316" width="11.42578125" style="87" customWidth="1"/>
    <col min="3317" max="3317" width="9.7109375" style="87" customWidth="1"/>
    <col min="3318" max="3318" width="10" style="87" customWidth="1"/>
    <col min="3319" max="3319" width="11" style="87" bestFit="1" customWidth="1"/>
    <col min="3320" max="3322" width="11" style="87" customWidth="1"/>
    <col min="3323" max="3323" width="9.5703125" style="87" customWidth="1"/>
    <col min="3324" max="3324" width="13.5703125" style="87" bestFit="1" customWidth="1"/>
    <col min="3325" max="3326" width="18.140625" style="87" customWidth="1"/>
    <col min="3327" max="3521" width="11" style="87" customWidth="1"/>
    <col min="3522" max="3522" width="9.28515625" style="87" customWidth="1"/>
    <col min="3523" max="3524" width="11.28515625" style="87" bestFit="1" customWidth="1"/>
    <col min="3525" max="3526" width="12.140625" style="87" customWidth="1"/>
    <col min="3527" max="3527" width="9.5703125" style="87" customWidth="1"/>
    <col min="3528" max="3529" width="8.140625" style="87" bestFit="1" customWidth="1"/>
    <col min="3530" max="3533" width="11.28515625" style="87" customWidth="1"/>
    <col min="3534" max="3534" width="12.28515625" style="87" customWidth="1"/>
    <col min="3535" max="3536" width="12.5703125" style="87" customWidth="1"/>
    <col min="3537" max="3537" width="7.5703125" style="87" customWidth="1"/>
    <col min="3538" max="3539" width="13" style="87" customWidth="1"/>
    <col min="3540" max="3541" width="9.5703125" style="87" customWidth="1"/>
    <col min="3542" max="3544" width="7.85546875" style="87" customWidth="1"/>
    <col min="3545" max="3545" width="16.42578125" style="87" customWidth="1"/>
    <col min="3546" max="3546" width="6.140625" style="87" customWidth="1"/>
    <col min="3547" max="3547" width="8.28515625" style="87" customWidth="1"/>
    <col min="3548" max="3548" width="6.140625" style="87" customWidth="1"/>
    <col min="3549" max="3549" width="14.7109375" style="87" customWidth="1"/>
    <col min="3550" max="3552" width="11.5703125" style="87" customWidth="1"/>
    <col min="3553" max="3553" width="18" style="87" customWidth="1"/>
    <col min="3554" max="3554" width="16.28515625" style="87" customWidth="1"/>
    <col min="3555" max="3555" width="17.5703125" style="87" customWidth="1"/>
    <col min="3556" max="3556" width="15" style="87" bestFit="1" customWidth="1"/>
    <col min="3557" max="3557" width="14.7109375" style="87" bestFit="1" customWidth="1"/>
    <col min="3558" max="3560" width="14.7109375" style="87" customWidth="1"/>
    <col min="3561" max="3561" width="8.42578125" style="87" customWidth="1"/>
    <col min="3562" max="3565" width="11.42578125" style="87" customWidth="1"/>
    <col min="3566" max="3566" width="8.5703125" style="87" customWidth="1"/>
    <col min="3567" max="3567" width="12.140625" style="87" customWidth="1"/>
    <col min="3568" max="3568" width="11.28515625" style="87" customWidth="1"/>
    <col min="3569" max="3569" width="9.5703125" style="87" customWidth="1"/>
    <col min="3570" max="3570" width="8.7109375" style="87" customWidth="1"/>
    <col min="3571" max="3572" width="11.42578125" style="87" customWidth="1"/>
    <col min="3573" max="3573" width="9.7109375" style="87" customWidth="1"/>
    <col min="3574" max="3574" width="10" style="87" customWidth="1"/>
    <col min="3575" max="3575" width="11" style="87" bestFit="1" customWidth="1"/>
    <col min="3576" max="3578" width="11" style="87" customWidth="1"/>
    <col min="3579" max="3579" width="9.5703125" style="87" customWidth="1"/>
    <col min="3580" max="3580" width="13.5703125" style="87" bestFit="1" customWidth="1"/>
    <col min="3581" max="3582" width="18.140625" style="87" customWidth="1"/>
    <col min="3583" max="3777" width="11" style="87" customWidth="1"/>
    <col min="3778" max="3778" width="9.28515625" style="87" customWidth="1"/>
    <col min="3779" max="3780" width="11.28515625" style="87" bestFit="1" customWidth="1"/>
    <col min="3781" max="3782" width="12.140625" style="87" customWidth="1"/>
    <col min="3783" max="3783" width="9.5703125" style="87" customWidth="1"/>
    <col min="3784" max="3785" width="8.140625" style="87" bestFit="1" customWidth="1"/>
    <col min="3786" max="3789" width="11.28515625" style="87" customWidth="1"/>
    <col min="3790" max="3790" width="12.28515625" style="87" customWidth="1"/>
    <col min="3791" max="3792" width="12.5703125" style="87" customWidth="1"/>
    <col min="3793" max="3793" width="7.5703125" style="87" customWidth="1"/>
    <col min="3794" max="3795" width="13" style="87" customWidth="1"/>
    <col min="3796" max="3797" width="9.5703125" style="87" customWidth="1"/>
    <col min="3798" max="3800" width="7.85546875" style="87" customWidth="1"/>
    <col min="3801" max="3801" width="16.42578125" style="87" customWidth="1"/>
    <col min="3802" max="3802" width="6.140625" style="87" customWidth="1"/>
    <col min="3803" max="3803" width="8.28515625" style="87" customWidth="1"/>
    <col min="3804" max="3804" width="6.140625" style="87" customWidth="1"/>
    <col min="3805" max="3805" width="14.7109375" style="87" customWidth="1"/>
    <col min="3806" max="3808" width="11.5703125" style="87" customWidth="1"/>
    <col min="3809" max="3809" width="18" style="87" customWidth="1"/>
    <col min="3810" max="3810" width="16.28515625" style="87" customWidth="1"/>
    <col min="3811" max="3811" width="17.5703125" style="87" customWidth="1"/>
    <col min="3812" max="3812" width="15" style="87" bestFit="1" customWidth="1"/>
    <col min="3813" max="3813" width="14.7109375" style="87" bestFit="1" customWidth="1"/>
    <col min="3814" max="3816" width="14.7109375" style="87" customWidth="1"/>
    <col min="3817" max="3817" width="8.42578125" style="87" customWidth="1"/>
    <col min="3818" max="3821" width="11.42578125" style="87" customWidth="1"/>
    <col min="3822" max="3822" width="8.5703125" style="87" customWidth="1"/>
    <col min="3823" max="3823" width="12.140625" style="87" customWidth="1"/>
    <col min="3824" max="3824" width="11.28515625" style="87" customWidth="1"/>
    <col min="3825" max="3825" width="9.5703125" style="87" customWidth="1"/>
    <col min="3826" max="3826" width="8.7109375" style="87" customWidth="1"/>
    <col min="3827" max="3828" width="11.42578125" style="87" customWidth="1"/>
    <col min="3829" max="3829" width="9.7109375" style="87" customWidth="1"/>
    <col min="3830" max="3830" width="10" style="87" customWidth="1"/>
    <col min="3831" max="3831" width="11" style="87" bestFit="1" customWidth="1"/>
    <col min="3832" max="3834" width="11" style="87" customWidth="1"/>
    <col min="3835" max="3835" width="9.5703125" style="87" customWidth="1"/>
    <col min="3836" max="3836" width="13.5703125" style="87" bestFit="1" customWidth="1"/>
    <col min="3837" max="3838" width="18.140625" style="87" customWidth="1"/>
    <col min="3839" max="4033" width="11" style="87" customWidth="1"/>
    <col min="4034" max="4034" width="9.28515625" style="87" customWidth="1"/>
    <col min="4035" max="4036" width="11.28515625" style="87" bestFit="1" customWidth="1"/>
    <col min="4037" max="4038" width="12.140625" style="87" customWidth="1"/>
    <col min="4039" max="4039" width="9.5703125" style="87" customWidth="1"/>
    <col min="4040" max="4041" width="8.140625" style="87" bestFit="1" customWidth="1"/>
    <col min="4042" max="4045" width="11.28515625" style="87" customWidth="1"/>
    <col min="4046" max="4046" width="12.28515625" style="87" customWidth="1"/>
    <col min="4047" max="4048" width="12.5703125" style="87" customWidth="1"/>
    <col min="4049" max="4049" width="7.5703125" style="87" customWidth="1"/>
    <col min="4050" max="4051" width="13" style="87" customWidth="1"/>
    <col min="4052" max="4053" width="9.5703125" style="87" customWidth="1"/>
    <col min="4054" max="4056" width="7.85546875" style="87" customWidth="1"/>
    <col min="4057" max="4057" width="16.42578125" style="87" customWidth="1"/>
    <col min="4058" max="4058" width="6.140625" style="87" customWidth="1"/>
    <col min="4059" max="4059" width="8.28515625" style="87" customWidth="1"/>
    <col min="4060" max="4060" width="6.140625" style="87" customWidth="1"/>
    <col min="4061" max="4061" width="14.7109375" style="87" customWidth="1"/>
    <col min="4062" max="4064" width="11.5703125" style="87" customWidth="1"/>
    <col min="4065" max="4065" width="18" style="87" customWidth="1"/>
    <col min="4066" max="4066" width="16.28515625" style="87" customWidth="1"/>
    <col min="4067" max="4067" width="17.5703125" style="87" customWidth="1"/>
    <col min="4068" max="4068" width="15" style="87" bestFit="1" customWidth="1"/>
    <col min="4069" max="4069" width="14.7109375" style="87" bestFit="1" customWidth="1"/>
    <col min="4070" max="4072" width="14.7109375" style="87" customWidth="1"/>
    <col min="4073" max="4073" width="8.42578125" style="87" customWidth="1"/>
    <col min="4074" max="4077" width="11.42578125" style="87" customWidth="1"/>
    <col min="4078" max="4078" width="8.5703125" style="87" customWidth="1"/>
    <col min="4079" max="4079" width="12.140625" style="87" customWidth="1"/>
    <col min="4080" max="4080" width="11.28515625" style="87" customWidth="1"/>
    <col min="4081" max="4081" width="9.5703125" style="87" customWidth="1"/>
    <col min="4082" max="4082" width="8.7109375" style="87" customWidth="1"/>
    <col min="4083" max="4084" width="11.42578125" style="87" customWidth="1"/>
    <col min="4085" max="4085" width="9.7109375" style="87" customWidth="1"/>
    <col min="4086" max="4086" width="10" style="87" customWidth="1"/>
    <col min="4087" max="4087" width="11" style="87" bestFit="1" customWidth="1"/>
    <col min="4088" max="4090" width="11" style="87" customWidth="1"/>
    <col min="4091" max="4091" width="9.5703125" style="87" customWidth="1"/>
    <col min="4092" max="4092" width="13.5703125" style="87" bestFit="1" customWidth="1"/>
    <col min="4093" max="4094" width="18.140625" style="87" customWidth="1"/>
    <col min="4095" max="4289" width="11" style="87" customWidth="1"/>
    <col min="4290" max="4290" width="9.28515625" style="87" customWidth="1"/>
    <col min="4291" max="4292" width="11.28515625" style="87" bestFit="1" customWidth="1"/>
    <col min="4293" max="4294" width="12.140625" style="87" customWidth="1"/>
    <col min="4295" max="4295" width="9.5703125" style="87" customWidth="1"/>
    <col min="4296" max="4297" width="8.140625" style="87" bestFit="1" customWidth="1"/>
    <col min="4298" max="4301" width="11.28515625" style="87" customWidth="1"/>
    <col min="4302" max="4302" width="12.28515625" style="87" customWidth="1"/>
    <col min="4303" max="4304" width="12.5703125" style="87" customWidth="1"/>
    <col min="4305" max="4305" width="7.5703125" style="87" customWidth="1"/>
    <col min="4306" max="4307" width="13" style="87" customWidth="1"/>
    <col min="4308" max="4309" width="9.5703125" style="87" customWidth="1"/>
    <col min="4310" max="4312" width="7.85546875" style="87" customWidth="1"/>
    <col min="4313" max="4313" width="16.42578125" style="87" customWidth="1"/>
    <col min="4314" max="4314" width="6.140625" style="87" customWidth="1"/>
    <col min="4315" max="4315" width="8.28515625" style="87" customWidth="1"/>
    <col min="4316" max="4316" width="6.140625" style="87" customWidth="1"/>
    <col min="4317" max="4317" width="14.7109375" style="87" customWidth="1"/>
    <col min="4318" max="4320" width="11.5703125" style="87" customWidth="1"/>
    <col min="4321" max="4321" width="18" style="87" customWidth="1"/>
    <col min="4322" max="4322" width="16.28515625" style="87" customWidth="1"/>
    <col min="4323" max="4323" width="17.5703125" style="87" customWidth="1"/>
    <col min="4324" max="4324" width="15" style="87" bestFit="1" customWidth="1"/>
    <col min="4325" max="4325" width="14.7109375" style="87" bestFit="1" customWidth="1"/>
    <col min="4326" max="4328" width="14.7109375" style="87" customWidth="1"/>
    <col min="4329" max="4329" width="8.42578125" style="87" customWidth="1"/>
    <col min="4330" max="4333" width="11.42578125" style="87" customWidth="1"/>
    <col min="4334" max="4334" width="8.5703125" style="87" customWidth="1"/>
    <col min="4335" max="4335" width="12.140625" style="87" customWidth="1"/>
    <col min="4336" max="4336" width="11.28515625" style="87" customWidth="1"/>
    <col min="4337" max="4337" width="9.5703125" style="87" customWidth="1"/>
    <col min="4338" max="4338" width="8.7109375" style="87" customWidth="1"/>
    <col min="4339" max="4340" width="11.42578125" style="87" customWidth="1"/>
    <col min="4341" max="4341" width="9.7109375" style="87" customWidth="1"/>
    <col min="4342" max="4342" width="10" style="87" customWidth="1"/>
    <col min="4343" max="4343" width="11" style="87" bestFit="1" customWidth="1"/>
    <col min="4344" max="4346" width="11" style="87" customWidth="1"/>
    <col min="4347" max="4347" width="9.5703125" style="87" customWidth="1"/>
    <col min="4348" max="4348" width="13.5703125" style="87" bestFit="1" customWidth="1"/>
    <col min="4349" max="4350" width="18.140625" style="87" customWidth="1"/>
    <col min="4351" max="4545" width="11" style="87" customWidth="1"/>
    <col min="4546" max="4546" width="9.28515625" style="87" customWidth="1"/>
    <col min="4547" max="4548" width="11.28515625" style="87" bestFit="1" customWidth="1"/>
    <col min="4549" max="4550" width="12.140625" style="87" customWidth="1"/>
    <col min="4551" max="4551" width="9.5703125" style="87" customWidth="1"/>
    <col min="4552" max="4553" width="8.140625" style="87" bestFit="1" customWidth="1"/>
    <col min="4554" max="4557" width="11.28515625" style="87" customWidth="1"/>
    <col min="4558" max="4558" width="12.28515625" style="87" customWidth="1"/>
    <col min="4559" max="4560" width="12.5703125" style="87" customWidth="1"/>
    <col min="4561" max="4561" width="7.5703125" style="87" customWidth="1"/>
    <col min="4562" max="4563" width="13" style="87" customWidth="1"/>
    <col min="4564" max="4565" width="9.5703125" style="87" customWidth="1"/>
    <col min="4566" max="4568" width="7.85546875" style="87" customWidth="1"/>
    <col min="4569" max="4569" width="16.42578125" style="87" customWidth="1"/>
    <col min="4570" max="4570" width="6.140625" style="87" customWidth="1"/>
    <col min="4571" max="4571" width="8.28515625" style="87" customWidth="1"/>
    <col min="4572" max="4572" width="6.140625" style="87" customWidth="1"/>
    <col min="4573" max="4573" width="14.7109375" style="87" customWidth="1"/>
    <col min="4574" max="4576" width="11.5703125" style="87" customWidth="1"/>
    <col min="4577" max="4577" width="18" style="87" customWidth="1"/>
    <col min="4578" max="4578" width="16.28515625" style="87" customWidth="1"/>
    <col min="4579" max="4579" width="17.5703125" style="87" customWidth="1"/>
    <col min="4580" max="4580" width="15" style="87" bestFit="1" customWidth="1"/>
    <col min="4581" max="4581" width="14.7109375" style="87" bestFit="1" customWidth="1"/>
    <col min="4582" max="4584" width="14.7109375" style="87" customWidth="1"/>
    <col min="4585" max="4585" width="8.42578125" style="87" customWidth="1"/>
    <col min="4586" max="4589" width="11.42578125" style="87" customWidth="1"/>
    <col min="4590" max="4590" width="8.5703125" style="87" customWidth="1"/>
    <col min="4591" max="4591" width="12.140625" style="87" customWidth="1"/>
    <col min="4592" max="4592" width="11.28515625" style="87" customWidth="1"/>
    <col min="4593" max="4593" width="9.5703125" style="87" customWidth="1"/>
    <col min="4594" max="4594" width="8.7109375" style="87" customWidth="1"/>
    <col min="4595" max="4596" width="11.42578125" style="87" customWidth="1"/>
    <col min="4597" max="4597" width="9.7109375" style="87" customWidth="1"/>
    <col min="4598" max="4598" width="10" style="87" customWidth="1"/>
    <col min="4599" max="4599" width="11" style="87" bestFit="1" customWidth="1"/>
    <col min="4600" max="4602" width="11" style="87" customWidth="1"/>
    <col min="4603" max="4603" width="9.5703125" style="87" customWidth="1"/>
    <col min="4604" max="4604" width="13.5703125" style="87" bestFit="1" customWidth="1"/>
    <col min="4605" max="4606" width="18.140625" style="87" customWidth="1"/>
    <col min="4607" max="4801" width="11" style="87" customWidth="1"/>
    <col min="4802" max="4802" width="9.28515625" style="87" customWidth="1"/>
    <col min="4803" max="4804" width="11.28515625" style="87" bestFit="1" customWidth="1"/>
    <col min="4805" max="4806" width="12.140625" style="87" customWidth="1"/>
    <col min="4807" max="4807" width="9.5703125" style="87" customWidth="1"/>
    <col min="4808" max="4809" width="8.140625" style="87" bestFit="1" customWidth="1"/>
    <col min="4810" max="4813" width="11.28515625" style="87" customWidth="1"/>
    <col min="4814" max="4814" width="12.28515625" style="87" customWidth="1"/>
    <col min="4815" max="4816" width="12.5703125" style="87" customWidth="1"/>
    <col min="4817" max="4817" width="7.5703125" style="87" customWidth="1"/>
    <col min="4818" max="4819" width="13" style="87" customWidth="1"/>
    <col min="4820" max="4821" width="9.5703125" style="87" customWidth="1"/>
    <col min="4822" max="4824" width="7.85546875" style="87" customWidth="1"/>
    <col min="4825" max="4825" width="16.42578125" style="87" customWidth="1"/>
    <col min="4826" max="4826" width="6.140625" style="87" customWidth="1"/>
    <col min="4827" max="4827" width="8.28515625" style="87" customWidth="1"/>
    <col min="4828" max="4828" width="6.140625" style="87" customWidth="1"/>
    <col min="4829" max="4829" width="14.7109375" style="87" customWidth="1"/>
    <col min="4830" max="4832" width="11.5703125" style="87" customWidth="1"/>
    <col min="4833" max="4833" width="18" style="87" customWidth="1"/>
    <col min="4834" max="4834" width="16.28515625" style="87" customWidth="1"/>
    <col min="4835" max="4835" width="17.5703125" style="87" customWidth="1"/>
    <col min="4836" max="4836" width="15" style="87" bestFit="1" customWidth="1"/>
    <col min="4837" max="4837" width="14.7109375" style="87" bestFit="1" customWidth="1"/>
    <col min="4838" max="4840" width="14.7109375" style="87" customWidth="1"/>
    <col min="4841" max="4841" width="8.42578125" style="87" customWidth="1"/>
    <col min="4842" max="4845" width="11.42578125" style="87" customWidth="1"/>
    <col min="4846" max="4846" width="8.5703125" style="87" customWidth="1"/>
    <col min="4847" max="4847" width="12.140625" style="87" customWidth="1"/>
    <col min="4848" max="4848" width="11.28515625" style="87" customWidth="1"/>
    <col min="4849" max="4849" width="9.5703125" style="87" customWidth="1"/>
    <col min="4850" max="4850" width="8.7109375" style="87" customWidth="1"/>
    <col min="4851" max="4852" width="11.42578125" style="87" customWidth="1"/>
    <col min="4853" max="4853" width="9.7109375" style="87" customWidth="1"/>
    <col min="4854" max="4854" width="10" style="87" customWidth="1"/>
    <col min="4855" max="4855" width="11" style="87" bestFit="1" customWidth="1"/>
    <col min="4856" max="4858" width="11" style="87" customWidth="1"/>
    <col min="4859" max="4859" width="9.5703125" style="87" customWidth="1"/>
    <col min="4860" max="4860" width="13.5703125" style="87" bestFit="1" customWidth="1"/>
    <col min="4861" max="4862" width="18.140625" style="87" customWidth="1"/>
    <col min="4863" max="5057" width="11" style="87" customWidth="1"/>
    <col min="5058" max="5058" width="9.28515625" style="87" customWidth="1"/>
    <col min="5059" max="5060" width="11.28515625" style="87" bestFit="1" customWidth="1"/>
    <col min="5061" max="5062" width="12.140625" style="87" customWidth="1"/>
    <col min="5063" max="5063" width="9.5703125" style="87" customWidth="1"/>
    <col min="5064" max="5065" width="8.140625" style="87" bestFit="1" customWidth="1"/>
    <col min="5066" max="5069" width="11.28515625" style="87" customWidth="1"/>
    <col min="5070" max="5070" width="12.28515625" style="87" customWidth="1"/>
    <col min="5071" max="5072" width="12.5703125" style="87" customWidth="1"/>
    <col min="5073" max="5073" width="7.5703125" style="87" customWidth="1"/>
    <col min="5074" max="5075" width="13" style="87" customWidth="1"/>
    <col min="5076" max="5077" width="9.5703125" style="87" customWidth="1"/>
    <col min="5078" max="5080" width="7.85546875" style="87" customWidth="1"/>
    <col min="5081" max="5081" width="16.42578125" style="87" customWidth="1"/>
    <col min="5082" max="5082" width="6.140625" style="87" customWidth="1"/>
    <col min="5083" max="5083" width="8.28515625" style="87" customWidth="1"/>
    <col min="5084" max="5084" width="6.140625" style="87" customWidth="1"/>
    <col min="5085" max="5085" width="14.7109375" style="87" customWidth="1"/>
    <col min="5086" max="5088" width="11.5703125" style="87" customWidth="1"/>
    <col min="5089" max="5089" width="18" style="87" customWidth="1"/>
    <col min="5090" max="5090" width="16.28515625" style="87" customWidth="1"/>
    <col min="5091" max="5091" width="17.5703125" style="87" customWidth="1"/>
    <col min="5092" max="5092" width="15" style="87" bestFit="1" customWidth="1"/>
    <col min="5093" max="5093" width="14.7109375" style="87" bestFit="1" customWidth="1"/>
    <col min="5094" max="5096" width="14.7109375" style="87" customWidth="1"/>
    <col min="5097" max="5097" width="8.42578125" style="87" customWidth="1"/>
    <col min="5098" max="5101" width="11.42578125" style="87" customWidth="1"/>
    <col min="5102" max="5102" width="8.5703125" style="87" customWidth="1"/>
    <col min="5103" max="5103" width="12.140625" style="87" customWidth="1"/>
    <col min="5104" max="5104" width="11.28515625" style="87" customWidth="1"/>
    <col min="5105" max="5105" width="9.5703125" style="87" customWidth="1"/>
    <col min="5106" max="5106" width="8.7109375" style="87" customWidth="1"/>
    <col min="5107" max="5108" width="11.42578125" style="87" customWidth="1"/>
    <col min="5109" max="5109" width="9.7109375" style="87" customWidth="1"/>
    <col min="5110" max="5110" width="10" style="87" customWidth="1"/>
    <col min="5111" max="5111" width="11" style="87" bestFit="1" customWidth="1"/>
    <col min="5112" max="5114" width="11" style="87" customWidth="1"/>
    <col min="5115" max="5115" width="9.5703125" style="87" customWidth="1"/>
    <col min="5116" max="5116" width="13.5703125" style="87" bestFit="1" customWidth="1"/>
    <col min="5117" max="5118" width="18.140625" style="87" customWidth="1"/>
    <col min="5119" max="5313" width="11" style="87" customWidth="1"/>
    <col min="5314" max="5314" width="9.28515625" style="87" customWidth="1"/>
    <col min="5315" max="5316" width="11.28515625" style="87" bestFit="1" customWidth="1"/>
    <col min="5317" max="5318" width="12.140625" style="87" customWidth="1"/>
    <col min="5319" max="5319" width="9.5703125" style="87" customWidth="1"/>
    <col min="5320" max="5321" width="8.140625" style="87" bestFit="1" customWidth="1"/>
    <col min="5322" max="5325" width="11.28515625" style="87" customWidth="1"/>
    <col min="5326" max="5326" width="12.28515625" style="87" customWidth="1"/>
    <col min="5327" max="5328" width="12.5703125" style="87" customWidth="1"/>
    <col min="5329" max="5329" width="7.5703125" style="87" customWidth="1"/>
    <col min="5330" max="5331" width="13" style="87" customWidth="1"/>
    <col min="5332" max="5333" width="9.5703125" style="87" customWidth="1"/>
    <col min="5334" max="5336" width="7.85546875" style="87" customWidth="1"/>
    <col min="5337" max="5337" width="16.42578125" style="87" customWidth="1"/>
    <col min="5338" max="5338" width="6.140625" style="87" customWidth="1"/>
    <col min="5339" max="5339" width="8.28515625" style="87" customWidth="1"/>
    <col min="5340" max="5340" width="6.140625" style="87" customWidth="1"/>
    <col min="5341" max="5341" width="14.7109375" style="87" customWidth="1"/>
    <col min="5342" max="5344" width="11.5703125" style="87" customWidth="1"/>
    <col min="5345" max="5345" width="18" style="87" customWidth="1"/>
    <col min="5346" max="5346" width="16.28515625" style="87" customWidth="1"/>
    <col min="5347" max="5347" width="17.5703125" style="87" customWidth="1"/>
    <col min="5348" max="5348" width="15" style="87" bestFit="1" customWidth="1"/>
    <col min="5349" max="5349" width="14.7109375" style="87" bestFit="1" customWidth="1"/>
    <col min="5350" max="5352" width="14.7109375" style="87" customWidth="1"/>
    <col min="5353" max="5353" width="8.42578125" style="87" customWidth="1"/>
    <col min="5354" max="5357" width="11.42578125" style="87" customWidth="1"/>
    <col min="5358" max="5358" width="8.5703125" style="87" customWidth="1"/>
    <col min="5359" max="5359" width="12.140625" style="87" customWidth="1"/>
    <col min="5360" max="5360" width="11.28515625" style="87" customWidth="1"/>
    <col min="5361" max="5361" width="9.5703125" style="87" customWidth="1"/>
    <col min="5362" max="5362" width="8.7109375" style="87" customWidth="1"/>
    <col min="5363" max="5364" width="11.42578125" style="87" customWidth="1"/>
    <col min="5365" max="5365" width="9.7109375" style="87" customWidth="1"/>
    <col min="5366" max="5366" width="10" style="87" customWidth="1"/>
    <col min="5367" max="5367" width="11" style="87" bestFit="1" customWidth="1"/>
    <col min="5368" max="5370" width="11" style="87" customWidth="1"/>
    <col min="5371" max="5371" width="9.5703125" style="87" customWidth="1"/>
    <col min="5372" max="5372" width="13.5703125" style="87" bestFit="1" customWidth="1"/>
    <col min="5373" max="5374" width="18.140625" style="87" customWidth="1"/>
    <col min="5375" max="5569" width="11" style="87" customWidth="1"/>
    <col min="5570" max="5570" width="9.28515625" style="87" customWidth="1"/>
    <col min="5571" max="5572" width="11.28515625" style="87" bestFit="1" customWidth="1"/>
    <col min="5573" max="5574" width="12.140625" style="87" customWidth="1"/>
    <col min="5575" max="5575" width="9.5703125" style="87" customWidth="1"/>
    <col min="5576" max="5577" width="8.140625" style="87" bestFit="1" customWidth="1"/>
    <col min="5578" max="5581" width="11.28515625" style="87" customWidth="1"/>
    <col min="5582" max="5582" width="12.28515625" style="87" customWidth="1"/>
    <col min="5583" max="5584" width="12.5703125" style="87" customWidth="1"/>
    <col min="5585" max="5585" width="7.5703125" style="87" customWidth="1"/>
    <col min="5586" max="5587" width="13" style="87" customWidth="1"/>
    <col min="5588" max="5589" width="9.5703125" style="87" customWidth="1"/>
    <col min="5590" max="5592" width="7.85546875" style="87" customWidth="1"/>
    <col min="5593" max="5593" width="16.42578125" style="87" customWidth="1"/>
    <col min="5594" max="5594" width="6.140625" style="87" customWidth="1"/>
    <col min="5595" max="5595" width="8.28515625" style="87" customWidth="1"/>
    <col min="5596" max="5596" width="6.140625" style="87" customWidth="1"/>
    <col min="5597" max="5597" width="14.7109375" style="87" customWidth="1"/>
    <col min="5598" max="5600" width="11.5703125" style="87" customWidth="1"/>
    <col min="5601" max="5601" width="18" style="87" customWidth="1"/>
    <col min="5602" max="5602" width="16.28515625" style="87" customWidth="1"/>
    <col min="5603" max="5603" width="17.5703125" style="87" customWidth="1"/>
    <col min="5604" max="5604" width="15" style="87" bestFit="1" customWidth="1"/>
    <col min="5605" max="5605" width="14.7109375" style="87" bestFit="1" customWidth="1"/>
    <col min="5606" max="5608" width="14.7109375" style="87" customWidth="1"/>
    <col min="5609" max="5609" width="8.42578125" style="87" customWidth="1"/>
    <col min="5610" max="5613" width="11.42578125" style="87" customWidth="1"/>
    <col min="5614" max="5614" width="8.5703125" style="87" customWidth="1"/>
    <col min="5615" max="5615" width="12.140625" style="87" customWidth="1"/>
    <col min="5616" max="5616" width="11.28515625" style="87" customWidth="1"/>
    <col min="5617" max="5617" width="9.5703125" style="87" customWidth="1"/>
    <col min="5618" max="5618" width="8.7109375" style="87" customWidth="1"/>
    <col min="5619" max="5620" width="11.42578125" style="87" customWidth="1"/>
    <col min="5621" max="5621" width="9.7109375" style="87" customWidth="1"/>
    <col min="5622" max="5622" width="10" style="87" customWidth="1"/>
    <col min="5623" max="5623" width="11" style="87" bestFit="1" customWidth="1"/>
    <col min="5624" max="5626" width="11" style="87" customWidth="1"/>
    <col min="5627" max="5627" width="9.5703125" style="87" customWidth="1"/>
    <col min="5628" max="5628" width="13.5703125" style="87" bestFit="1" customWidth="1"/>
    <col min="5629" max="5630" width="18.140625" style="87" customWidth="1"/>
    <col min="5631" max="5825" width="11" style="87" customWidth="1"/>
    <col min="5826" max="5826" width="9.28515625" style="87" customWidth="1"/>
    <col min="5827" max="5828" width="11.28515625" style="87" bestFit="1" customWidth="1"/>
    <col min="5829" max="5830" width="12.140625" style="87" customWidth="1"/>
    <col min="5831" max="5831" width="9.5703125" style="87" customWidth="1"/>
    <col min="5832" max="5833" width="8.140625" style="87" bestFit="1" customWidth="1"/>
    <col min="5834" max="5837" width="11.28515625" style="87" customWidth="1"/>
    <col min="5838" max="5838" width="12.28515625" style="87" customWidth="1"/>
    <col min="5839" max="5840" width="12.5703125" style="87" customWidth="1"/>
    <col min="5841" max="5841" width="7.5703125" style="87" customWidth="1"/>
    <col min="5842" max="5843" width="13" style="87" customWidth="1"/>
    <col min="5844" max="5845" width="9.5703125" style="87" customWidth="1"/>
    <col min="5846" max="5848" width="7.85546875" style="87" customWidth="1"/>
    <col min="5849" max="5849" width="16.42578125" style="87" customWidth="1"/>
    <col min="5850" max="5850" width="6.140625" style="87" customWidth="1"/>
    <col min="5851" max="5851" width="8.28515625" style="87" customWidth="1"/>
    <col min="5852" max="5852" width="6.140625" style="87" customWidth="1"/>
    <col min="5853" max="5853" width="14.7109375" style="87" customWidth="1"/>
    <col min="5854" max="5856" width="11.5703125" style="87" customWidth="1"/>
    <col min="5857" max="5857" width="18" style="87" customWidth="1"/>
    <col min="5858" max="5858" width="16.28515625" style="87" customWidth="1"/>
    <col min="5859" max="5859" width="17.5703125" style="87" customWidth="1"/>
    <col min="5860" max="5860" width="15" style="87" bestFit="1" customWidth="1"/>
    <col min="5861" max="5861" width="14.7109375" style="87" bestFit="1" customWidth="1"/>
    <col min="5862" max="5864" width="14.7109375" style="87" customWidth="1"/>
    <col min="5865" max="5865" width="8.42578125" style="87" customWidth="1"/>
    <col min="5866" max="5869" width="11.42578125" style="87" customWidth="1"/>
    <col min="5870" max="5870" width="8.5703125" style="87" customWidth="1"/>
    <col min="5871" max="5871" width="12.140625" style="87" customWidth="1"/>
    <col min="5872" max="5872" width="11.28515625" style="87" customWidth="1"/>
    <col min="5873" max="5873" width="9.5703125" style="87" customWidth="1"/>
    <col min="5874" max="5874" width="8.7109375" style="87" customWidth="1"/>
    <col min="5875" max="5876" width="11.42578125" style="87" customWidth="1"/>
    <col min="5877" max="5877" width="9.7109375" style="87" customWidth="1"/>
    <col min="5878" max="5878" width="10" style="87" customWidth="1"/>
    <col min="5879" max="5879" width="11" style="87" bestFit="1" customWidth="1"/>
    <col min="5880" max="5882" width="11" style="87" customWidth="1"/>
    <col min="5883" max="5883" width="9.5703125" style="87" customWidth="1"/>
    <col min="5884" max="5884" width="13.5703125" style="87" bestFit="1" customWidth="1"/>
    <col min="5885" max="5886" width="18.140625" style="87" customWidth="1"/>
    <col min="5887" max="6081" width="11" style="87" customWidth="1"/>
    <col min="6082" max="6082" width="9.28515625" style="87" customWidth="1"/>
    <col min="6083" max="6084" width="11.28515625" style="87" bestFit="1" customWidth="1"/>
    <col min="6085" max="6086" width="12.140625" style="87" customWidth="1"/>
    <col min="6087" max="6087" width="9.5703125" style="87" customWidth="1"/>
    <col min="6088" max="6089" width="8.140625" style="87" bestFit="1" customWidth="1"/>
    <col min="6090" max="6093" width="11.28515625" style="87" customWidth="1"/>
    <col min="6094" max="6094" width="12.28515625" style="87" customWidth="1"/>
    <col min="6095" max="6096" width="12.5703125" style="87" customWidth="1"/>
    <col min="6097" max="6097" width="7.5703125" style="87" customWidth="1"/>
    <col min="6098" max="6099" width="13" style="87" customWidth="1"/>
    <col min="6100" max="6101" width="9.5703125" style="87" customWidth="1"/>
    <col min="6102" max="6104" width="7.85546875" style="87" customWidth="1"/>
    <col min="6105" max="6105" width="16.42578125" style="87" customWidth="1"/>
    <col min="6106" max="6106" width="6.140625" style="87" customWidth="1"/>
    <col min="6107" max="6107" width="8.28515625" style="87" customWidth="1"/>
    <col min="6108" max="6108" width="6.140625" style="87" customWidth="1"/>
    <col min="6109" max="6109" width="14.7109375" style="87" customWidth="1"/>
    <col min="6110" max="6112" width="11.5703125" style="87" customWidth="1"/>
    <col min="6113" max="6113" width="18" style="87" customWidth="1"/>
    <col min="6114" max="6114" width="16.28515625" style="87" customWidth="1"/>
    <col min="6115" max="6115" width="17.5703125" style="87" customWidth="1"/>
    <col min="6116" max="6116" width="15" style="87" bestFit="1" customWidth="1"/>
    <col min="6117" max="6117" width="14.7109375" style="87" bestFit="1" customWidth="1"/>
    <col min="6118" max="6120" width="14.7109375" style="87" customWidth="1"/>
    <col min="6121" max="6121" width="8.42578125" style="87" customWidth="1"/>
    <col min="6122" max="6125" width="11.42578125" style="87" customWidth="1"/>
    <col min="6126" max="6126" width="8.5703125" style="87" customWidth="1"/>
    <col min="6127" max="6127" width="12.140625" style="87" customWidth="1"/>
    <col min="6128" max="6128" width="11.28515625" style="87" customWidth="1"/>
    <col min="6129" max="6129" width="9.5703125" style="87" customWidth="1"/>
    <col min="6130" max="6130" width="8.7109375" style="87" customWidth="1"/>
    <col min="6131" max="6132" width="11.42578125" style="87" customWidth="1"/>
    <col min="6133" max="6133" width="9.7109375" style="87" customWidth="1"/>
    <col min="6134" max="6134" width="10" style="87" customWidth="1"/>
    <col min="6135" max="6135" width="11" style="87" bestFit="1" customWidth="1"/>
    <col min="6136" max="6138" width="11" style="87" customWidth="1"/>
    <col min="6139" max="6139" width="9.5703125" style="87" customWidth="1"/>
    <col min="6140" max="6140" width="13.5703125" style="87" bestFit="1" customWidth="1"/>
    <col min="6141" max="6142" width="18.140625" style="87" customWidth="1"/>
    <col min="6143" max="6337" width="11" style="87" customWidth="1"/>
    <col min="6338" max="6338" width="9.28515625" style="87" customWidth="1"/>
    <col min="6339" max="6340" width="11.28515625" style="87" bestFit="1" customWidth="1"/>
    <col min="6341" max="6342" width="12.140625" style="87" customWidth="1"/>
    <col min="6343" max="6343" width="9.5703125" style="87" customWidth="1"/>
    <col min="6344" max="6345" width="8.140625" style="87" bestFit="1" customWidth="1"/>
    <col min="6346" max="6349" width="11.28515625" style="87" customWidth="1"/>
    <col min="6350" max="6350" width="12.28515625" style="87" customWidth="1"/>
    <col min="6351" max="6352" width="12.5703125" style="87" customWidth="1"/>
    <col min="6353" max="6353" width="7.5703125" style="87" customWidth="1"/>
    <col min="6354" max="6355" width="13" style="87" customWidth="1"/>
    <col min="6356" max="6357" width="9.5703125" style="87" customWidth="1"/>
    <col min="6358" max="6360" width="7.85546875" style="87" customWidth="1"/>
    <col min="6361" max="6361" width="16.42578125" style="87" customWidth="1"/>
    <col min="6362" max="6362" width="6.140625" style="87" customWidth="1"/>
    <col min="6363" max="6363" width="8.28515625" style="87" customWidth="1"/>
    <col min="6364" max="6364" width="6.140625" style="87" customWidth="1"/>
    <col min="6365" max="6365" width="14.7109375" style="87" customWidth="1"/>
    <col min="6366" max="6368" width="11.5703125" style="87" customWidth="1"/>
    <col min="6369" max="6369" width="18" style="87" customWidth="1"/>
    <col min="6370" max="6370" width="16.28515625" style="87" customWidth="1"/>
    <col min="6371" max="6371" width="17.5703125" style="87" customWidth="1"/>
    <col min="6372" max="6372" width="15" style="87" bestFit="1" customWidth="1"/>
    <col min="6373" max="6373" width="14.7109375" style="87" bestFit="1" customWidth="1"/>
    <col min="6374" max="6376" width="14.7109375" style="87" customWidth="1"/>
    <col min="6377" max="6377" width="8.42578125" style="87" customWidth="1"/>
    <col min="6378" max="6381" width="11.42578125" style="87" customWidth="1"/>
    <col min="6382" max="6382" width="8.5703125" style="87" customWidth="1"/>
    <col min="6383" max="6383" width="12.140625" style="87" customWidth="1"/>
    <col min="6384" max="6384" width="11.28515625" style="87" customWidth="1"/>
    <col min="6385" max="6385" width="9.5703125" style="87" customWidth="1"/>
    <col min="6386" max="6386" width="8.7109375" style="87" customWidth="1"/>
    <col min="6387" max="6388" width="11.42578125" style="87" customWidth="1"/>
    <col min="6389" max="6389" width="9.7109375" style="87" customWidth="1"/>
    <col min="6390" max="6390" width="10" style="87" customWidth="1"/>
    <col min="6391" max="6391" width="11" style="87" bestFit="1" customWidth="1"/>
    <col min="6392" max="6394" width="11" style="87" customWidth="1"/>
    <col min="6395" max="6395" width="9.5703125" style="87" customWidth="1"/>
    <col min="6396" max="6396" width="13.5703125" style="87" bestFit="1" customWidth="1"/>
    <col min="6397" max="6398" width="18.140625" style="87" customWidth="1"/>
    <col min="6399" max="6593" width="11" style="87" customWidth="1"/>
    <col min="6594" max="6594" width="9.28515625" style="87" customWidth="1"/>
    <col min="6595" max="6596" width="11.28515625" style="87" bestFit="1" customWidth="1"/>
    <col min="6597" max="6598" width="12.140625" style="87" customWidth="1"/>
    <col min="6599" max="6599" width="9.5703125" style="87" customWidth="1"/>
    <col min="6600" max="6601" width="8.140625" style="87" bestFit="1" customWidth="1"/>
    <col min="6602" max="6605" width="11.28515625" style="87" customWidth="1"/>
    <col min="6606" max="6606" width="12.28515625" style="87" customWidth="1"/>
    <col min="6607" max="6608" width="12.5703125" style="87" customWidth="1"/>
    <col min="6609" max="6609" width="7.5703125" style="87" customWidth="1"/>
    <col min="6610" max="6611" width="13" style="87" customWidth="1"/>
    <col min="6612" max="6613" width="9.5703125" style="87" customWidth="1"/>
    <col min="6614" max="6616" width="7.85546875" style="87" customWidth="1"/>
    <col min="6617" max="6617" width="16.42578125" style="87" customWidth="1"/>
    <col min="6618" max="6618" width="6.140625" style="87" customWidth="1"/>
    <col min="6619" max="6619" width="8.28515625" style="87" customWidth="1"/>
    <col min="6620" max="6620" width="6.140625" style="87" customWidth="1"/>
    <col min="6621" max="6621" width="14.7109375" style="87" customWidth="1"/>
    <col min="6622" max="6624" width="11.5703125" style="87" customWidth="1"/>
    <col min="6625" max="6625" width="18" style="87" customWidth="1"/>
    <col min="6626" max="6626" width="16.28515625" style="87" customWidth="1"/>
    <col min="6627" max="6627" width="17.5703125" style="87" customWidth="1"/>
    <col min="6628" max="6628" width="15" style="87" bestFit="1" customWidth="1"/>
    <col min="6629" max="6629" width="14.7109375" style="87" bestFit="1" customWidth="1"/>
    <col min="6630" max="6632" width="14.7109375" style="87" customWidth="1"/>
    <col min="6633" max="6633" width="8.42578125" style="87" customWidth="1"/>
    <col min="6634" max="6637" width="11.42578125" style="87" customWidth="1"/>
    <col min="6638" max="6638" width="8.5703125" style="87" customWidth="1"/>
    <col min="6639" max="6639" width="12.140625" style="87" customWidth="1"/>
    <col min="6640" max="6640" width="11.28515625" style="87" customWidth="1"/>
    <col min="6641" max="6641" width="9.5703125" style="87" customWidth="1"/>
    <col min="6642" max="6642" width="8.7109375" style="87" customWidth="1"/>
    <col min="6643" max="6644" width="11.42578125" style="87" customWidth="1"/>
    <col min="6645" max="6645" width="9.7109375" style="87" customWidth="1"/>
    <col min="6646" max="6646" width="10" style="87" customWidth="1"/>
    <col min="6647" max="6647" width="11" style="87" bestFit="1" customWidth="1"/>
    <col min="6648" max="6650" width="11" style="87" customWidth="1"/>
    <col min="6651" max="6651" width="9.5703125" style="87" customWidth="1"/>
    <col min="6652" max="6652" width="13.5703125" style="87" bestFit="1" customWidth="1"/>
    <col min="6653" max="6654" width="18.140625" style="87" customWidth="1"/>
    <col min="6655" max="6849" width="11" style="87" customWidth="1"/>
    <col min="6850" max="6850" width="9.28515625" style="87" customWidth="1"/>
    <col min="6851" max="6852" width="11.28515625" style="87" bestFit="1" customWidth="1"/>
    <col min="6853" max="6854" width="12.140625" style="87" customWidth="1"/>
    <col min="6855" max="6855" width="9.5703125" style="87" customWidth="1"/>
    <col min="6856" max="6857" width="8.140625" style="87" bestFit="1" customWidth="1"/>
    <col min="6858" max="6861" width="11.28515625" style="87" customWidth="1"/>
    <col min="6862" max="6862" width="12.28515625" style="87" customWidth="1"/>
    <col min="6863" max="6864" width="12.5703125" style="87" customWidth="1"/>
    <col min="6865" max="6865" width="7.5703125" style="87" customWidth="1"/>
    <col min="6866" max="6867" width="13" style="87" customWidth="1"/>
    <col min="6868" max="6869" width="9.5703125" style="87" customWidth="1"/>
    <col min="6870" max="6872" width="7.85546875" style="87" customWidth="1"/>
    <col min="6873" max="6873" width="16.42578125" style="87" customWidth="1"/>
    <col min="6874" max="6874" width="6.140625" style="87" customWidth="1"/>
    <col min="6875" max="6875" width="8.28515625" style="87" customWidth="1"/>
    <col min="6876" max="6876" width="6.140625" style="87" customWidth="1"/>
    <col min="6877" max="6877" width="14.7109375" style="87" customWidth="1"/>
    <col min="6878" max="6880" width="11.5703125" style="87" customWidth="1"/>
    <col min="6881" max="6881" width="18" style="87" customWidth="1"/>
    <col min="6882" max="6882" width="16.28515625" style="87" customWidth="1"/>
    <col min="6883" max="6883" width="17.5703125" style="87" customWidth="1"/>
    <col min="6884" max="6884" width="15" style="87" bestFit="1" customWidth="1"/>
    <col min="6885" max="6885" width="14.7109375" style="87" bestFit="1" customWidth="1"/>
    <col min="6886" max="6888" width="14.7109375" style="87" customWidth="1"/>
    <col min="6889" max="6889" width="8.42578125" style="87" customWidth="1"/>
    <col min="6890" max="6893" width="11.42578125" style="87" customWidth="1"/>
    <col min="6894" max="6894" width="8.5703125" style="87" customWidth="1"/>
    <col min="6895" max="6895" width="12.140625" style="87" customWidth="1"/>
    <col min="6896" max="6896" width="11.28515625" style="87" customWidth="1"/>
    <col min="6897" max="6897" width="9.5703125" style="87" customWidth="1"/>
    <col min="6898" max="6898" width="8.7109375" style="87" customWidth="1"/>
    <col min="6899" max="6900" width="11.42578125" style="87" customWidth="1"/>
    <col min="6901" max="6901" width="9.7109375" style="87" customWidth="1"/>
    <col min="6902" max="6902" width="10" style="87" customWidth="1"/>
    <col min="6903" max="6903" width="11" style="87" bestFit="1" customWidth="1"/>
    <col min="6904" max="6906" width="11" style="87" customWidth="1"/>
    <col min="6907" max="6907" width="9.5703125" style="87" customWidth="1"/>
    <col min="6908" max="6908" width="13.5703125" style="87" bestFit="1" customWidth="1"/>
    <col min="6909" max="6910" width="18.140625" style="87" customWidth="1"/>
    <col min="6911" max="7105" width="11" style="87" customWidth="1"/>
    <col min="7106" max="7106" width="9.28515625" style="87" customWidth="1"/>
    <col min="7107" max="7108" width="11.28515625" style="87" bestFit="1" customWidth="1"/>
    <col min="7109" max="7110" width="12.140625" style="87" customWidth="1"/>
    <col min="7111" max="7111" width="9.5703125" style="87" customWidth="1"/>
    <col min="7112" max="7113" width="8.140625" style="87" bestFit="1" customWidth="1"/>
    <col min="7114" max="7117" width="11.28515625" style="87" customWidth="1"/>
    <col min="7118" max="7118" width="12.28515625" style="87" customWidth="1"/>
    <col min="7119" max="7120" width="12.5703125" style="87" customWidth="1"/>
    <col min="7121" max="7121" width="7.5703125" style="87" customWidth="1"/>
    <col min="7122" max="7123" width="13" style="87" customWidth="1"/>
    <col min="7124" max="7125" width="9.5703125" style="87" customWidth="1"/>
    <col min="7126" max="7128" width="7.85546875" style="87" customWidth="1"/>
    <col min="7129" max="7129" width="16.42578125" style="87" customWidth="1"/>
    <col min="7130" max="7130" width="6.140625" style="87" customWidth="1"/>
    <col min="7131" max="7131" width="8.28515625" style="87" customWidth="1"/>
    <col min="7132" max="7132" width="6.140625" style="87" customWidth="1"/>
    <col min="7133" max="7133" width="14.7109375" style="87" customWidth="1"/>
    <col min="7134" max="7136" width="11.5703125" style="87" customWidth="1"/>
    <col min="7137" max="7137" width="18" style="87" customWidth="1"/>
    <col min="7138" max="7138" width="16.28515625" style="87" customWidth="1"/>
    <col min="7139" max="7139" width="17.5703125" style="87" customWidth="1"/>
    <col min="7140" max="7140" width="15" style="87" bestFit="1" customWidth="1"/>
    <col min="7141" max="7141" width="14.7109375" style="87" bestFit="1" customWidth="1"/>
    <col min="7142" max="7144" width="14.7109375" style="87" customWidth="1"/>
    <col min="7145" max="7145" width="8.42578125" style="87" customWidth="1"/>
    <col min="7146" max="7149" width="11.42578125" style="87" customWidth="1"/>
    <col min="7150" max="7150" width="8.5703125" style="87" customWidth="1"/>
    <col min="7151" max="7151" width="12.140625" style="87" customWidth="1"/>
    <col min="7152" max="7152" width="11.28515625" style="87" customWidth="1"/>
    <col min="7153" max="7153" width="9.5703125" style="87" customWidth="1"/>
    <col min="7154" max="7154" width="8.7109375" style="87" customWidth="1"/>
    <col min="7155" max="7156" width="11.42578125" style="87" customWidth="1"/>
    <col min="7157" max="7157" width="9.7109375" style="87" customWidth="1"/>
    <col min="7158" max="7158" width="10" style="87" customWidth="1"/>
    <col min="7159" max="7159" width="11" style="87" bestFit="1" customWidth="1"/>
    <col min="7160" max="7162" width="11" style="87" customWidth="1"/>
    <col min="7163" max="7163" width="9.5703125" style="87" customWidth="1"/>
    <col min="7164" max="7164" width="13.5703125" style="87" bestFit="1" customWidth="1"/>
    <col min="7165" max="7166" width="18.140625" style="87" customWidth="1"/>
    <col min="7167" max="7361" width="11" style="87" customWidth="1"/>
    <col min="7362" max="7362" width="9.28515625" style="87" customWidth="1"/>
    <col min="7363" max="7364" width="11.28515625" style="87" bestFit="1" customWidth="1"/>
    <col min="7365" max="7366" width="12.140625" style="87" customWidth="1"/>
    <col min="7367" max="7367" width="9.5703125" style="87" customWidth="1"/>
    <col min="7368" max="7369" width="8.140625" style="87" bestFit="1" customWidth="1"/>
    <col min="7370" max="7373" width="11.28515625" style="87" customWidth="1"/>
    <col min="7374" max="7374" width="12.28515625" style="87" customWidth="1"/>
    <col min="7375" max="7376" width="12.5703125" style="87" customWidth="1"/>
    <col min="7377" max="7377" width="7.5703125" style="87" customWidth="1"/>
    <col min="7378" max="7379" width="13" style="87" customWidth="1"/>
    <col min="7380" max="7381" width="9.5703125" style="87" customWidth="1"/>
    <col min="7382" max="7384" width="7.85546875" style="87" customWidth="1"/>
    <col min="7385" max="7385" width="16.42578125" style="87" customWidth="1"/>
    <col min="7386" max="7386" width="6.140625" style="87" customWidth="1"/>
    <col min="7387" max="7387" width="8.28515625" style="87" customWidth="1"/>
    <col min="7388" max="7388" width="6.140625" style="87" customWidth="1"/>
    <col min="7389" max="7389" width="14.7109375" style="87" customWidth="1"/>
    <col min="7390" max="7392" width="11.5703125" style="87" customWidth="1"/>
    <col min="7393" max="7393" width="18" style="87" customWidth="1"/>
    <col min="7394" max="7394" width="16.28515625" style="87" customWidth="1"/>
    <col min="7395" max="7395" width="17.5703125" style="87" customWidth="1"/>
    <col min="7396" max="7396" width="15" style="87" bestFit="1" customWidth="1"/>
    <col min="7397" max="7397" width="14.7109375" style="87" bestFit="1" customWidth="1"/>
    <col min="7398" max="7400" width="14.7109375" style="87" customWidth="1"/>
    <col min="7401" max="7401" width="8.42578125" style="87" customWidth="1"/>
    <col min="7402" max="7405" width="11.42578125" style="87" customWidth="1"/>
    <col min="7406" max="7406" width="8.5703125" style="87" customWidth="1"/>
    <col min="7407" max="7407" width="12.140625" style="87" customWidth="1"/>
    <col min="7408" max="7408" width="11.28515625" style="87" customWidth="1"/>
    <col min="7409" max="7409" width="9.5703125" style="87" customWidth="1"/>
    <col min="7410" max="7410" width="8.7109375" style="87" customWidth="1"/>
    <col min="7411" max="7412" width="11.42578125" style="87" customWidth="1"/>
    <col min="7413" max="7413" width="9.7109375" style="87" customWidth="1"/>
    <col min="7414" max="7414" width="10" style="87" customWidth="1"/>
    <col min="7415" max="7415" width="11" style="87" bestFit="1" customWidth="1"/>
    <col min="7416" max="7418" width="11" style="87" customWidth="1"/>
    <col min="7419" max="7419" width="9.5703125" style="87" customWidth="1"/>
    <col min="7420" max="7420" width="13.5703125" style="87" bestFit="1" customWidth="1"/>
    <col min="7421" max="7422" width="18.140625" style="87" customWidth="1"/>
    <col min="7423" max="7617" width="11" style="87" customWidth="1"/>
    <col min="7618" max="7618" width="9.28515625" style="87" customWidth="1"/>
    <col min="7619" max="7620" width="11.28515625" style="87" bestFit="1" customWidth="1"/>
    <col min="7621" max="7622" width="12.140625" style="87" customWidth="1"/>
    <col min="7623" max="7623" width="9.5703125" style="87" customWidth="1"/>
    <col min="7624" max="7625" width="8.140625" style="87" bestFit="1" customWidth="1"/>
    <col min="7626" max="7629" width="11.28515625" style="87" customWidth="1"/>
    <col min="7630" max="7630" width="12.28515625" style="87" customWidth="1"/>
    <col min="7631" max="7632" width="12.5703125" style="87" customWidth="1"/>
    <col min="7633" max="7633" width="7.5703125" style="87" customWidth="1"/>
    <col min="7634" max="7635" width="13" style="87" customWidth="1"/>
    <col min="7636" max="7637" width="9.5703125" style="87" customWidth="1"/>
    <col min="7638" max="7640" width="7.85546875" style="87" customWidth="1"/>
    <col min="7641" max="7641" width="16.42578125" style="87" customWidth="1"/>
    <col min="7642" max="7642" width="6.140625" style="87" customWidth="1"/>
    <col min="7643" max="7643" width="8.28515625" style="87" customWidth="1"/>
    <col min="7644" max="7644" width="6.140625" style="87" customWidth="1"/>
    <col min="7645" max="7645" width="14.7109375" style="87" customWidth="1"/>
    <col min="7646" max="7648" width="11.5703125" style="87" customWidth="1"/>
    <col min="7649" max="7649" width="18" style="87" customWidth="1"/>
    <col min="7650" max="7650" width="16.28515625" style="87" customWidth="1"/>
    <col min="7651" max="7651" width="17.5703125" style="87" customWidth="1"/>
    <col min="7652" max="7652" width="15" style="87" bestFit="1" customWidth="1"/>
    <col min="7653" max="7653" width="14.7109375" style="87" bestFit="1" customWidth="1"/>
    <col min="7654" max="7656" width="14.7109375" style="87" customWidth="1"/>
    <col min="7657" max="7657" width="8.42578125" style="87" customWidth="1"/>
    <col min="7658" max="7661" width="11.42578125" style="87" customWidth="1"/>
    <col min="7662" max="7662" width="8.5703125" style="87" customWidth="1"/>
    <col min="7663" max="7663" width="12.140625" style="87" customWidth="1"/>
    <col min="7664" max="7664" width="11.28515625" style="87" customWidth="1"/>
    <col min="7665" max="7665" width="9.5703125" style="87" customWidth="1"/>
    <col min="7666" max="7666" width="8.7109375" style="87" customWidth="1"/>
    <col min="7667" max="7668" width="11.42578125" style="87" customWidth="1"/>
    <col min="7669" max="7669" width="9.7109375" style="87" customWidth="1"/>
    <col min="7670" max="7670" width="10" style="87" customWidth="1"/>
    <col min="7671" max="7671" width="11" style="87" bestFit="1" customWidth="1"/>
    <col min="7672" max="7674" width="11" style="87" customWidth="1"/>
    <col min="7675" max="7675" width="9.5703125" style="87" customWidth="1"/>
    <col min="7676" max="7676" width="13.5703125" style="87" bestFit="1" customWidth="1"/>
    <col min="7677" max="7678" width="18.140625" style="87" customWidth="1"/>
    <col min="7679" max="7873" width="11" style="87" customWidth="1"/>
    <col min="7874" max="7874" width="9.28515625" style="87" customWidth="1"/>
    <col min="7875" max="7876" width="11.28515625" style="87" bestFit="1" customWidth="1"/>
    <col min="7877" max="7878" width="12.140625" style="87" customWidth="1"/>
    <col min="7879" max="7879" width="9.5703125" style="87" customWidth="1"/>
    <col min="7880" max="7881" width="8.140625" style="87" bestFit="1" customWidth="1"/>
    <col min="7882" max="7885" width="11.28515625" style="87" customWidth="1"/>
    <col min="7886" max="7886" width="12.28515625" style="87" customWidth="1"/>
    <col min="7887" max="7888" width="12.5703125" style="87" customWidth="1"/>
    <col min="7889" max="7889" width="7.5703125" style="87" customWidth="1"/>
    <col min="7890" max="7891" width="13" style="87" customWidth="1"/>
    <col min="7892" max="7893" width="9.5703125" style="87" customWidth="1"/>
    <col min="7894" max="7896" width="7.85546875" style="87" customWidth="1"/>
    <col min="7897" max="7897" width="16.42578125" style="87" customWidth="1"/>
    <col min="7898" max="7898" width="6.140625" style="87" customWidth="1"/>
    <col min="7899" max="7899" width="8.28515625" style="87" customWidth="1"/>
    <col min="7900" max="7900" width="6.140625" style="87" customWidth="1"/>
    <col min="7901" max="7901" width="14.7109375" style="87" customWidth="1"/>
    <col min="7902" max="7904" width="11.5703125" style="87" customWidth="1"/>
    <col min="7905" max="7905" width="18" style="87" customWidth="1"/>
    <col min="7906" max="7906" width="16.28515625" style="87" customWidth="1"/>
    <col min="7907" max="7907" width="17.5703125" style="87" customWidth="1"/>
    <col min="7908" max="7908" width="15" style="87" bestFit="1" customWidth="1"/>
    <col min="7909" max="7909" width="14.7109375" style="87" bestFit="1" customWidth="1"/>
    <col min="7910" max="7912" width="14.7109375" style="87" customWidth="1"/>
    <col min="7913" max="7913" width="8.42578125" style="87" customWidth="1"/>
    <col min="7914" max="7917" width="11.42578125" style="87" customWidth="1"/>
    <col min="7918" max="7918" width="8.5703125" style="87" customWidth="1"/>
    <col min="7919" max="7919" width="12.140625" style="87" customWidth="1"/>
    <col min="7920" max="7920" width="11.28515625" style="87" customWidth="1"/>
    <col min="7921" max="7921" width="9.5703125" style="87" customWidth="1"/>
    <col min="7922" max="7922" width="8.7109375" style="87" customWidth="1"/>
    <col min="7923" max="7924" width="11.42578125" style="87" customWidth="1"/>
    <col min="7925" max="7925" width="9.7109375" style="87" customWidth="1"/>
    <col min="7926" max="7926" width="10" style="87" customWidth="1"/>
    <col min="7927" max="7927" width="11" style="87" bestFit="1" customWidth="1"/>
    <col min="7928" max="7930" width="11" style="87" customWidth="1"/>
    <col min="7931" max="7931" width="9.5703125" style="87" customWidth="1"/>
    <col min="7932" max="7932" width="13.5703125" style="87" bestFit="1" customWidth="1"/>
    <col min="7933" max="7934" width="18.140625" style="87" customWidth="1"/>
    <col min="7935" max="8129" width="11" style="87" customWidth="1"/>
    <col min="8130" max="8130" width="9.28515625" style="87" customWidth="1"/>
    <col min="8131" max="8132" width="11.28515625" style="87" bestFit="1" customWidth="1"/>
    <col min="8133" max="8134" width="12.140625" style="87" customWidth="1"/>
    <col min="8135" max="8135" width="9.5703125" style="87" customWidth="1"/>
    <col min="8136" max="8137" width="8.140625" style="87" bestFit="1" customWidth="1"/>
    <col min="8138" max="8141" width="11.28515625" style="87" customWidth="1"/>
    <col min="8142" max="8142" width="12.28515625" style="87" customWidth="1"/>
    <col min="8143" max="8144" width="12.5703125" style="87" customWidth="1"/>
    <col min="8145" max="8145" width="7.5703125" style="87" customWidth="1"/>
    <col min="8146" max="8147" width="13" style="87" customWidth="1"/>
    <col min="8148" max="8149" width="9.5703125" style="87" customWidth="1"/>
    <col min="8150" max="8152" width="7.85546875" style="87" customWidth="1"/>
    <col min="8153" max="8153" width="16.42578125" style="87" customWidth="1"/>
    <col min="8154" max="8154" width="6.140625" style="87" customWidth="1"/>
    <col min="8155" max="8155" width="8.28515625" style="87" customWidth="1"/>
    <col min="8156" max="8156" width="6.140625" style="87" customWidth="1"/>
    <col min="8157" max="8157" width="14.7109375" style="87" customWidth="1"/>
    <col min="8158" max="8160" width="11.5703125" style="87" customWidth="1"/>
    <col min="8161" max="8161" width="18" style="87" customWidth="1"/>
    <col min="8162" max="8162" width="16.28515625" style="87" customWidth="1"/>
    <col min="8163" max="8163" width="17.5703125" style="87" customWidth="1"/>
    <col min="8164" max="8164" width="15" style="87" bestFit="1" customWidth="1"/>
    <col min="8165" max="8165" width="14.7109375" style="87" bestFit="1" customWidth="1"/>
    <col min="8166" max="8168" width="14.7109375" style="87" customWidth="1"/>
    <col min="8169" max="8169" width="8.42578125" style="87" customWidth="1"/>
    <col min="8170" max="8173" width="11.42578125" style="87" customWidth="1"/>
    <col min="8174" max="8174" width="8.5703125" style="87" customWidth="1"/>
    <col min="8175" max="8175" width="12.140625" style="87" customWidth="1"/>
    <col min="8176" max="8176" width="11.28515625" style="87" customWidth="1"/>
    <col min="8177" max="8177" width="9.5703125" style="87" customWidth="1"/>
    <col min="8178" max="8178" width="8.7109375" style="87" customWidth="1"/>
    <col min="8179" max="8180" width="11.42578125" style="87" customWidth="1"/>
    <col min="8181" max="8181" width="9.7109375" style="87" customWidth="1"/>
    <col min="8182" max="8182" width="10" style="87" customWidth="1"/>
    <col min="8183" max="8183" width="11" style="87" bestFit="1" customWidth="1"/>
    <col min="8184" max="8186" width="11" style="87" customWidth="1"/>
    <col min="8187" max="8187" width="9.5703125" style="87" customWidth="1"/>
    <col min="8188" max="8188" width="13.5703125" style="87" bestFit="1" customWidth="1"/>
    <col min="8189" max="8190" width="18.140625" style="87" customWidth="1"/>
    <col min="8191" max="8385" width="11" style="87" customWidth="1"/>
    <col min="8386" max="8386" width="9.28515625" style="87" customWidth="1"/>
    <col min="8387" max="8388" width="11.28515625" style="87" bestFit="1" customWidth="1"/>
    <col min="8389" max="8390" width="12.140625" style="87" customWidth="1"/>
    <col min="8391" max="8391" width="9.5703125" style="87" customWidth="1"/>
    <col min="8392" max="8393" width="8.140625" style="87" bestFit="1" customWidth="1"/>
    <col min="8394" max="8397" width="11.28515625" style="87" customWidth="1"/>
    <col min="8398" max="8398" width="12.28515625" style="87" customWidth="1"/>
    <col min="8399" max="8400" width="12.5703125" style="87" customWidth="1"/>
    <col min="8401" max="8401" width="7.5703125" style="87" customWidth="1"/>
    <col min="8402" max="8403" width="13" style="87" customWidth="1"/>
    <col min="8404" max="8405" width="9.5703125" style="87" customWidth="1"/>
    <col min="8406" max="8408" width="7.85546875" style="87" customWidth="1"/>
    <col min="8409" max="8409" width="16.42578125" style="87" customWidth="1"/>
    <col min="8410" max="8410" width="6.140625" style="87" customWidth="1"/>
    <col min="8411" max="8411" width="8.28515625" style="87" customWidth="1"/>
    <col min="8412" max="8412" width="6.140625" style="87" customWidth="1"/>
    <col min="8413" max="8413" width="14.7109375" style="87" customWidth="1"/>
    <col min="8414" max="8416" width="11.5703125" style="87" customWidth="1"/>
    <col min="8417" max="8417" width="18" style="87" customWidth="1"/>
    <col min="8418" max="8418" width="16.28515625" style="87" customWidth="1"/>
    <col min="8419" max="8419" width="17.5703125" style="87" customWidth="1"/>
    <col min="8420" max="8420" width="15" style="87" bestFit="1" customWidth="1"/>
    <col min="8421" max="8421" width="14.7109375" style="87" bestFit="1" customWidth="1"/>
    <col min="8422" max="8424" width="14.7109375" style="87" customWidth="1"/>
    <col min="8425" max="8425" width="8.42578125" style="87" customWidth="1"/>
    <col min="8426" max="8429" width="11.42578125" style="87" customWidth="1"/>
    <col min="8430" max="8430" width="8.5703125" style="87" customWidth="1"/>
    <col min="8431" max="8431" width="12.140625" style="87" customWidth="1"/>
    <col min="8432" max="8432" width="11.28515625" style="87" customWidth="1"/>
    <col min="8433" max="8433" width="9.5703125" style="87" customWidth="1"/>
    <col min="8434" max="8434" width="8.7109375" style="87" customWidth="1"/>
    <col min="8435" max="8436" width="11.42578125" style="87" customWidth="1"/>
    <col min="8437" max="8437" width="9.7109375" style="87" customWidth="1"/>
    <col min="8438" max="8438" width="10" style="87" customWidth="1"/>
    <col min="8439" max="8439" width="11" style="87" bestFit="1" customWidth="1"/>
    <col min="8440" max="8442" width="11" style="87" customWidth="1"/>
    <col min="8443" max="8443" width="9.5703125" style="87" customWidth="1"/>
    <col min="8444" max="8444" width="13.5703125" style="87" bestFit="1" customWidth="1"/>
    <col min="8445" max="8446" width="18.140625" style="87" customWidth="1"/>
    <col min="8447" max="8641" width="11" style="87" customWidth="1"/>
    <col min="8642" max="8642" width="9.28515625" style="87" customWidth="1"/>
    <col min="8643" max="8644" width="11.28515625" style="87" bestFit="1" customWidth="1"/>
    <col min="8645" max="8646" width="12.140625" style="87" customWidth="1"/>
    <col min="8647" max="8647" width="9.5703125" style="87" customWidth="1"/>
    <col min="8648" max="8649" width="8.140625" style="87" bestFit="1" customWidth="1"/>
    <col min="8650" max="8653" width="11.28515625" style="87" customWidth="1"/>
    <col min="8654" max="8654" width="12.28515625" style="87" customWidth="1"/>
    <col min="8655" max="8656" width="12.5703125" style="87" customWidth="1"/>
    <col min="8657" max="8657" width="7.5703125" style="87" customWidth="1"/>
    <col min="8658" max="8659" width="13" style="87" customWidth="1"/>
    <col min="8660" max="8661" width="9.5703125" style="87" customWidth="1"/>
    <col min="8662" max="8664" width="7.85546875" style="87" customWidth="1"/>
    <col min="8665" max="8665" width="16.42578125" style="87" customWidth="1"/>
    <col min="8666" max="8666" width="6.140625" style="87" customWidth="1"/>
    <col min="8667" max="8667" width="8.28515625" style="87" customWidth="1"/>
    <col min="8668" max="8668" width="6.140625" style="87" customWidth="1"/>
    <col min="8669" max="8669" width="14.7109375" style="87" customWidth="1"/>
    <col min="8670" max="8672" width="11.5703125" style="87" customWidth="1"/>
    <col min="8673" max="8673" width="18" style="87" customWidth="1"/>
    <col min="8674" max="8674" width="16.28515625" style="87" customWidth="1"/>
    <col min="8675" max="8675" width="17.5703125" style="87" customWidth="1"/>
    <col min="8676" max="8676" width="15" style="87" bestFit="1" customWidth="1"/>
    <col min="8677" max="8677" width="14.7109375" style="87" bestFit="1" customWidth="1"/>
    <col min="8678" max="8680" width="14.7109375" style="87" customWidth="1"/>
    <col min="8681" max="8681" width="8.42578125" style="87" customWidth="1"/>
    <col min="8682" max="8685" width="11.42578125" style="87" customWidth="1"/>
    <col min="8686" max="8686" width="8.5703125" style="87" customWidth="1"/>
    <col min="8687" max="8687" width="12.140625" style="87" customWidth="1"/>
    <col min="8688" max="8688" width="11.28515625" style="87" customWidth="1"/>
    <col min="8689" max="8689" width="9.5703125" style="87" customWidth="1"/>
    <col min="8690" max="8690" width="8.7109375" style="87" customWidth="1"/>
    <col min="8691" max="8692" width="11.42578125" style="87" customWidth="1"/>
    <col min="8693" max="8693" width="9.7109375" style="87" customWidth="1"/>
    <col min="8694" max="8694" width="10" style="87" customWidth="1"/>
    <col min="8695" max="8695" width="11" style="87" bestFit="1" customWidth="1"/>
    <col min="8696" max="8698" width="11" style="87" customWidth="1"/>
    <col min="8699" max="8699" width="9.5703125" style="87" customWidth="1"/>
    <col min="8700" max="8700" width="13.5703125" style="87" bestFit="1" customWidth="1"/>
    <col min="8701" max="8702" width="18.140625" style="87" customWidth="1"/>
    <col min="8703" max="8897" width="11" style="87" customWidth="1"/>
    <col min="8898" max="8898" width="9.28515625" style="87" customWidth="1"/>
    <col min="8899" max="8900" width="11.28515625" style="87" bestFit="1" customWidth="1"/>
    <col min="8901" max="8902" width="12.140625" style="87" customWidth="1"/>
    <col min="8903" max="8903" width="9.5703125" style="87" customWidth="1"/>
    <col min="8904" max="8905" width="8.140625" style="87" bestFit="1" customWidth="1"/>
    <col min="8906" max="8909" width="11.28515625" style="87" customWidth="1"/>
    <col min="8910" max="8910" width="12.28515625" style="87" customWidth="1"/>
    <col min="8911" max="8912" width="12.5703125" style="87" customWidth="1"/>
    <col min="8913" max="8913" width="7.5703125" style="87" customWidth="1"/>
    <col min="8914" max="8915" width="13" style="87" customWidth="1"/>
    <col min="8916" max="8917" width="9.5703125" style="87" customWidth="1"/>
    <col min="8918" max="8920" width="7.85546875" style="87" customWidth="1"/>
    <col min="8921" max="8921" width="16.42578125" style="87" customWidth="1"/>
    <col min="8922" max="8922" width="6.140625" style="87" customWidth="1"/>
    <col min="8923" max="8923" width="8.28515625" style="87" customWidth="1"/>
    <col min="8924" max="8924" width="6.140625" style="87" customWidth="1"/>
    <col min="8925" max="8925" width="14.7109375" style="87" customWidth="1"/>
    <col min="8926" max="8928" width="11.5703125" style="87" customWidth="1"/>
    <col min="8929" max="8929" width="18" style="87" customWidth="1"/>
    <col min="8930" max="8930" width="16.28515625" style="87" customWidth="1"/>
    <col min="8931" max="8931" width="17.5703125" style="87" customWidth="1"/>
    <col min="8932" max="8932" width="15" style="87" bestFit="1" customWidth="1"/>
    <col min="8933" max="8933" width="14.7109375" style="87" bestFit="1" customWidth="1"/>
    <col min="8934" max="8936" width="14.7109375" style="87" customWidth="1"/>
    <col min="8937" max="8937" width="8.42578125" style="87" customWidth="1"/>
    <col min="8938" max="8941" width="11.42578125" style="87" customWidth="1"/>
    <col min="8942" max="8942" width="8.5703125" style="87" customWidth="1"/>
    <col min="8943" max="8943" width="12.140625" style="87" customWidth="1"/>
    <col min="8944" max="8944" width="11.28515625" style="87" customWidth="1"/>
    <col min="8945" max="8945" width="9.5703125" style="87" customWidth="1"/>
    <col min="8946" max="8946" width="8.7109375" style="87" customWidth="1"/>
    <col min="8947" max="8948" width="11.42578125" style="87" customWidth="1"/>
    <col min="8949" max="8949" width="9.7109375" style="87" customWidth="1"/>
    <col min="8950" max="8950" width="10" style="87" customWidth="1"/>
    <col min="8951" max="8951" width="11" style="87" bestFit="1" customWidth="1"/>
    <col min="8952" max="8954" width="11" style="87" customWidth="1"/>
    <col min="8955" max="8955" width="9.5703125" style="87" customWidth="1"/>
    <col min="8956" max="8956" width="13.5703125" style="87" bestFit="1" customWidth="1"/>
    <col min="8957" max="8958" width="18.140625" style="87" customWidth="1"/>
    <col min="8959" max="9153" width="11" style="87" customWidth="1"/>
    <col min="9154" max="9154" width="9.28515625" style="87" customWidth="1"/>
    <col min="9155" max="9156" width="11.28515625" style="87" bestFit="1" customWidth="1"/>
    <col min="9157" max="9158" width="12.140625" style="87" customWidth="1"/>
    <col min="9159" max="9159" width="9.5703125" style="87" customWidth="1"/>
    <col min="9160" max="9161" width="8.140625" style="87" bestFit="1" customWidth="1"/>
    <col min="9162" max="9165" width="11.28515625" style="87" customWidth="1"/>
    <col min="9166" max="9166" width="12.28515625" style="87" customWidth="1"/>
    <col min="9167" max="9168" width="12.5703125" style="87" customWidth="1"/>
    <col min="9169" max="9169" width="7.5703125" style="87" customWidth="1"/>
    <col min="9170" max="9171" width="13" style="87" customWidth="1"/>
    <col min="9172" max="9173" width="9.5703125" style="87" customWidth="1"/>
    <col min="9174" max="9176" width="7.85546875" style="87" customWidth="1"/>
    <col min="9177" max="9177" width="16.42578125" style="87" customWidth="1"/>
    <col min="9178" max="9178" width="6.140625" style="87" customWidth="1"/>
    <col min="9179" max="9179" width="8.28515625" style="87" customWidth="1"/>
    <col min="9180" max="9180" width="6.140625" style="87" customWidth="1"/>
    <col min="9181" max="9181" width="14.7109375" style="87" customWidth="1"/>
    <col min="9182" max="9184" width="11.5703125" style="87" customWidth="1"/>
    <col min="9185" max="9185" width="18" style="87" customWidth="1"/>
    <col min="9186" max="9186" width="16.28515625" style="87" customWidth="1"/>
    <col min="9187" max="9187" width="17.5703125" style="87" customWidth="1"/>
    <col min="9188" max="9188" width="15" style="87" bestFit="1" customWidth="1"/>
    <col min="9189" max="9189" width="14.7109375" style="87" bestFit="1" customWidth="1"/>
    <col min="9190" max="9192" width="14.7109375" style="87" customWidth="1"/>
    <col min="9193" max="9193" width="8.42578125" style="87" customWidth="1"/>
    <col min="9194" max="9197" width="11.42578125" style="87" customWidth="1"/>
    <col min="9198" max="9198" width="8.5703125" style="87" customWidth="1"/>
    <col min="9199" max="9199" width="12.140625" style="87" customWidth="1"/>
    <col min="9200" max="9200" width="11.28515625" style="87" customWidth="1"/>
    <col min="9201" max="9201" width="9.5703125" style="87" customWidth="1"/>
    <col min="9202" max="9202" width="8.7109375" style="87" customWidth="1"/>
    <col min="9203" max="9204" width="11.42578125" style="87" customWidth="1"/>
    <col min="9205" max="9205" width="9.7109375" style="87" customWidth="1"/>
    <col min="9206" max="9206" width="10" style="87" customWidth="1"/>
    <col min="9207" max="9207" width="11" style="87" bestFit="1" customWidth="1"/>
    <col min="9208" max="9210" width="11" style="87" customWidth="1"/>
    <col min="9211" max="9211" width="9.5703125" style="87" customWidth="1"/>
    <col min="9212" max="9212" width="13.5703125" style="87" bestFit="1" customWidth="1"/>
    <col min="9213" max="9214" width="18.140625" style="87" customWidth="1"/>
    <col min="9215" max="9409" width="11" style="87" customWidth="1"/>
    <col min="9410" max="9410" width="9.28515625" style="87" customWidth="1"/>
    <col min="9411" max="9412" width="11.28515625" style="87" bestFit="1" customWidth="1"/>
    <col min="9413" max="9414" width="12.140625" style="87" customWidth="1"/>
    <col min="9415" max="9415" width="9.5703125" style="87" customWidth="1"/>
    <col min="9416" max="9417" width="8.140625" style="87" bestFit="1" customWidth="1"/>
    <col min="9418" max="9421" width="11.28515625" style="87" customWidth="1"/>
    <col min="9422" max="9422" width="12.28515625" style="87" customWidth="1"/>
    <col min="9423" max="9424" width="12.5703125" style="87" customWidth="1"/>
    <col min="9425" max="9425" width="7.5703125" style="87" customWidth="1"/>
    <col min="9426" max="9427" width="13" style="87" customWidth="1"/>
    <col min="9428" max="9429" width="9.5703125" style="87" customWidth="1"/>
    <col min="9430" max="9432" width="7.85546875" style="87" customWidth="1"/>
    <col min="9433" max="9433" width="16.42578125" style="87" customWidth="1"/>
    <col min="9434" max="9434" width="6.140625" style="87" customWidth="1"/>
    <col min="9435" max="9435" width="8.28515625" style="87" customWidth="1"/>
    <col min="9436" max="9436" width="6.140625" style="87" customWidth="1"/>
    <col min="9437" max="9437" width="14.7109375" style="87" customWidth="1"/>
    <col min="9438" max="9440" width="11.5703125" style="87" customWidth="1"/>
    <col min="9441" max="9441" width="18" style="87" customWidth="1"/>
    <col min="9442" max="9442" width="16.28515625" style="87" customWidth="1"/>
    <col min="9443" max="9443" width="17.5703125" style="87" customWidth="1"/>
    <col min="9444" max="9444" width="15" style="87" bestFit="1" customWidth="1"/>
    <col min="9445" max="9445" width="14.7109375" style="87" bestFit="1" customWidth="1"/>
    <col min="9446" max="9448" width="14.7109375" style="87" customWidth="1"/>
    <col min="9449" max="9449" width="8.42578125" style="87" customWidth="1"/>
    <col min="9450" max="9453" width="11.42578125" style="87" customWidth="1"/>
    <col min="9454" max="9454" width="8.5703125" style="87" customWidth="1"/>
    <col min="9455" max="9455" width="12.140625" style="87" customWidth="1"/>
    <col min="9456" max="9456" width="11.28515625" style="87" customWidth="1"/>
    <col min="9457" max="9457" width="9.5703125" style="87" customWidth="1"/>
    <col min="9458" max="9458" width="8.7109375" style="87" customWidth="1"/>
    <col min="9459" max="9460" width="11.42578125" style="87" customWidth="1"/>
    <col min="9461" max="9461" width="9.7109375" style="87" customWidth="1"/>
    <col min="9462" max="9462" width="10" style="87" customWidth="1"/>
    <col min="9463" max="9463" width="11" style="87" bestFit="1" customWidth="1"/>
    <col min="9464" max="9466" width="11" style="87" customWidth="1"/>
    <col min="9467" max="9467" width="9.5703125" style="87" customWidth="1"/>
    <col min="9468" max="9468" width="13.5703125" style="87" bestFit="1" customWidth="1"/>
    <col min="9469" max="9470" width="18.140625" style="87" customWidth="1"/>
    <col min="9471" max="9665" width="11" style="87" customWidth="1"/>
    <col min="9666" max="9666" width="9.28515625" style="87" customWidth="1"/>
    <col min="9667" max="9668" width="11.28515625" style="87" bestFit="1" customWidth="1"/>
    <col min="9669" max="9670" width="12.140625" style="87" customWidth="1"/>
    <col min="9671" max="9671" width="9.5703125" style="87" customWidth="1"/>
    <col min="9672" max="9673" width="8.140625" style="87" bestFit="1" customWidth="1"/>
    <col min="9674" max="9677" width="11.28515625" style="87" customWidth="1"/>
    <col min="9678" max="9678" width="12.28515625" style="87" customWidth="1"/>
    <col min="9679" max="9680" width="12.5703125" style="87" customWidth="1"/>
    <col min="9681" max="9681" width="7.5703125" style="87" customWidth="1"/>
    <col min="9682" max="9683" width="13" style="87" customWidth="1"/>
    <col min="9684" max="9685" width="9.5703125" style="87" customWidth="1"/>
    <col min="9686" max="9688" width="7.85546875" style="87" customWidth="1"/>
    <col min="9689" max="9689" width="16.42578125" style="87" customWidth="1"/>
    <col min="9690" max="9690" width="6.140625" style="87" customWidth="1"/>
    <col min="9691" max="9691" width="8.28515625" style="87" customWidth="1"/>
    <col min="9692" max="9692" width="6.140625" style="87" customWidth="1"/>
    <col min="9693" max="9693" width="14.7109375" style="87" customWidth="1"/>
    <col min="9694" max="9696" width="11.5703125" style="87" customWidth="1"/>
    <col min="9697" max="9697" width="18" style="87" customWidth="1"/>
    <col min="9698" max="9698" width="16.28515625" style="87" customWidth="1"/>
    <col min="9699" max="9699" width="17.5703125" style="87" customWidth="1"/>
    <col min="9700" max="9700" width="15" style="87" bestFit="1" customWidth="1"/>
    <col min="9701" max="9701" width="14.7109375" style="87" bestFit="1" customWidth="1"/>
    <col min="9702" max="9704" width="14.7109375" style="87" customWidth="1"/>
    <col min="9705" max="9705" width="8.42578125" style="87" customWidth="1"/>
    <col min="9706" max="9709" width="11.42578125" style="87" customWidth="1"/>
    <col min="9710" max="9710" width="8.5703125" style="87" customWidth="1"/>
    <col min="9711" max="9711" width="12.140625" style="87" customWidth="1"/>
    <col min="9712" max="9712" width="11.28515625" style="87" customWidth="1"/>
    <col min="9713" max="9713" width="9.5703125" style="87" customWidth="1"/>
    <col min="9714" max="9714" width="8.7109375" style="87" customWidth="1"/>
    <col min="9715" max="9716" width="11.42578125" style="87" customWidth="1"/>
    <col min="9717" max="9717" width="9.7109375" style="87" customWidth="1"/>
    <col min="9718" max="9718" width="10" style="87" customWidth="1"/>
    <col min="9719" max="9719" width="11" style="87" bestFit="1" customWidth="1"/>
    <col min="9720" max="9722" width="11" style="87" customWidth="1"/>
    <col min="9723" max="9723" width="9.5703125" style="87" customWidth="1"/>
    <col min="9724" max="9724" width="13.5703125" style="87" bestFit="1" customWidth="1"/>
    <col min="9725" max="9726" width="18.140625" style="87" customWidth="1"/>
    <col min="9727" max="9921" width="11" style="87" customWidth="1"/>
    <col min="9922" max="9922" width="9.28515625" style="87" customWidth="1"/>
    <col min="9923" max="9924" width="11.28515625" style="87" bestFit="1" customWidth="1"/>
    <col min="9925" max="9926" width="12.140625" style="87" customWidth="1"/>
    <col min="9927" max="9927" width="9.5703125" style="87" customWidth="1"/>
    <col min="9928" max="9929" width="8.140625" style="87" bestFit="1" customWidth="1"/>
    <col min="9930" max="9933" width="11.28515625" style="87" customWidth="1"/>
    <col min="9934" max="9934" width="12.28515625" style="87" customWidth="1"/>
    <col min="9935" max="9936" width="12.5703125" style="87" customWidth="1"/>
    <col min="9937" max="9937" width="7.5703125" style="87" customWidth="1"/>
    <col min="9938" max="9939" width="13" style="87" customWidth="1"/>
    <col min="9940" max="9941" width="9.5703125" style="87" customWidth="1"/>
    <col min="9942" max="9944" width="7.85546875" style="87" customWidth="1"/>
    <col min="9945" max="9945" width="16.42578125" style="87" customWidth="1"/>
    <col min="9946" max="9946" width="6.140625" style="87" customWidth="1"/>
    <col min="9947" max="9947" width="8.28515625" style="87" customWidth="1"/>
    <col min="9948" max="9948" width="6.140625" style="87" customWidth="1"/>
    <col min="9949" max="9949" width="14.7109375" style="87" customWidth="1"/>
    <col min="9950" max="9952" width="11.5703125" style="87" customWidth="1"/>
    <col min="9953" max="9953" width="18" style="87" customWidth="1"/>
    <col min="9954" max="9954" width="16.28515625" style="87" customWidth="1"/>
    <col min="9955" max="9955" width="17.5703125" style="87" customWidth="1"/>
    <col min="9956" max="9956" width="15" style="87" bestFit="1" customWidth="1"/>
    <col min="9957" max="9957" width="14.7109375" style="87" bestFit="1" customWidth="1"/>
    <col min="9958" max="9960" width="14.7109375" style="87" customWidth="1"/>
    <col min="9961" max="9961" width="8.42578125" style="87" customWidth="1"/>
    <col min="9962" max="9965" width="11.42578125" style="87" customWidth="1"/>
    <col min="9966" max="9966" width="8.5703125" style="87" customWidth="1"/>
    <col min="9967" max="9967" width="12.140625" style="87" customWidth="1"/>
    <col min="9968" max="9968" width="11.28515625" style="87" customWidth="1"/>
    <col min="9969" max="9969" width="9.5703125" style="87" customWidth="1"/>
    <col min="9970" max="9970" width="8.7109375" style="87" customWidth="1"/>
    <col min="9971" max="9972" width="11.42578125" style="87" customWidth="1"/>
    <col min="9973" max="9973" width="9.7109375" style="87" customWidth="1"/>
    <col min="9974" max="9974" width="10" style="87" customWidth="1"/>
    <col min="9975" max="9975" width="11" style="87" bestFit="1" customWidth="1"/>
    <col min="9976" max="9978" width="11" style="87" customWidth="1"/>
    <col min="9979" max="9979" width="9.5703125" style="87" customWidth="1"/>
    <col min="9980" max="9980" width="13.5703125" style="87" bestFit="1" customWidth="1"/>
    <col min="9981" max="9982" width="18.140625" style="87" customWidth="1"/>
    <col min="9983" max="10177" width="11" style="87" customWidth="1"/>
    <col min="10178" max="10178" width="9.28515625" style="87" customWidth="1"/>
    <col min="10179" max="10180" width="11.28515625" style="87" bestFit="1" customWidth="1"/>
    <col min="10181" max="10182" width="12.140625" style="87" customWidth="1"/>
    <col min="10183" max="10183" width="9.5703125" style="87" customWidth="1"/>
    <col min="10184" max="10185" width="8.140625" style="87" bestFit="1" customWidth="1"/>
    <col min="10186" max="10189" width="11.28515625" style="87" customWidth="1"/>
    <col min="10190" max="10190" width="12.28515625" style="87" customWidth="1"/>
    <col min="10191" max="10192" width="12.5703125" style="87" customWidth="1"/>
    <col min="10193" max="10193" width="7.5703125" style="87" customWidth="1"/>
    <col min="10194" max="10195" width="13" style="87" customWidth="1"/>
    <col min="10196" max="10197" width="9.5703125" style="87" customWidth="1"/>
    <col min="10198" max="10200" width="7.85546875" style="87" customWidth="1"/>
    <col min="10201" max="10201" width="16.42578125" style="87" customWidth="1"/>
    <col min="10202" max="10202" width="6.140625" style="87" customWidth="1"/>
    <col min="10203" max="10203" width="8.28515625" style="87" customWidth="1"/>
    <col min="10204" max="10204" width="6.140625" style="87" customWidth="1"/>
    <col min="10205" max="10205" width="14.7109375" style="87" customWidth="1"/>
    <col min="10206" max="10208" width="11.5703125" style="87" customWidth="1"/>
    <col min="10209" max="10209" width="18" style="87" customWidth="1"/>
    <col min="10210" max="10210" width="16.28515625" style="87" customWidth="1"/>
    <col min="10211" max="10211" width="17.5703125" style="87" customWidth="1"/>
    <col min="10212" max="10212" width="15" style="87" bestFit="1" customWidth="1"/>
    <col min="10213" max="10213" width="14.7109375" style="87" bestFit="1" customWidth="1"/>
    <col min="10214" max="10216" width="14.7109375" style="87" customWidth="1"/>
    <col min="10217" max="10217" width="8.42578125" style="87" customWidth="1"/>
    <col min="10218" max="10221" width="11.42578125" style="87" customWidth="1"/>
    <col min="10222" max="10222" width="8.5703125" style="87" customWidth="1"/>
    <col min="10223" max="10223" width="12.140625" style="87" customWidth="1"/>
    <col min="10224" max="10224" width="11.28515625" style="87" customWidth="1"/>
    <col min="10225" max="10225" width="9.5703125" style="87" customWidth="1"/>
    <col min="10226" max="10226" width="8.7109375" style="87" customWidth="1"/>
    <col min="10227" max="10228" width="11.42578125" style="87" customWidth="1"/>
    <col min="10229" max="10229" width="9.7109375" style="87" customWidth="1"/>
    <col min="10230" max="10230" width="10" style="87" customWidth="1"/>
    <col min="10231" max="10231" width="11" style="87" bestFit="1" customWidth="1"/>
    <col min="10232" max="10234" width="11" style="87" customWidth="1"/>
    <col min="10235" max="10235" width="9.5703125" style="87" customWidth="1"/>
    <col min="10236" max="10236" width="13.5703125" style="87" bestFit="1" customWidth="1"/>
    <col min="10237" max="10238" width="18.140625" style="87" customWidth="1"/>
    <col min="10239" max="10433" width="11" style="87" customWidth="1"/>
    <col min="10434" max="10434" width="9.28515625" style="87" customWidth="1"/>
    <col min="10435" max="10436" width="11.28515625" style="87" bestFit="1" customWidth="1"/>
    <col min="10437" max="10438" width="12.140625" style="87" customWidth="1"/>
    <col min="10439" max="10439" width="9.5703125" style="87" customWidth="1"/>
    <col min="10440" max="10441" width="8.140625" style="87" bestFit="1" customWidth="1"/>
    <col min="10442" max="10445" width="11.28515625" style="87" customWidth="1"/>
    <col min="10446" max="10446" width="12.28515625" style="87" customWidth="1"/>
    <col min="10447" max="10448" width="12.5703125" style="87" customWidth="1"/>
    <col min="10449" max="10449" width="7.5703125" style="87" customWidth="1"/>
    <col min="10450" max="10451" width="13" style="87" customWidth="1"/>
    <col min="10452" max="10453" width="9.5703125" style="87" customWidth="1"/>
    <col min="10454" max="10456" width="7.85546875" style="87" customWidth="1"/>
    <col min="10457" max="10457" width="16.42578125" style="87" customWidth="1"/>
    <col min="10458" max="10458" width="6.140625" style="87" customWidth="1"/>
    <col min="10459" max="10459" width="8.28515625" style="87" customWidth="1"/>
    <col min="10460" max="10460" width="6.140625" style="87" customWidth="1"/>
    <col min="10461" max="10461" width="14.7109375" style="87" customWidth="1"/>
    <col min="10462" max="10464" width="11.5703125" style="87" customWidth="1"/>
    <col min="10465" max="10465" width="18" style="87" customWidth="1"/>
    <col min="10466" max="10466" width="16.28515625" style="87" customWidth="1"/>
    <col min="10467" max="10467" width="17.5703125" style="87" customWidth="1"/>
    <col min="10468" max="10468" width="15" style="87" bestFit="1" customWidth="1"/>
    <col min="10469" max="10469" width="14.7109375" style="87" bestFit="1" customWidth="1"/>
    <col min="10470" max="10472" width="14.7109375" style="87" customWidth="1"/>
    <col min="10473" max="10473" width="8.42578125" style="87" customWidth="1"/>
    <col min="10474" max="10477" width="11.42578125" style="87" customWidth="1"/>
    <col min="10478" max="10478" width="8.5703125" style="87" customWidth="1"/>
    <col min="10479" max="10479" width="12.140625" style="87" customWidth="1"/>
    <col min="10480" max="10480" width="11.28515625" style="87" customWidth="1"/>
    <col min="10481" max="10481" width="9.5703125" style="87" customWidth="1"/>
    <col min="10482" max="10482" width="8.7109375" style="87" customWidth="1"/>
    <col min="10483" max="10484" width="11.42578125" style="87" customWidth="1"/>
    <col min="10485" max="10485" width="9.7109375" style="87" customWidth="1"/>
    <col min="10486" max="10486" width="10" style="87" customWidth="1"/>
    <col min="10487" max="10487" width="11" style="87" bestFit="1" customWidth="1"/>
    <col min="10488" max="10490" width="11" style="87" customWidth="1"/>
    <col min="10491" max="10491" width="9.5703125" style="87" customWidth="1"/>
    <col min="10492" max="10492" width="13.5703125" style="87" bestFit="1" customWidth="1"/>
    <col min="10493" max="10494" width="18.140625" style="87" customWidth="1"/>
    <col min="10495" max="10689" width="11" style="87" customWidth="1"/>
    <col min="10690" max="10690" width="9.28515625" style="87" customWidth="1"/>
    <col min="10691" max="10692" width="11.28515625" style="87" bestFit="1" customWidth="1"/>
    <col min="10693" max="10694" width="12.140625" style="87" customWidth="1"/>
    <col min="10695" max="10695" width="9.5703125" style="87" customWidth="1"/>
    <col min="10696" max="10697" width="8.140625" style="87" bestFit="1" customWidth="1"/>
    <col min="10698" max="10701" width="11.28515625" style="87" customWidth="1"/>
    <col min="10702" max="10702" width="12.28515625" style="87" customWidth="1"/>
    <col min="10703" max="10704" width="12.5703125" style="87" customWidth="1"/>
    <col min="10705" max="10705" width="7.5703125" style="87" customWidth="1"/>
    <col min="10706" max="10707" width="13" style="87" customWidth="1"/>
    <col min="10708" max="10709" width="9.5703125" style="87" customWidth="1"/>
    <col min="10710" max="10712" width="7.85546875" style="87" customWidth="1"/>
    <col min="10713" max="10713" width="16.42578125" style="87" customWidth="1"/>
    <col min="10714" max="10714" width="6.140625" style="87" customWidth="1"/>
    <col min="10715" max="10715" width="8.28515625" style="87" customWidth="1"/>
    <col min="10716" max="10716" width="6.140625" style="87" customWidth="1"/>
    <col min="10717" max="10717" width="14.7109375" style="87" customWidth="1"/>
    <col min="10718" max="10720" width="11.5703125" style="87" customWidth="1"/>
    <col min="10721" max="10721" width="18" style="87" customWidth="1"/>
    <col min="10722" max="10722" width="16.28515625" style="87" customWidth="1"/>
    <col min="10723" max="10723" width="17.5703125" style="87" customWidth="1"/>
    <col min="10724" max="10724" width="15" style="87" bestFit="1" customWidth="1"/>
    <col min="10725" max="10725" width="14.7109375" style="87" bestFit="1" customWidth="1"/>
    <col min="10726" max="10728" width="14.7109375" style="87" customWidth="1"/>
    <col min="10729" max="10729" width="8.42578125" style="87" customWidth="1"/>
    <col min="10730" max="10733" width="11.42578125" style="87" customWidth="1"/>
    <col min="10734" max="10734" width="8.5703125" style="87" customWidth="1"/>
    <col min="10735" max="10735" width="12.140625" style="87" customWidth="1"/>
    <col min="10736" max="10736" width="11.28515625" style="87" customWidth="1"/>
    <col min="10737" max="10737" width="9.5703125" style="87" customWidth="1"/>
    <col min="10738" max="10738" width="8.7109375" style="87" customWidth="1"/>
    <col min="10739" max="10740" width="11.42578125" style="87" customWidth="1"/>
    <col min="10741" max="10741" width="9.7109375" style="87" customWidth="1"/>
    <col min="10742" max="10742" width="10" style="87" customWidth="1"/>
    <col min="10743" max="10743" width="11" style="87" bestFit="1" customWidth="1"/>
    <col min="10744" max="10746" width="11" style="87" customWidth="1"/>
    <col min="10747" max="10747" width="9.5703125" style="87" customWidth="1"/>
    <col min="10748" max="10748" width="13.5703125" style="87" bestFit="1" customWidth="1"/>
    <col min="10749" max="10750" width="18.140625" style="87" customWidth="1"/>
    <col min="10751" max="10945" width="11" style="87" customWidth="1"/>
    <col min="10946" max="10946" width="9.28515625" style="87" customWidth="1"/>
    <col min="10947" max="10948" width="11.28515625" style="87" bestFit="1" customWidth="1"/>
    <col min="10949" max="10950" width="12.140625" style="87" customWidth="1"/>
    <col min="10951" max="10951" width="9.5703125" style="87" customWidth="1"/>
    <col min="10952" max="10953" width="8.140625" style="87" bestFit="1" customWidth="1"/>
    <col min="10954" max="10957" width="11.28515625" style="87" customWidth="1"/>
    <col min="10958" max="10958" width="12.28515625" style="87" customWidth="1"/>
    <col min="10959" max="10960" width="12.5703125" style="87" customWidth="1"/>
    <col min="10961" max="10961" width="7.5703125" style="87" customWidth="1"/>
    <col min="10962" max="10963" width="13" style="87" customWidth="1"/>
    <col min="10964" max="10965" width="9.5703125" style="87" customWidth="1"/>
    <col min="10966" max="10968" width="7.85546875" style="87" customWidth="1"/>
    <col min="10969" max="10969" width="16.42578125" style="87" customWidth="1"/>
    <col min="10970" max="10970" width="6.140625" style="87" customWidth="1"/>
    <col min="10971" max="10971" width="8.28515625" style="87" customWidth="1"/>
    <col min="10972" max="10972" width="6.140625" style="87" customWidth="1"/>
    <col min="10973" max="10973" width="14.7109375" style="87" customWidth="1"/>
    <col min="10974" max="10976" width="11.5703125" style="87" customWidth="1"/>
    <col min="10977" max="10977" width="18" style="87" customWidth="1"/>
    <col min="10978" max="10978" width="16.28515625" style="87" customWidth="1"/>
    <col min="10979" max="10979" width="17.5703125" style="87" customWidth="1"/>
    <col min="10980" max="10980" width="15" style="87" bestFit="1" customWidth="1"/>
    <col min="10981" max="10981" width="14.7109375" style="87" bestFit="1" customWidth="1"/>
    <col min="10982" max="10984" width="14.7109375" style="87" customWidth="1"/>
    <col min="10985" max="10985" width="8.42578125" style="87" customWidth="1"/>
    <col min="10986" max="10989" width="11.42578125" style="87" customWidth="1"/>
    <col min="10990" max="10990" width="8.5703125" style="87" customWidth="1"/>
    <col min="10991" max="10991" width="12.140625" style="87" customWidth="1"/>
    <col min="10992" max="10992" width="11.28515625" style="87" customWidth="1"/>
    <col min="10993" max="10993" width="9.5703125" style="87" customWidth="1"/>
    <col min="10994" max="10994" width="8.7109375" style="87" customWidth="1"/>
    <col min="10995" max="10996" width="11.42578125" style="87" customWidth="1"/>
    <col min="10997" max="10997" width="9.7109375" style="87" customWidth="1"/>
    <col min="10998" max="10998" width="10" style="87" customWidth="1"/>
    <col min="10999" max="10999" width="11" style="87" bestFit="1" customWidth="1"/>
    <col min="11000" max="11002" width="11" style="87" customWidth="1"/>
    <col min="11003" max="11003" width="9.5703125" style="87" customWidth="1"/>
    <col min="11004" max="11004" width="13.5703125" style="87" bestFit="1" customWidth="1"/>
    <col min="11005" max="11006" width="18.140625" style="87" customWidth="1"/>
    <col min="11007" max="11201" width="11" style="87" customWidth="1"/>
    <col min="11202" max="11202" width="9.28515625" style="87" customWidth="1"/>
    <col min="11203" max="11204" width="11.28515625" style="87" bestFit="1" customWidth="1"/>
    <col min="11205" max="11206" width="12.140625" style="87" customWidth="1"/>
    <col min="11207" max="11207" width="9.5703125" style="87" customWidth="1"/>
    <col min="11208" max="11209" width="8.140625" style="87" bestFit="1" customWidth="1"/>
    <col min="11210" max="11213" width="11.28515625" style="87" customWidth="1"/>
    <col min="11214" max="11214" width="12.28515625" style="87" customWidth="1"/>
    <col min="11215" max="11216" width="12.5703125" style="87" customWidth="1"/>
    <col min="11217" max="11217" width="7.5703125" style="87" customWidth="1"/>
    <col min="11218" max="11219" width="13" style="87" customWidth="1"/>
    <col min="11220" max="11221" width="9.5703125" style="87" customWidth="1"/>
    <col min="11222" max="11224" width="7.85546875" style="87" customWidth="1"/>
    <col min="11225" max="11225" width="16.42578125" style="87" customWidth="1"/>
    <col min="11226" max="11226" width="6.140625" style="87" customWidth="1"/>
    <col min="11227" max="11227" width="8.28515625" style="87" customWidth="1"/>
    <col min="11228" max="11228" width="6.140625" style="87" customWidth="1"/>
    <col min="11229" max="11229" width="14.7109375" style="87" customWidth="1"/>
    <col min="11230" max="11232" width="11.5703125" style="87" customWidth="1"/>
    <col min="11233" max="11233" width="18" style="87" customWidth="1"/>
    <col min="11234" max="11234" width="16.28515625" style="87" customWidth="1"/>
    <col min="11235" max="11235" width="17.5703125" style="87" customWidth="1"/>
    <col min="11236" max="11236" width="15" style="87" bestFit="1" customWidth="1"/>
    <col min="11237" max="11237" width="14.7109375" style="87" bestFit="1" customWidth="1"/>
    <col min="11238" max="11240" width="14.7109375" style="87" customWidth="1"/>
    <col min="11241" max="11241" width="8.42578125" style="87" customWidth="1"/>
    <col min="11242" max="11245" width="11.42578125" style="87" customWidth="1"/>
    <col min="11246" max="11246" width="8.5703125" style="87" customWidth="1"/>
    <col min="11247" max="11247" width="12.140625" style="87" customWidth="1"/>
    <col min="11248" max="11248" width="11.28515625" style="87" customWidth="1"/>
    <col min="11249" max="11249" width="9.5703125" style="87" customWidth="1"/>
    <col min="11250" max="11250" width="8.7109375" style="87" customWidth="1"/>
    <col min="11251" max="11252" width="11.42578125" style="87" customWidth="1"/>
    <col min="11253" max="11253" width="9.7109375" style="87" customWidth="1"/>
    <col min="11254" max="11254" width="10" style="87" customWidth="1"/>
    <col min="11255" max="11255" width="11" style="87" bestFit="1" customWidth="1"/>
    <col min="11256" max="11258" width="11" style="87" customWidth="1"/>
    <col min="11259" max="11259" width="9.5703125" style="87" customWidth="1"/>
    <col min="11260" max="11260" width="13.5703125" style="87" bestFit="1" customWidth="1"/>
    <col min="11261" max="11262" width="18.140625" style="87" customWidth="1"/>
    <col min="11263" max="11457" width="11" style="87" customWidth="1"/>
    <col min="11458" max="11458" width="9.28515625" style="87" customWidth="1"/>
    <col min="11459" max="11460" width="11.28515625" style="87" bestFit="1" customWidth="1"/>
    <col min="11461" max="11462" width="12.140625" style="87" customWidth="1"/>
    <col min="11463" max="11463" width="9.5703125" style="87" customWidth="1"/>
    <col min="11464" max="11465" width="8.140625" style="87" bestFit="1" customWidth="1"/>
    <col min="11466" max="11469" width="11.28515625" style="87" customWidth="1"/>
    <col min="11470" max="11470" width="12.28515625" style="87" customWidth="1"/>
    <col min="11471" max="11472" width="12.5703125" style="87" customWidth="1"/>
    <col min="11473" max="11473" width="7.5703125" style="87" customWidth="1"/>
    <col min="11474" max="11475" width="13" style="87" customWidth="1"/>
    <col min="11476" max="11477" width="9.5703125" style="87" customWidth="1"/>
    <col min="11478" max="11480" width="7.85546875" style="87" customWidth="1"/>
    <col min="11481" max="11481" width="16.42578125" style="87" customWidth="1"/>
    <col min="11482" max="11482" width="6.140625" style="87" customWidth="1"/>
    <col min="11483" max="11483" width="8.28515625" style="87" customWidth="1"/>
    <col min="11484" max="11484" width="6.140625" style="87" customWidth="1"/>
    <col min="11485" max="11485" width="14.7109375" style="87" customWidth="1"/>
    <col min="11486" max="11488" width="11.5703125" style="87" customWidth="1"/>
    <col min="11489" max="11489" width="18" style="87" customWidth="1"/>
    <col min="11490" max="11490" width="16.28515625" style="87" customWidth="1"/>
    <col min="11491" max="11491" width="17.5703125" style="87" customWidth="1"/>
    <col min="11492" max="11492" width="15" style="87" bestFit="1" customWidth="1"/>
    <col min="11493" max="11493" width="14.7109375" style="87" bestFit="1" customWidth="1"/>
    <col min="11494" max="11496" width="14.7109375" style="87" customWidth="1"/>
    <col min="11497" max="11497" width="8.42578125" style="87" customWidth="1"/>
    <col min="11498" max="11501" width="11.42578125" style="87" customWidth="1"/>
    <col min="11502" max="11502" width="8.5703125" style="87" customWidth="1"/>
    <col min="11503" max="11503" width="12.140625" style="87" customWidth="1"/>
    <col min="11504" max="11504" width="11.28515625" style="87" customWidth="1"/>
    <col min="11505" max="11505" width="9.5703125" style="87" customWidth="1"/>
    <col min="11506" max="11506" width="8.7109375" style="87" customWidth="1"/>
    <col min="11507" max="11508" width="11.42578125" style="87" customWidth="1"/>
    <col min="11509" max="11509" width="9.7109375" style="87" customWidth="1"/>
    <col min="11510" max="11510" width="10" style="87" customWidth="1"/>
    <col min="11511" max="11511" width="11" style="87" bestFit="1" customWidth="1"/>
    <col min="11512" max="11514" width="11" style="87" customWidth="1"/>
    <col min="11515" max="11515" width="9.5703125" style="87" customWidth="1"/>
    <col min="11516" max="11516" width="13.5703125" style="87" bestFit="1" customWidth="1"/>
    <col min="11517" max="11518" width="18.140625" style="87" customWidth="1"/>
    <col min="11519" max="11713" width="11" style="87" customWidth="1"/>
    <col min="11714" max="11714" width="9.28515625" style="87" customWidth="1"/>
    <col min="11715" max="11716" width="11.28515625" style="87" bestFit="1" customWidth="1"/>
    <col min="11717" max="11718" width="12.140625" style="87" customWidth="1"/>
    <col min="11719" max="11719" width="9.5703125" style="87" customWidth="1"/>
    <col min="11720" max="11721" width="8.140625" style="87" bestFit="1" customWidth="1"/>
    <col min="11722" max="11725" width="11.28515625" style="87" customWidth="1"/>
    <col min="11726" max="11726" width="12.28515625" style="87" customWidth="1"/>
    <col min="11727" max="11728" width="12.5703125" style="87" customWidth="1"/>
    <col min="11729" max="11729" width="7.5703125" style="87" customWidth="1"/>
    <col min="11730" max="11731" width="13" style="87" customWidth="1"/>
    <col min="11732" max="11733" width="9.5703125" style="87" customWidth="1"/>
    <col min="11734" max="11736" width="7.85546875" style="87" customWidth="1"/>
    <col min="11737" max="11737" width="16.42578125" style="87" customWidth="1"/>
    <col min="11738" max="11738" width="6.140625" style="87" customWidth="1"/>
    <col min="11739" max="11739" width="8.28515625" style="87" customWidth="1"/>
    <col min="11740" max="11740" width="6.140625" style="87" customWidth="1"/>
    <col min="11741" max="11741" width="14.7109375" style="87" customWidth="1"/>
    <col min="11742" max="11744" width="11.5703125" style="87" customWidth="1"/>
    <col min="11745" max="11745" width="18" style="87" customWidth="1"/>
    <col min="11746" max="11746" width="16.28515625" style="87" customWidth="1"/>
    <col min="11747" max="11747" width="17.5703125" style="87" customWidth="1"/>
    <col min="11748" max="11748" width="15" style="87" bestFit="1" customWidth="1"/>
    <col min="11749" max="11749" width="14.7109375" style="87" bestFit="1" customWidth="1"/>
    <col min="11750" max="11752" width="14.7109375" style="87" customWidth="1"/>
    <col min="11753" max="11753" width="8.42578125" style="87" customWidth="1"/>
    <col min="11754" max="11757" width="11.42578125" style="87" customWidth="1"/>
    <col min="11758" max="11758" width="8.5703125" style="87" customWidth="1"/>
    <col min="11759" max="11759" width="12.140625" style="87" customWidth="1"/>
    <col min="11760" max="11760" width="11.28515625" style="87" customWidth="1"/>
    <col min="11761" max="11761" width="9.5703125" style="87" customWidth="1"/>
    <col min="11762" max="11762" width="8.7109375" style="87" customWidth="1"/>
    <col min="11763" max="11764" width="11.42578125" style="87" customWidth="1"/>
    <col min="11765" max="11765" width="9.7109375" style="87" customWidth="1"/>
    <col min="11766" max="11766" width="10" style="87" customWidth="1"/>
    <col min="11767" max="11767" width="11" style="87" bestFit="1" customWidth="1"/>
    <col min="11768" max="11770" width="11" style="87" customWidth="1"/>
    <col min="11771" max="11771" width="9.5703125" style="87" customWidth="1"/>
    <col min="11772" max="11772" width="13.5703125" style="87" bestFit="1" customWidth="1"/>
    <col min="11773" max="11774" width="18.140625" style="87" customWidth="1"/>
    <col min="11775" max="11969" width="11" style="87" customWidth="1"/>
    <col min="11970" max="11970" width="9.28515625" style="87" customWidth="1"/>
    <col min="11971" max="11972" width="11.28515625" style="87" bestFit="1" customWidth="1"/>
    <col min="11973" max="11974" width="12.140625" style="87" customWidth="1"/>
    <col min="11975" max="11975" width="9.5703125" style="87" customWidth="1"/>
    <col min="11976" max="11977" width="8.140625" style="87" bestFit="1" customWidth="1"/>
    <col min="11978" max="11981" width="11.28515625" style="87" customWidth="1"/>
    <col min="11982" max="11982" width="12.28515625" style="87" customWidth="1"/>
    <col min="11983" max="11984" width="12.5703125" style="87" customWidth="1"/>
    <col min="11985" max="11985" width="7.5703125" style="87" customWidth="1"/>
    <col min="11986" max="11987" width="13" style="87" customWidth="1"/>
    <col min="11988" max="11989" width="9.5703125" style="87" customWidth="1"/>
    <col min="11990" max="11992" width="7.85546875" style="87" customWidth="1"/>
    <col min="11993" max="11993" width="16.42578125" style="87" customWidth="1"/>
    <col min="11994" max="11994" width="6.140625" style="87" customWidth="1"/>
    <col min="11995" max="11995" width="8.28515625" style="87" customWidth="1"/>
    <col min="11996" max="11996" width="6.140625" style="87" customWidth="1"/>
    <col min="11997" max="11997" width="14.7109375" style="87" customWidth="1"/>
    <col min="11998" max="12000" width="11.5703125" style="87" customWidth="1"/>
    <col min="12001" max="12001" width="18" style="87" customWidth="1"/>
    <col min="12002" max="12002" width="16.28515625" style="87" customWidth="1"/>
    <col min="12003" max="12003" width="17.5703125" style="87" customWidth="1"/>
    <col min="12004" max="12004" width="15" style="87" bestFit="1" customWidth="1"/>
    <col min="12005" max="12005" width="14.7109375" style="87" bestFit="1" customWidth="1"/>
    <col min="12006" max="12008" width="14.7109375" style="87" customWidth="1"/>
    <col min="12009" max="12009" width="8.42578125" style="87" customWidth="1"/>
    <col min="12010" max="12013" width="11.42578125" style="87" customWidth="1"/>
    <col min="12014" max="12014" width="8.5703125" style="87" customWidth="1"/>
    <col min="12015" max="12015" width="12.140625" style="87" customWidth="1"/>
    <col min="12016" max="12016" width="11.28515625" style="87" customWidth="1"/>
    <col min="12017" max="12017" width="9.5703125" style="87" customWidth="1"/>
    <col min="12018" max="12018" width="8.7109375" style="87" customWidth="1"/>
    <col min="12019" max="12020" width="11.42578125" style="87" customWidth="1"/>
    <col min="12021" max="12021" width="9.7109375" style="87" customWidth="1"/>
    <col min="12022" max="12022" width="10" style="87" customWidth="1"/>
    <col min="12023" max="12023" width="11" style="87" bestFit="1" customWidth="1"/>
    <col min="12024" max="12026" width="11" style="87" customWidth="1"/>
    <col min="12027" max="12027" width="9.5703125" style="87" customWidth="1"/>
    <col min="12028" max="12028" width="13.5703125" style="87" bestFit="1" customWidth="1"/>
    <col min="12029" max="12030" width="18.140625" style="87" customWidth="1"/>
    <col min="12031" max="12225" width="11" style="87" customWidth="1"/>
    <col min="12226" max="12226" width="9.28515625" style="87" customWidth="1"/>
    <col min="12227" max="12228" width="11.28515625" style="87" bestFit="1" customWidth="1"/>
    <col min="12229" max="12230" width="12.140625" style="87" customWidth="1"/>
    <col min="12231" max="12231" width="9.5703125" style="87" customWidth="1"/>
    <col min="12232" max="12233" width="8.140625" style="87" bestFit="1" customWidth="1"/>
    <col min="12234" max="12237" width="11.28515625" style="87" customWidth="1"/>
    <col min="12238" max="12238" width="12.28515625" style="87" customWidth="1"/>
    <col min="12239" max="12240" width="12.5703125" style="87" customWidth="1"/>
    <col min="12241" max="12241" width="7.5703125" style="87" customWidth="1"/>
    <col min="12242" max="12243" width="13" style="87" customWidth="1"/>
    <col min="12244" max="12245" width="9.5703125" style="87" customWidth="1"/>
    <col min="12246" max="12248" width="7.85546875" style="87" customWidth="1"/>
    <col min="12249" max="12249" width="16.42578125" style="87" customWidth="1"/>
    <col min="12250" max="12250" width="6.140625" style="87" customWidth="1"/>
    <col min="12251" max="12251" width="8.28515625" style="87" customWidth="1"/>
    <col min="12252" max="12252" width="6.140625" style="87" customWidth="1"/>
    <col min="12253" max="12253" width="14.7109375" style="87" customWidth="1"/>
    <col min="12254" max="12256" width="11.5703125" style="87" customWidth="1"/>
    <col min="12257" max="12257" width="18" style="87" customWidth="1"/>
    <col min="12258" max="12258" width="16.28515625" style="87" customWidth="1"/>
    <col min="12259" max="12259" width="17.5703125" style="87" customWidth="1"/>
    <col min="12260" max="12260" width="15" style="87" bestFit="1" customWidth="1"/>
    <col min="12261" max="12261" width="14.7109375" style="87" bestFit="1" customWidth="1"/>
    <col min="12262" max="12264" width="14.7109375" style="87" customWidth="1"/>
    <col min="12265" max="12265" width="8.42578125" style="87" customWidth="1"/>
    <col min="12266" max="12269" width="11.42578125" style="87" customWidth="1"/>
    <col min="12270" max="12270" width="8.5703125" style="87" customWidth="1"/>
    <col min="12271" max="12271" width="12.140625" style="87" customWidth="1"/>
    <col min="12272" max="12272" width="11.28515625" style="87" customWidth="1"/>
    <col min="12273" max="12273" width="9.5703125" style="87" customWidth="1"/>
    <col min="12274" max="12274" width="8.7109375" style="87" customWidth="1"/>
    <col min="12275" max="12276" width="11.42578125" style="87" customWidth="1"/>
    <col min="12277" max="12277" width="9.7109375" style="87" customWidth="1"/>
    <col min="12278" max="12278" width="10" style="87" customWidth="1"/>
    <col min="12279" max="12279" width="11" style="87" bestFit="1" customWidth="1"/>
    <col min="12280" max="12282" width="11" style="87" customWidth="1"/>
    <col min="12283" max="12283" width="9.5703125" style="87" customWidth="1"/>
    <col min="12284" max="12284" width="13.5703125" style="87" bestFit="1" customWidth="1"/>
    <col min="12285" max="12286" width="18.140625" style="87" customWidth="1"/>
    <col min="12287" max="12481" width="11" style="87" customWidth="1"/>
    <col min="12482" max="12482" width="9.28515625" style="87" customWidth="1"/>
    <col min="12483" max="12484" width="11.28515625" style="87" bestFit="1" customWidth="1"/>
    <col min="12485" max="12486" width="12.140625" style="87" customWidth="1"/>
    <col min="12487" max="12487" width="9.5703125" style="87" customWidth="1"/>
    <col min="12488" max="12489" width="8.140625" style="87" bestFit="1" customWidth="1"/>
    <col min="12490" max="12493" width="11.28515625" style="87" customWidth="1"/>
    <col min="12494" max="12494" width="12.28515625" style="87" customWidth="1"/>
    <col min="12495" max="12496" width="12.5703125" style="87" customWidth="1"/>
    <col min="12497" max="12497" width="7.5703125" style="87" customWidth="1"/>
    <col min="12498" max="12499" width="13" style="87" customWidth="1"/>
    <col min="12500" max="12501" width="9.5703125" style="87" customWidth="1"/>
    <col min="12502" max="12504" width="7.85546875" style="87" customWidth="1"/>
    <col min="12505" max="12505" width="16.42578125" style="87" customWidth="1"/>
    <col min="12506" max="12506" width="6.140625" style="87" customWidth="1"/>
    <col min="12507" max="12507" width="8.28515625" style="87" customWidth="1"/>
    <col min="12508" max="12508" width="6.140625" style="87" customWidth="1"/>
    <col min="12509" max="12509" width="14.7109375" style="87" customWidth="1"/>
    <col min="12510" max="12512" width="11.5703125" style="87" customWidth="1"/>
    <col min="12513" max="12513" width="18" style="87" customWidth="1"/>
    <col min="12514" max="12514" width="16.28515625" style="87" customWidth="1"/>
    <col min="12515" max="12515" width="17.5703125" style="87" customWidth="1"/>
    <col min="12516" max="12516" width="15" style="87" bestFit="1" customWidth="1"/>
    <col min="12517" max="12517" width="14.7109375" style="87" bestFit="1" customWidth="1"/>
    <col min="12518" max="12520" width="14.7109375" style="87" customWidth="1"/>
    <col min="12521" max="12521" width="8.42578125" style="87" customWidth="1"/>
    <col min="12522" max="12525" width="11.42578125" style="87" customWidth="1"/>
    <col min="12526" max="12526" width="8.5703125" style="87" customWidth="1"/>
    <col min="12527" max="12527" width="12.140625" style="87" customWidth="1"/>
    <col min="12528" max="12528" width="11.28515625" style="87" customWidth="1"/>
    <col min="12529" max="12529" width="9.5703125" style="87" customWidth="1"/>
    <col min="12530" max="12530" width="8.7109375" style="87" customWidth="1"/>
    <col min="12531" max="12532" width="11.42578125" style="87" customWidth="1"/>
    <col min="12533" max="12533" width="9.7109375" style="87" customWidth="1"/>
    <col min="12534" max="12534" width="10" style="87" customWidth="1"/>
    <col min="12535" max="12535" width="11" style="87" bestFit="1" customWidth="1"/>
    <col min="12536" max="12538" width="11" style="87" customWidth="1"/>
    <col min="12539" max="12539" width="9.5703125" style="87" customWidth="1"/>
    <col min="12540" max="12540" width="13.5703125" style="87" bestFit="1" customWidth="1"/>
    <col min="12541" max="12542" width="18.140625" style="87" customWidth="1"/>
    <col min="12543" max="12737" width="11" style="87" customWidth="1"/>
    <col min="12738" max="12738" width="9.28515625" style="87" customWidth="1"/>
    <col min="12739" max="12740" width="11.28515625" style="87" bestFit="1" customWidth="1"/>
    <col min="12741" max="12742" width="12.140625" style="87" customWidth="1"/>
    <col min="12743" max="12743" width="9.5703125" style="87" customWidth="1"/>
    <col min="12744" max="12745" width="8.140625" style="87" bestFit="1" customWidth="1"/>
    <col min="12746" max="12749" width="11.28515625" style="87" customWidth="1"/>
    <col min="12750" max="12750" width="12.28515625" style="87" customWidth="1"/>
    <col min="12751" max="12752" width="12.5703125" style="87" customWidth="1"/>
    <col min="12753" max="12753" width="7.5703125" style="87" customWidth="1"/>
    <col min="12754" max="12755" width="13" style="87" customWidth="1"/>
    <col min="12756" max="12757" width="9.5703125" style="87" customWidth="1"/>
    <col min="12758" max="12760" width="7.85546875" style="87" customWidth="1"/>
    <col min="12761" max="12761" width="16.42578125" style="87" customWidth="1"/>
    <col min="12762" max="12762" width="6.140625" style="87" customWidth="1"/>
    <col min="12763" max="12763" width="8.28515625" style="87" customWidth="1"/>
    <col min="12764" max="12764" width="6.140625" style="87" customWidth="1"/>
    <col min="12765" max="12765" width="14.7109375" style="87" customWidth="1"/>
    <col min="12766" max="12768" width="11.5703125" style="87" customWidth="1"/>
    <col min="12769" max="12769" width="18" style="87" customWidth="1"/>
    <col min="12770" max="12770" width="16.28515625" style="87" customWidth="1"/>
    <col min="12771" max="12771" width="17.5703125" style="87" customWidth="1"/>
    <col min="12772" max="12772" width="15" style="87" bestFit="1" customWidth="1"/>
    <col min="12773" max="12773" width="14.7109375" style="87" bestFit="1" customWidth="1"/>
    <col min="12774" max="12776" width="14.7109375" style="87" customWidth="1"/>
    <col min="12777" max="12777" width="8.42578125" style="87" customWidth="1"/>
    <col min="12778" max="12781" width="11.42578125" style="87" customWidth="1"/>
    <col min="12782" max="12782" width="8.5703125" style="87" customWidth="1"/>
    <col min="12783" max="12783" width="12.140625" style="87" customWidth="1"/>
    <col min="12784" max="12784" width="11.28515625" style="87" customWidth="1"/>
    <col min="12785" max="12785" width="9.5703125" style="87" customWidth="1"/>
    <col min="12786" max="12786" width="8.7109375" style="87" customWidth="1"/>
    <col min="12787" max="12788" width="11.42578125" style="87" customWidth="1"/>
    <col min="12789" max="12789" width="9.7109375" style="87" customWidth="1"/>
    <col min="12790" max="12790" width="10" style="87" customWidth="1"/>
    <col min="12791" max="12791" width="11" style="87" bestFit="1" customWidth="1"/>
    <col min="12792" max="12794" width="11" style="87" customWidth="1"/>
    <col min="12795" max="12795" width="9.5703125" style="87" customWidth="1"/>
    <col min="12796" max="12796" width="13.5703125" style="87" bestFit="1" customWidth="1"/>
    <col min="12797" max="12798" width="18.140625" style="87" customWidth="1"/>
    <col min="12799" max="12993" width="11" style="87" customWidth="1"/>
    <col min="12994" max="12994" width="9.28515625" style="87" customWidth="1"/>
    <col min="12995" max="12996" width="11.28515625" style="87" bestFit="1" customWidth="1"/>
    <col min="12997" max="12998" width="12.140625" style="87" customWidth="1"/>
    <col min="12999" max="12999" width="9.5703125" style="87" customWidth="1"/>
    <col min="13000" max="13001" width="8.140625" style="87" bestFit="1" customWidth="1"/>
    <col min="13002" max="13005" width="11.28515625" style="87" customWidth="1"/>
    <col min="13006" max="13006" width="12.28515625" style="87" customWidth="1"/>
    <col min="13007" max="13008" width="12.5703125" style="87" customWidth="1"/>
    <col min="13009" max="13009" width="7.5703125" style="87" customWidth="1"/>
    <col min="13010" max="13011" width="13" style="87" customWidth="1"/>
    <col min="13012" max="13013" width="9.5703125" style="87" customWidth="1"/>
    <col min="13014" max="13016" width="7.85546875" style="87" customWidth="1"/>
    <col min="13017" max="13017" width="16.42578125" style="87" customWidth="1"/>
    <col min="13018" max="13018" width="6.140625" style="87" customWidth="1"/>
    <col min="13019" max="13019" width="8.28515625" style="87" customWidth="1"/>
    <col min="13020" max="13020" width="6.140625" style="87" customWidth="1"/>
    <col min="13021" max="13021" width="14.7109375" style="87" customWidth="1"/>
    <col min="13022" max="13024" width="11.5703125" style="87" customWidth="1"/>
    <col min="13025" max="13025" width="18" style="87" customWidth="1"/>
    <col min="13026" max="13026" width="16.28515625" style="87" customWidth="1"/>
    <col min="13027" max="13027" width="17.5703125" style="87" customWidth="1"/>
    <col min="13028" max="13028" width="15" style="87" bestFit="1" customWidth="1"/>
    <col min="13029" max="13029" width="14.7109375" style="87" bestFit="1" customWidth="1"/>
    <col min="13030" max="13032" width="14.7109375" style="87" customWidth="1"/>
    <col min="13033" max="13033" width="8.42578125" style="87" customWidth="1"/>
    <col min="13034" max="13037" width="11.42578125" style="87" customWidth="1"/>
    <col min="13038" max="13038" width="8.5703125" style="87" customWidth="1"/>
    <col min="13039" max="13039" width="12.140625" style="87" customWidth="1"/>
    <col min="13040" max="13040" width="11.28515625" style="87" customWidth="1"/>
    <col min="13041" max="13041" width="9.5703125" style="87" customWidth="1"/>
    <col min="13042" max="13042" width="8.7109375" style="87" customWidth="1"/>
    <col min="13043" max="13044" width="11.42578125" style="87" customWidth="1"/>
    <col min="13045" max="13045" width="9.7109375" style="87" customWidth="1"/>
    <col min="13046" max="13046" width="10" style="87" customWidth="1"/>
    <col min="13047" max="13047" width="11" style="87" bestFit="1" customWidth="1"/>
    <col min="13048" max="13050" width="11" style="87" customWidth="1"/>
    <col min="13051" max="13051" width="9.5703125" style="87" customWidth="1"/>
    <col min="13052" max="13052" width="13.5703125" style="87" bestFit="1" customWidth="1"/>
    <col min="13053" max="13054" width="18.140625" style="87" customWidth="1"/>
    <col min="13055" max="13249" width="11" style="87" customWidth="1"/>
    <col min="13250" max="13250" width="9.28515625" style="87" customWidth="1"/>
    <col min="13251" max="13252" width="11.28515625" style="87" bestFit="1" customWidth="1"/>
    <col min="13253" max="13254" width="12.140625" style="87" customWidth="1"/>
    <col min="13255" max="13255" width="9.5703125" style="87" customWidth="1"/>
    <col min="13256" max="13257" width="8.140625" style="87" bestFit="1" customWidth="1"/>
    <col min="13258" max="13261" width="11.28515625" style="87" customWidth="1"/>
    <col min="13262" max="13262" width="12.28515625" style="87" customWidth="1"/>
    <col min="13263" max="13264" width="12.5703125" style="87" customWidth="1"/>
    <col min="13265" max="13265" width="7.5703125" style="87" customWidth="1"/>
    <col min="13266" max="13267" width="13" style="87" customWidth="1"/>
    <col min="13268" max="13269" width="9.5703125" style="87" customWidth="1"/>
    <col min="13270" max="13272" width="7.85546875" style="87" customWidth="1"/>
    <col min="13273" max="13273" width="16.42578125" style="87" customWidth="1"/>
    <col min="13274" max="13274" width="6.140625" style="87" customWidth="1"/>
    <col min="13275" max="13275" width="8.28515625" style="87" customWidth="1"/>
    <col min="13276" max="13276" width="6.140625" style="87" customWidth="1"/>
    <col min="13277" max="13277" width="14.7109375" style="87" customWidth="1"/>
    <col min="13278" max="13280" width="11.5703125" style="87" customWidth="1"/>
    <col min="13281" max="13281" width="18" style="87" customWidth="1"/>
    <col min="13282" max="13282" width="16.28515625" style="87" customWidth="1"/>
    <col min="13283" max="13283" width="17.5703125" style="87" customWidth="1"/>
    <col min="13284" max="13284" width="15" style="87" bestFit="1" customWidth="1"/>
    <col min="13285" max="13285" width="14.7109375" style="87" bestFit="1" customWidth="1"/>
    <col min="13286" max="13288" width="14.7109375" style="87" customWidth="1"/>
    <col min="13289" max="13289" width="8.42578125" style="87" customWidth="1"/>
    <col min="13290" max="13293" width="11.42578125" style="87" customWidth="1"/>
    <col min="13294" max="13294" width="8.5703125" style="87" customWidth="1"/>
    <col min="13295" max="13295" width="12.140625" style="87" customWidth="1"/>
    <col min="13296" max="13296" width="11.28515625" style="87" customWidth="1"/>
    <col min="13297" max="13297" width="9.5703125" style="87" customWidth="1"/>
    <col min="13298" max="13298" width="8.7109375" style="87" customWidth="1"/>
    <col min="13299" max="13300" width="11.42578125" style="87" customWidth="1"/>
    <col min="13301" max="13301" width="9.7109375" style="87" customWidth="1"/>
    <col min="13302" max="13302" width="10" style="87" customWidth="1"/>
    <col min="13303" max="13303" width="11" style="87" bestFit="1" customWidth="1"/>
    <col min="13304" max="13306" width="11" style="87" customWidth="1"/>
    <col min="13307" max="13307" width="9.5703125" style="87" customWidth="1"/>
    <col min="13308" max="13308" width="13.5703125" style="87" bestFit="1" customWidth="1"/>
    <col min="13309" max="13310" width="18.140625" style="87" customWidth="1"/>
    <col min="13311" max="13505" width="11" style="87" customWidth="1"/>
    <col min="13506" max="13506" width="9.28515625" style="87" customWidth="1"/>
    <col min="13507" max="13508" width="11.28515625" style="87" bestFit="1" customWidth="1"/>
    <col min="13509" max="13510" width="12.140625" style="87" customWidth="1"/>
    <col min="13511" max="13511" width="9.5703125" style="87" customWidth="1"/>
    <col min="13512" max="13513" width="8.140625" style="87" bestFit="1" customWidth="1"/>
    <col min="13514" max="13517" width="11.28515625" style="87" customWidth="1"/>
    <col min="13518" max="13518" width="12.28515625" style="87" customWidth="1"/>
    <col min="13519" max="13520" width="12.5703125" style="87" customWidth="1"/>
    <col min="13521" max="13521" width="7.5703125" style="87" customWidth="1"/>
    <col min="13522" max="13523" width="13" style="87" customWidth="1"/>
    <col min="13524" max="13525" width="9.5703125" style="87" customWidth="1"/>
    <col min="13526" max="13528" width="7.85546875" style="87" customWidth="1"/>
    <col min="13529" max="13529" width="16.42578125" style="87" customWidth="1"/>
    <col min="13530" max="13530" width="6.140625" style="87" customWidth="1"/>
    <col min="13531" max="13531" width="8.28515625" style="87" customWidth="1"/>
    <col min="13532" max="13532" width="6.140625" style="87" customWidth="1"/>
    <col min="13533" max="13533" width="14.7109375" style="87" customWidth="1"/>
    <col min="13534" max="13536" width="11.5703125" style="87" customWidth="1"/>
    <col min="13537" max="13537" width="18" style="87" customWidth="1"/>
    <col min="13538" max="13538" width="16.28515625" style="87" customWidth="1"/>
    <col min="13539" max="13539" width="17.5703125" style="87" customWidth="1"/>
    <col min="13540" max="13540" width="15" style="87" bestFit="1" customWidth="1"/>
    <col min="13541" max="13541" width="14.7109375" style="87" bestFit="1" customWidth="1"/>
    <col min="13542" max="13544" width="14.7109375" style="87" customWidth="1"/>
    <col min="13545" max="13545" width="8.42578125" style="87" customWidth="1"/>
    <col min="13546" max="13549" width="11.42578125" style="87" customWidth="1"/>
    <col min="13550" max="13550" width="8.5703125" style="87" customWidth="1"/>
    <col min="13551" max="13551" width="12.140625" style="87" customWidth="1"/>
    <col min="13552" max="13552" width="11.28515625" style="87" customWidth="1"/>
    <col min="13553" max="13553" width="9.5703125" style="87" customWidth="1"/>
    <col min="13554" max="13554" width="8.7109375" style="87" customWidth="1"/>
    <col min="13555" max="13556" width="11.42578125" style="87" customWidth="1"/>
    <col min="13557" max="13557" width="9.7109375" style="87" customWidth="1"/>
    <col min="13558" max="13558" width="10" style="87" customWidth="1"/>
    <col min="13559" max="13559" width="11" style="87" bestFit="1" customWidth="1"/>
    <col min="13560" max="13562" width="11" style="87" customWidth="1"/>
    <col min="13563" max="13563" width="9.5703125" style="87" customWidth="1"/>
    <col min="13564" max="13564" width="13.5703125" style="87" bestFit="1" customWidth="1"/>
    <col min="13565" max="13566" width="18.140625" style="87" customWidth="1"/>
    <col min="13567" max="13761" width="11" style="87" customWidth="1"/>
    <col min="13762" max="13762" width="9.28515625" style="87" customWidth="1"/>
    <col min="13763" max="13764" width="11.28515625" style="87" bestFit="1" customWidth="1"/>
    <col min="13765" max="13766" width="12.140625" style="87" customWidth="1"/>
    <col min="13767" max="13767" width="9.5703125" style="87" customWidth="1"/>
    <col min="13768" max="13769" width="8.140625" style="87" bestFit="1" customWidth="1"/>
    <col min="13770" max="13773" width="11.28515625" style="87" customWidth="1"/>
    <col min="13774" max="13774" width="12.28515625" style="87" customWidth="1"/>
    <col min="13775" max="13776" width="12.5703125" style="87" customWidth="1"/>
    <col min="13777" max="13777" width="7.5703125" style="87" customWidth="1"/>
    <col min="13778" max="13779" width="13" style="87" customWidth="1"/>
    <col min="13780" max="13781" width="9.5703125" style="87" customWidth="1"/>
    <col min="13782" max="13784" width="7.85546875" style="87" customWidth="1"/>
    <col min="13785" max="13785" width="16.42578125" style="87" customWidth="1"/>
    <col min="13786" max="13786" width="6.140625" style="87" customWidth="1"/>
    <col min="13787" max="13787" width="8.28515625" style="87" customWidth="1"/>
    <col min="13788" max="13788" width="6.140625" style="87" customWidth="1"/>
    <col min="13789" max="13789" width="14.7109375" style="87" customWidth="1"/>
    <col min="13790" max="13792" width="11.5703125" style="87" customWidth="1"/>
    <col min="13793" max="13793" width="18" style="87" customWidth="1"/>
    <col min="13794" max="13794" width="16.28515625" style="87" customWidth="1"/>
    <col min="13795" max="13795" width="17.5703125" style="87" customWidth="1"/>
    <col min="13796" max="13796" width="15" style="87" bestFit="1" customWidth="1"/>
    <col min="13797" max="13797" width="14.7109375" style="87" bestFit="1" customWidth="1"/>
    <col min="13798" max="13800" width="14.7109375" style="87" customWidth="1"/>
    <col min="13801" max="13801" width="8.42578125" style="87" customWidth="1"/>
    <col min="13802" max="13805" width="11.42578125" style="87" customWidth="1"/>
    <col min="13806" max="13806" width="8.5703125" style="87" customWidth="1"/>
    <col min="13807" max="13807" width="12.140625" style="87" customWidth="1"/>
    <col min="13808" max="13808" width="11.28515625" style="87" customWidth="1"/>
    <col min="13809" max="13809" width="9.5703125" style="87" customWidth="1"/>
    <col min="13810" max="13810" width="8.7109375" style="87" customWidth="1"/>
    <col min="13811" max="13812" width="11.42578125" style="87" customWidth="1"/>
    <col min="13813" max="13813" width="9.7109375" style="87" customWidth="1"/>
    <col min="13814" max="13814" width="10" style="87" customWidth="1"/>
    <col min="13815" max="13815" width="11" style="87" bestFit="1" customWidth="1"/>
    <col min="13816" max="13818" width="11" style="87" customWidth="1"/>
    <col min="13819" max="13819" width="9.5703125" style="87" customWidth="1"/>
    <col min="13820" max="13820" width="13.5703125" style="87" bestFit="1" customWidth="1"/>
    <col min="13821" max="13822" width="18.140625" style="87" customWidth="1"/>
    <col min="13823" max="14017" width="11" style="87" customWidth="1"/>
    <col min="14018" max="14018" width="9.28515625" style="87" customWidth="1"/>
    <col min="14019" max="14020" width="11.28515625" style="87" bestFit="1" customWidth="1"/>
    <col min="14021" max="14022" width="12.140625" style="87" customWidth="1"/>
    <col min="14023" max="14023" width="9.5703125" style="87" customWidth="1"/>
    <col min="14024" max="14025" width="8.140625" style="87" bestFit="1" customWidth="1"/>
    <col min="14026" max="14029" width="11.28515625" style="87" customWidth="1"/>
    <col min="14030" max="14030" width="12.28515625" style="87" customWidth="1"/>
    <col min="14031" max="14032" width="12.5703125" style="87" customWidth="1"/>
    <col min="14033" max="14033" width="7.5703125" style="87" customWidth="1"/>
    <col min="14034" max="14035" width="13" style="87" customWidth="1"/>
    <col min="14036" max="14037" width="9.5703125" style="87" customWidth="1"/>
    <col min="14038" max="14040" width="7.85546875" style="87" customWidth="1"/>
    <col min="14041" max="14041" width="16.42578125" style="87" customWidth="1"/>
    <col min="14042" max="14042" width="6.140625" style="87" customWidth="1"/>
    <col min="14043" max="14043" width="8.28515625" style="87" customWidth="1"/>
    <col min="14044" max="14044" width="6.140625" style="87" customWidth="1"/>
    <col min="14045" max="14045" width="14.7109375" style="87" customWidth="1"/>
    <col min="14046" max="14048" width="11.5703125" style="87" customWidth="1"/>
    <col min="14049" max="14049" width="18" style="87" customWidth="1"/>
    <col min="14050" max="14050" width="16.28515625" style="87" customWidth="1"/>
    <col min="14051" max="14051" width="17.5703125" style="87" customWidth="1"/>
    <col min="14052" max="14052" width="15" style="87" bestFit="1" customWidth="1"/>
    <col min="14053" max="14053" width="14.7109375" style="87" bestFit="1" customWidth="1"/>
    <col min="14054" max="14056" width="14.7109375" style="87" customWidth="1"/>
    <col min="14057" max="14057" width="8.42578125" style="87" customWidth="1"/>
    <col min="14058" max="14061" width="11.42578125" style="87" customWidth="1"/>
    <col min="14062" max="14062" width="8.5703125" style="87" customWidth="1"/>
    <col min="14063" max="14063" width="12.140625" style="87" customWidth="1"/>
    <col min="14064" max="14064" width="11.28515625" style="87" customWidth="1"/>
    <col min="14065" max="14065" width="9.5703125" style="87" customWidth="1"/>
    <col min="14066" max="14066" width="8.7109375" style="87" customWidth="1"/>
    <col min="14067" max="14068" width="11.42578125" style="87" customWidth="1"/>
    <col min="14069" max="14069" width="9.7109375" style="87" customWidth="1"/>
    <col min="14070" max="14070" width="10" style="87" customWidth="1"/>
    <col min="14071" max="14071" width="11" style="87" bestFit="1" customWidth="1"/>
    <col min="14072" max="14074" width="11" style="87" customWidth="1"/>
    <col min="14075" max="14075" width="9.5703125" style="87" customWidth="1"/>
    <col min="14076" max="14076" width="13.5703125" style="87" bestFit="1" customWidth="1"/>
    <col min="14077" max="14078" width="18.140625" style="87" customWidth="1"/>
    <col min="14079" max="14273" width="11" style="87" customWidth="1"/>
    <col min="14274" max="14274" width="9.28515625" style="87" customWidth="1"/>
    <col min="14275" max="14276" width="11.28515625" style="87" bestFit="1" customWidth="1"/>
    <col min="14277" max="14278" width="12.140625" style="87" customWidth="1"/>
    <col min="14279" max="14279" width="9.5703125" style="87" customWidth="1"/>
    <col min="14280" max="14281" width="8.140625" style="87" bestFit="1" customWidth="1"/>
    <col min="14282" max="14285" width="11.28515625" style="87" customWidth="1"/>
    <col min="14286" max="14286" width="12.28515625" style="87" customWidth="1"/>
    <col min="14287" max="14288" width="12.5703125" style="87" customWidth="1"/>
    <col min="14289" max="14289" width="7.5703125" style="87" customWidth="1"/>
    <col min="14290" max="14291" width="13" style="87" customWidth="1"/>
    <col min="14292" max="14293" width="9.5703125" style="87" customWidth="1"/>
    <col min="14294" max="14296" width="7.85546875" style="87" customWidth="1"/>
    <col min="14297" max="14297" width="16.42578125" style="87" customWidth="1"/>
    <col min="14298" max="14298" width="6.140625" style="87" customWidth="1"/>
    <col min="14299" max="14299" width="8.28515625" style="87" customWidth="1"/>
    <col min="14300" max="14300" width="6.140625" style="87" customWidth="1"/>
    <col min="14301" max="14301" width="14.7109375" style="87" customWidth="1"/>
    <col min="14302" max="14304" width="11.5703125" style="87" customWidth="1"/>
    <col min="14305" max="14305" width="18" style="87" customWidth="1"/>
    <col min="14306" max="14306" width="16.28515625" style="87" customWidth="1"/>
    <col min="14307" max="14307" width="17.5703125" style="87" customWidth="1"/>
    <col min="14308" max="14308" width="15" style="87" bestFit="1" customWidth="1"/>
    <col min="14309" max="14309" width="14.7109375" style="87" bestFit="1" customWidth="1"/>
    <col min="14310" max="14312" width="14.7109375" style="87" customWidth="1"/>
    <col min="14313" max="14313" width="8.42578125" style="87" customWidth="1"/>
    <col min="14314" max="14317" width="11.42578125" style="87" customWidth="1"/>
    <col min="14318" max="14318" width="8.5703125" style="87" customWidth="1"/>
    <col min="14319" max="14319" width="12.140625" style="87" customWidth="1"/>
    <col min="14320" max="14320" width="11.28515625" style="87" customWidth="1"/>
    <col min="14321" max="14321" width="9.5703125" style="87" customWidth="1"/>
    <col min="14322" max="14322" width="8.7109375" style="87" customWidth="1"/>
    <col min="14323" max="14324" width="11.42578125" style="87" customWidth="1"/>
    <col min="14325" max="14325" width="9.7109375" style="87" customWidth="1"/>
    <col min="14326" max="14326" width="10" style="87" customWidth="1"/>
    <col min="14327" max="14327" width="11" style="87" bestFit="1" customWidth="1"/>
    <col min="14328" max="14330" width="11" style="87" customWidth="1"/>
    <col min="14331" max="14331" width="9.5703125" style="87" customWidth="1"/>
    <col min="14332" max="14332" width="13.5703125" style="87" bestFit="1" customWidth="1"/>
    <col min="14333" max="14334" width="18.140625" style="87" customWidth="1"/>
    <col min="14335" max="14529" width="11" style="87" customWidth="1"/>
    <col min="14530" max="14530" width="9.28515625" style="87" customWidth="1"/>
    <col min="14531" max="14532" width="11.28515625" style="87" bestFit="1" customWidth="1"/>
    <col min="14533" max="14534" width="12.140625" style="87" customWidth="1"/>
    <col min="14535" max="14535" width="9.5703125" style="87" customWidth="1"/>
    <col min="14536" max="14537" width="8.140625" style="87" bestFit="1" customWidth="1"/>
    <col min="14538" max="14541" width="11.28515625" style="87" customWidth="1"/>
    <col min="14542" max="14542" width="12.28515625" style="87" customWidth="1"/>
    <col min="14543" max="14544" width="12.5703125" style="87" customWidth="1"/>
    <col min="14545" max="14545" width="7.5703125" style="87" customWidth="1"/>
    <col min="14546" max="14547" width="13" style="87" customWidth="1"/>
    <col min="14548" max="14549" width="9.5703125" style="87" customWidth="1"/>
    <col min="14550" max="14552" width="7.85546875" style="87" customWidth="1"/>
    <col min="14553" max="14553" width="16.42578125" style="87" customWidth="1"/>
    <col min="14554" max="14554" width="6.140625" style="87" customWidth="1"/>
    <col min="14555" max="14555" width="8.28515625" style="87" customWidth="1"/>
    <col min="14556" max="14556" width="6.140625" style="87" customWidth="1"/>
    <col min="14557" max="14557" width="14.7109375" style="87" customWidth="1"/>
    <col min="14558" max="14560" width="11.5703125" style="87" customWidth="1"/>
    <col min="14561" max="14561" width="18" style="87" customWidth="1"/>
    <col min="14562" max="14562" width="16.28515625" style="87" customWidth="1"/>
    <col min="14563" max="14563" width="17.5703125" style="87" customWidth="1"/>
    <col min="14564" max="14564" width="15" style="87" bestFit="1" customWidth="1"/>
    <col min="14565" max="14565" width="14.7109375" style="87" bestFit="1" customWidth="1"/>
    <col min="14566" max="14568" width="14.7109375" style="87" customWidth="1"/>
    <col min="14569" max="14569" width="8.42578125" style="87" customWidth="1"/>
    <col min="14570" max="14573" width="11.42578125" style="87" customWidth="1"/>
    <col min="14574" max="14574" width="8.5703125" style="87" customWidth="1"/>
    <col min="14575" max="14575" width="12.140625" style="87" customWidth="1"/>
    <col min="14576" max="14576" width="11.28515625" style="87" customWidth="1"/>
    <col min="14577" max="14577" width="9.5703125" style="87" customWidth="1"/>
    <col min="14578" max="14578" width="8.7109375" style="87" customWidth="1"/>
    <col min="14579" max="14580" width="11.42578125" style="87" customWidth="1"/>
    <col min="14581" max="14581" width="9.7109375" style="87" customWidth="1"/>
    <col min="14582" max="14582" width="10" style="87" customWidth="1"/>
    <col min="14583" max="14583" width="11" style="87" bestFit="1" customWidth="1"/>
    <col min="14584" max="14586" width="11" style="87" customWidth="1"/>
    <col min="14587" max="14587" width="9.5703125" style="87" customWidth="1"/>
    <col min="14588" max="14588" width="13.5703125" style="87" bestFit="1" customWidth="1"/>
    <col min="14589" max="14590" width="18.140625" style="87" customWidth="1"/>
    <col min="14591" max="14785" width="11" style="87" customWidth="1"/>
    <col min="14786" max="14786" width="9.28515625" style="87" customWidth="1"/>
    <col min="14787" max="14788" width="11.28515625" style="87" bestFit="1" customWidth="1"/>
    <col min="14789" max="14790" width="12.140625" style="87" customWidth="1"/>
    <col min="14791" max="14791" width="9.5703125" style="87" customWidth="1"/>
    <col min="14792" max="14793" width="8.140625" style="87" bestFit="1" customWidth="1"/>
    <col min="14794" max="14797" width="11.28515625" style="87" customWidth="1"/>
    <col min="14798" max="14798" width="12.28515625" style="87" customWidth="1"/>
    <col min="14799" max="14800" width="12.5703125" style="87" customWidth="1"/>
    <col min="14801" max="14801" width="7.5703125" style="87" customWidth="1"/>
    <col min="14802" max="14803" width="13" style="87" customWidth="1"/>
    <col min="14804" max="14805" width="9.5703125" style="87" customWidth="1"/>
    <col min="14806" max="14808" width="7.85546875" style="87" customWidth="1"/>
    <col min="14809" max="14809" width="16.42578125" style="87" customWidth="1"/>
    <col min="14810" max="14810" width="6.140625" style="87" customWidth="1"/>
    <col min="14811" max="14811" width="8.28515625" style="87" customWidth="1"/>
    <col min="14812" max="14812" width="6.140625" style="87" customWidth="1"/>
    <col min="14813" max="14813" width="14.7109375" style="87" customWidth="1"/>
    <col min="14814" max="14816" width="11.5703125" style="87" customWidth="1"/>
    <col min="14817" max="14817" width="18" style="87" customWidth="1"/>
    <col min="14818" max="14818" width="16.28515625" style="87" customWidth="1"/>
    <col min="14819" max="14819" width="17.5703125" style="87" customWidth="1"/>
    <col min="14820" max="14820" width="15" style="87" bestFit="1" customWidth="1"/>
    <col min="14821" max="14821" width="14.7109375" style="87" bestFit="1" customWidth="1"/>
    <col min="14822" max="14824" width="14.7109375" style="87" customWidth="1"/>
    <col min="14825" max="14825" width="8.42578125" style="87" customWidth="1"/>
    <col min="14826" max="14829" width="11.42578125" style="87" customWidth="1"/>
    <col min="14830" max="14830" width="8.5703125" style="87" customWidth="1"/>
    <col min="14831" max="14831" width="12.140625" style="87" customWidth="1"/>
    <col min="14832" max="14832" width="11.28515625" style="87" customWidth="1"/>
    <col min="14833" max="14833" width="9.5703125" style="87" customWidth="1"/>
    <col min="14834" max="14834" width="8.7109375" style="87" customWidth="1"/>
    <col min="14835" max="14836" width="11.42578125" style="87" customWidth="1"/>
    <col min="14837" max="14837" width="9.7109375" style="87" customWidth="1"/>
    <col min="14838" max="14838" width="10" style="87" customWidth="1"/>
    <col min="14839" max="14839" width="11" style="87" bestFit="1" customWidth="1"/>
    <col min="14840" max="14842" width="11" style="87" customWidth="1"/>
    <col min="14843" max="14843" width="9.5703125" style="87" customWidth="1"/>
    <col min="14844" max="14844" width="13.5703125" style="87" bestFit="1" customWidth="1"/>
    <col min="14845" max="14846" width="18.140625" style="87" customWidth="1"/>
    <col min="14847" max="15041" width="11" style="87" customWidth="1"/>
    <col min="15042" max="15042" width="9.28515625" style="87" customWidth="1"/>
    <col min="15043" max="15044" width="11.28515625" style="87" bestFit="1" customWidth="1"/>
    <col min="15045" max="15046" width="12.140625" style="87" customWidth="1"/>
    <col min="15047" max="15047" width="9.5703125" style="87" customWidth="1"/>
    <col min="15048" max="15049" width="8.140625" style="87" bestFit="1" customWidth="1"/>
    <col min="15050" max="15053" width="11.28515625" style="87" customWidth="1"/>
    <col min="15054" max="15054" width="12.28515625" style="87" customWidth="1"/>
    <col min="15055" max="15056" width="12.5703125" style="87" customWidth="1"/>
    <col min="15057" max="15057" width="7.5703125" style="87" customWidth="1"/>
    <col min="15058" max="15059" width="13" style="87" customWidth="1"/>
    <col min="15060" max="15061" width="9.5703125" style="87" customWidth="1"/>
    <col min="15062" max="15064" width="7.85546875" style="87" customWidth="1"/>
    <col min="15065" max="15065" width="16.42578125" style="87" customWidth="1"/>
    <col min="15066" max="15066" width="6.140625" style="87" customWidth="1"/>
    <col min="15067" max="15067" width="8.28515625" style="87" customWidth="1"/>
    <col min="15068" max="15068" width="6.140625" style="87" customWidth="1"/>
    <col min="15069" max="15069" width="14.7109375" style="87" customWidth="1"/>
    <col min="15070" max="15072" width="11.5703125" style="87" customWidth="1"/>
    <col min="15073" max="15073" width="18" style="87" customWidth="1"/>
    <col min="15074" max="15074" width="16.28515625" style="87" customWidth="1"/>
    <col min="15075" max="15075" width="17.5703125" style="87" customWidth="1"/>
    <col min="15076" max="15076" width="15" style="87" bestFit="1" customWidth="1"/>
    <col min="15077" max="15077" width="14.7109375" style="87" bestFit="1" customWidth="1"/>
    <col min="15078" max="15080" width="14.7109375" style="87" customWidth="1"/>
    <col min="15081" max="15081" width="8.42578125" style="87" customWidth="1"/>
    <col min="15082" max="15085" width="11.42578125" style="87" customWidth="1"/>
    <col min="15086" max="15086" width="8.5703125" style="87" customWidth="1"/>
    <col min="15087" max="15087" width="12.140625" style="87" customWidth="1"/>
    <col min="15088" max="15088" width="11.28515625" style="87" customWidth="1"/>
    <col min="15089" max="15089" width="9.5703125" style="87" customWidth="1"/>
    <col min="15090" max="15090" width="8.7109375" style="87" customWidth="1"/>
    <col min="15091" max="15092" width="11.42578125" style="87" customWidth="1"/>
    <col min="15093" max="15093" width="9.7109375" style="87" customWidth="1"/>
    <col min="15094" max="15094" width="10" style="87" customWidth="1"/>
    <col min="15095" max="15095" width="11" style="87" bestFit="1" customWidth="1"/>
    <col min="15096" max="15098" width="11" style="87" customWidth="1"/>
    <col min="15099" max="15099" width="9.5703125" style="87" customWidth="1"/>
    <col min="15100" max="15100" width="13.5703125" style="87" bestFit="1" customWidth="1"/>
    <col min="15101" max="15102" width="18.140625" style="87" customWidth="1"/>
    <col min="15103" max="15297" width="11" style="87" customWidth="1"/>
    <col min="15298" max="15298" width="9.28515625" style="87" customWidth="1"/>
    <col min="15299" max="15300" width="11.28515625" style="87" bestFit="1" customWidth="1"/>
    <col min="15301" max="15302" width="12.140625" style="87" customWidth="1"/>
    <col min="15303" max="15303" width="9.5703125" style="87" customWidth="1"/>
    <col min="15304" max="15305" width="8.140625" style="87" bestFit="1" customWidth="1"/>
    <col min="15306" max="15309" width="11.28515625" style="87" customWidth="1"/>
    <col min="15310" max="15310" width="12.28515625" style="87" customWidth="1"/>
    <col min="15311" max="15312" width="12.5703125" style="87" customWidth="1"/>
    <col min="15313" max="15313" width="7.5703125" style="87" customWidth="1"/>
    <col min="15314" max="15315" width="13" style="87" customWidth="1"/>
    <col min="15316" max="15317" width="9.5703125" style="87" customWidth="1"/>
    <col min="15318" max="15320" width="7.85546875" style="87" customWidth="1"/>
    <col min="15321" max="15321" width="16.42578125" style="87" customWidth="1"/>
    <col min="15322" max="15322" width="6.140625" style="87" customWidth="1"/>
    <col min="15323" max="15323" width="8.28515625" style="87" customWidth="1"/>
    <col min="15324" max="15324" width="6.140625" style="87" customWidth="1"/>
    <col min="15325" max="15325" width="14.7109375" style="87" customWidth="1"/>
    <col min="15326" max="15328" width="11.5703125" style="87" customWidth="1"/>
    <col min="15329" max="15329" width="18" style="87" customWidth="1"/>
    <col min="15330" max="15330" width="16.28515625" style="87" customWidth="1"/>
    <col min="15331" max="15331" width="17.5703125" style="87" customWidth="1"/>
    <col min="15332" max="15332" width="15" style="87" bestFit="1" customWidth="1"/>
    <col min="15333" max="15333" width="14.7109375" style="87" bestFit="1" customWidth="1"/>
    <col min="15334" max="15336" width="14.7109375" style="87" customWidth="1"/>
    <col min="15337" max="15337" width="8.42578125" style="87" customWidth="1"/>
    <col min="15338" max="15341" width="11.42578125" style="87" customWidth="1"/>
    <col min="15342" max="15342" width="8.5703125" style="87" customWidth="1"/>
    <col min="15343" max="15343" width="12.140625" style="87" customWidth="1"/>
    <col min="15344" max="15344" width="11.28515625" style="87" customWidth="1"/>
    <col min="15345" max="15345" width="9.5703125" style="87" customWidth="1"/>
    <col min="15346" max="15346" width="8.7109375" style="87" customWidth="1"/>
    <col min="15347" max="15348" width="11.42578125" style="87" customWidth="1"/>
    <col min="15349" max="15349" width="9.7109375" style="87" customWidth="1"/>
    <col min="15350" max="15350" width="10" style="87" customWidth="1"/>
    <col min="15351" max="15351" width="11" style="87" bestFit="1" customWidth="1"/>
    <col min="15352" max="15354" width="11" style="87" customWidth="1"/>
    <col min="15355" max="15355" width="9.5703125" style="87" customWidth="1"/>
    <col min="15356" max="15356" width="13.5703125" style="87" bestFit="1" customWidth="1"/>
    <col min="15357" max="15358" width="18.140625" style="87" customWidth="1"/>
    <col min="15359" max="15553" width="11" style="87" customWidth="1"/>
    <col min="15554" max="15554" width="9.28515625" style="87" customWidth="1"/>
    <col min="15555" max="15556" width="11.28515625" style="87" bestFit="1" customWidth="1"/>
    <col min="15557" max="15558" width="12.140625" style="87" customWidth="1"/>
    <col min="15559" max="15559" width="9.5703125" style="87" customWidth="1"/>
    <col min="15560" max="15561" width="8.140625" style="87" bestFit="1" customWidth="1"/>
    <col min="15562" max="15565" width="11.28515625" style="87" customWidth="1"/>
    <col min="15566" max="15566" width="12.28515625" style="87" customWidth="1"/>
    <col min="15567" max="15568" width="12.5703125" style="87" customWidth="1"/>
    <col min="15569" max="15569" width="7.5703125" style="87" customWidth="1"/>
    <col min="15570" max="15571" width="13" style="87" customWidth="1"/>
    <col min="15572" max="15573" width="9.5703125" style="87" customWidth="1"/>
    <col min="15574" max="15576" width="7.85546875" style="87" customWidth="1"/>
    <col min="15577" max="15577" width="16.42578125" style="87" customWidth="1"/>
    <col min="15578" max="15578" width="6.140625" style="87" customWidth="1"/>
    <col min="15579" max="15579" width="8.28515625" style="87" customWidth="1"/>
    <col min="15580" max="15580" width="6.140625" style="87" customWidth="1"/>
    <col min="15581" max="15581" width="14.7109375" style="87" customWidth="1"/>
    <col min="15582" max="15584" width="11.5703125" style="87" customWidth="1"/>
    <col min="15585" max="15585" width="18" style="87" customWidth="1"/>
    <col min="15586" max="15586" width="16.28515625" style="87" customWidth="1"/>
    <col min="15587" max="15587" width="17.5703125" style="87" customWidth="1"/>
    <col min="15588" max="15588" width="15" style="87" bestFit="1" customWidth="1"/>
    <col min="15589" max="15589" width="14.7109375" style="87" bestFit="1" customWidth="1"/>
    <col min="15590" max="15592" width="14.7109375" style="87" customWidth="1"/>
    <col min="15593" max="15593" width="8.42578125" style="87" customWidth="1"/>
    <col min="15594" max="15597" width="11.42578125" style="87" customWidth="1"/>
    <col min="15598" max="15598" width="8.5703125" style="87" customWidth="1"/>
    <col min="15599" max="15599" width="12.140625" style="87" customWidth="1"/>
    <col min="15600" max="15600" width="11.28515625" style="87" customWidth="1"/>
    <col min="15601" max="15601" width="9.5703125" style="87" customWidth="1"/>
    <col min="15602" max="15602" width="8.7109375" style="87" customWidth="1"/>
    <col min="15603" max="15604" width="11.42578125" style="87" customWidth="1"/>
    <col min="15605" max="15605" width="9.7109375" style="87" customWidth="1"/>
    <col min="15606" max="15606" width="10" style="87" customWidth="1"/>
    <col min="15607" max="15607" width="11" style="87" bestFit="1" customWidth="1"/>
    <col min="15608" max="15610" width="11" style="87" customWidth="1"/>
    <col min="15611" max="15611" width="9.5703125" style="87" customWidth="1"/>
    <col min="15612" max="15612" width="13.5703125" style="87" bestFit="1" customWidth="1"/>
    <col min="15613" max="15614" width="18.140625" style="87" customWidth="1"/>
    <col min="15615" max="15809" width="11" style="87" customWidth="1"/>
    <col min="15810" max="15810" width="9.28515625" style="87" customWidth="1"/>
    <col min="15811" max="15812" width="11.28515625" style="87" bestFit="1" customWidth="1"/>
    <col min="15813" max="15814" width="12.140625" style="87" customWidth="1"/>
    <col min="15815" max="15815" width="9.5703125" style="87" customWidth="1"/>
    <col min="15816" max="15817" width="8.140625" style="87" bestFit="1" customWidth="1"/>
    <col min="15818" max="15821" width="11.28515625" style="87" customWidth="1"/>
    <col min="15822" max="15822" width="12.28515625" style="87" customWidth="1"/>
    <col min="15823" max="15824" width="12.5703125" style="87" customWidth="1"/>
    <col min="15825" max="15825" width="7.5703125" style="87" customWidth="1"/>
    <col min="15826" max="15827" width="13" style="87" customWidth="1"/>
    <col min="15828" max="15829" width="9.5703125" style="87" customWidth="1"/>
    <col min="15830" max="15832" width="7.85546875" style="87" customWidth="1"/>
    <col min="15833" max="15833" width="16.42578125" style="87" customWidth="1"/>
    <col min="15834" max="15834" width="6.140625" style="87" customWidth="1"/>
    <col min="15835" max="15835" width="8.28515625" style="87" customWidth="1"/>
    <col min="15836" max="15836" width="6.140625" style="87" customWidth="1"/>
    <col min="15837" max="15837" width="14.7109375" style="87" customWidth="1"/>
    <col min="15838" max="15840" width="11.5703125" style="87" customWidth="1"/>
    <col min="15841" max="15841" width="18" style="87" customWidth="1"/>
    <col min="15842" max="15842" width="16.28515625" style="87" customWidth="1"/>
    <col min="15843" max="15843" width="17.5703125" style="87" customWidth="1"/>
    <col min="15844" max="15844" width="15" style="87" bestFit="1" customWidth="1"/>
    <col min="15845" max="15845" width="14.7109375" style="87" bestFit="1" customWidth="1"/>
    <col min="15846" max="15848" width="14.7109375" style="87" customWidth="1"/>
    <col min="15849" max="15849" width="8.42578125" style="87" customWidth="1"/>
    <col min="15850" max="15853" width="11.42578125" style="87" customWidth="1"/>
    <col min="15854" max="15854" width="8.5703125" style="87" customWidth="1"/>
    <col min="15855" max="15855" width="12.140625" style="87" customWidth="1"/>
    <col min="15856" max="15856" width="11.28515625" style="87" customWidth="1"/>
    <col min="15857" max="15857" width="9.5703125" style="87" customWidth="1"/>
    <col min="15858" max="15858" width="8.7109375" style="87" customWidth="1"/>
    <col min="15859" max="15860" width="11.42578125" style="87" customWidth="1"/>
    <col min="15861" max="15861" width="9.7109375" style="87" customWidth="1"/>
    <col min="15862" max="15862" width="10" style="87" customWidth="1"/>
    <col min="15863" max="15863" width="11" style="87" bestFit="1" customWidth="1"/>
    <col min="15864" max="15866" width="11" style="87" customWidth="1"/>
    <col min="15867" max="15867" width="9.5703125" style="87" customWidth="1"/>
    <col min="15868" max="15868" width="13.5703125" style="87" bestFit="1" customWidth="1"/>
    <col min="15869" max="15870" width="18.140625" style="87" customWidth="1"/>
    <col min="15871" max="16065" width="11" style="87" customWidth="1"/>
    <col min="16066" max="16066" width="9.28515625" style="87" customWidth="1"/>
    <col min="16067" max="16068" width="11.28515625" style="87" bestFit="1" customWidth="1"/>
    <col min="16069" max="16070" width="12.140625" style="87" customWidth="1"/>
    <col min="16071" max="16071" width="9.5703125" style="87" customWidth="1"/>
    <col min="16072" max="16073" width="8.140625" style="87" bestFit="1" customWidth="1"/>
    <col min="16074" max="16077" width="11.28515625" style="87" customWidth="1"/>
    <col min="16078" max="16078" width="12.28515625" style="87" customWidth="1"/>
    <col min="16079" max="16080" width="12.5703125" style="87" customWidth="1"/>
    <col min="16081" max="16081" width="7.5703125" style="87" customWidth="1"/>
    <col min="16082" max="16083" width="13" style="87" customWidth="1"/>
    <col min="16084" max="16085" width="9.5703125" style="87" customWidth="1"/>
    <col min="16086" max="16088" width="7.85546875" style="87" customWidth="1"/>
    <col min="16089" max="16089" width="16.42578125" style="87" customWidth="1"/>
    <col min="16090" max="16090" width="6.140625" style="87" customWidth="1"/>
    <col min="16091" max="16091" width="8.28515625" style="87" customWidth="1"/>
    <col min="16092" max="16092" width="6.140625" style="87" customWidth="1"/>
    <col min="16093" max="16093" width="14.7109375" style="87" customWidth="1"/>
    <col min="16094" max="16096" width="11.5703125" style="87" customWidth="1"/>
    <col min="16097" max="16097" width="18" style="87" customWidth="1"/>
    <col min="16098" max="16098" width="16.28515625" style="87" customWidth="1"/>
    <col min="16099" max="16099" width="17.5703125" style="87" customWidth="1"/>
    <col min="16100" max="16100" width="15" style="87" bestFit="1" customWidth="1"/>
    <col min="16101" max="16101" width="14.7109375" style="87" bestFit="1" customWidth="1"/>
    <col min="16102" max="16104" width="14.7109375" style="87" customWidth="1"/>
    <col min="16105" max="16105" width="8.42578125" style="87" customWidth="1"/>
    <col min="16106" max="16109" width="11.42578125" style="87" customWidth="1"/>
    <col min="16110" max="16110" width="8.5703125" style="87" customWidth="1"/>
    <col min="16111" max="16111" width="12.140625" style="87" customWidth="1"/>
    <col min="16112" max="16112" width="11.28515625" style="87" customWidth="1"/>
    <col min="16113" max="16113" width="9.5703125" style="87" customWidth="1"/>
    <col min="16114" max="16114" width="8.7109375" style="87" customWidth="1"/>
    <col min="16115" max="16116" width="11.42578125" style="87" customWidth="1"/>
    <col min="16117" max="16117" width="9.7109375" style="87" customWidth="1"/>
    <col min="16118" max="16118" width="10" style="87" customWidth="1"/>
    <col min="16119" max="16119" width="11" style="87" bestFit="1" customWidth="1"/>
    <col min="16120" max="16122" width="11" style="87" customWidth="1"/>
    <col min="16123" max="16123" width="9.5703125" style="87" customWidth="1"/>
    <col min="16124" max="16124" width="13.5703125" style="87" bestFit="1" customWidth="1"/>
    <col min="16125" max="16126" width="18.140625" style="87" customWidth="1"/>
    <col min="16127" max="16384" width="11" style="87" customWidth="1"/>
  </cols>
  <sheetData>
    <row r="1" spans="1:1" s="90" customFormat="1" ht="21">
      <c r="A1" s="99" t="s">
        <v>1093</v>
      </c>
    </row>
    <row r="2" spans="1:1" s="90" customFormat="1"/>
    <row r="3" spans="1:1" s="90" customFormat="1">
      <c r="A3" s="90" t="s">
        <v>1158</v>
      </c>
    </row>
    <row r="4" spans="1:1" s="90" customFormat="1"/>
    <row r="5" spans="1:1" s="90" customFormat="1">
      <c r="A5" s="91" t="s">
        <v>1137</v>
      </c>
    </row>
    <row r="6" spans="1:1" s="90" customFormat="1">
      <c r="A6" s="100" t="s">
        <v>1138</v>
      </c>
    </row>
    <row r="7" spans="1:1" s="90" customFormat="1">
      <c r="A7" s="100" t="s">
        <v>1139</v>
      </c>
    </row>
    <row r="8" spans="1:1" s="90" customFormat="1">
      <c r="A8" s="100" t="s">
        <v>1140</v>
      </c>
    </row>
    <row r="9" spans="1:1" s="90" customFormat="1">
      <c r="A9" s="90" t="s">
        <v>1141</v>
      </c>
    </row>
    <row r="10" spans="1:1" s="90" customFormat="1"/>
    <row r="11" spans="1:1" s="90" customFormat="1">
      <c r="A11" s="100" t="s">
        <v>1145</v>
      </c>
    </row>
    <row r="12" spans="1:1" s="90" customFormat="1">
      <c r="A12" s="100" t="s">
        <v>1146</v>
      </c>
    </row>
    <row r="13" spans="1:1" s="90" customFormat="1">
      <c r="A13" s="100" t="s">
        <v>1142</v>
      </c>
    </row>
    <row r="14" spans="1:1" s="90" customFormat="1">
      <c r="A14" s="100" t="s">
        <v>1143</v>
      </c>
    </row>
    <row r="15" spans="1:1" s="90" customFormat="1">
      <c r="A15" s="100" t="s">
        <v>1144</v>
      </c>
    </row>
    <row r="16" spans="1:1" s="90" customFormat="1">
      <c r="A16" s="100"/>
    </row>
    <row r="17" spans="1:9" s="90" customFormat="1">
      <c r="A17" s="91" t="s">
        <v>1070</v>
      </c>
    </row>
    <row r="18" spans="1:9" s="90" customFormat="1">
      <c r="A18" s="90" t="s">
        <v>1071</v>
      </c>
      <c r="B18" s="90" t="s">
        <v>1091</v>
      </c>
    </row>
    <row r="19" spans="1:9" s="90" customFormat="1">
      <c r="A19" s="90" t="s">
        <v>1073</v>
      </c>
      <c r="B19" s="90" t="s">
        <v>1087</v>
      </c>
    </row>
    <row r="20" spans="1:9" s="90" customFormat="1">
      <c r="A20" s="90" t="s">
        <v>1074</v>
      </c>
      <c r="B20" s="90" t="s">
        <v>1084</v>
      </c>
    </row>
    <row r="21" spans="1:9" s="90" customFormat="1">
      <c r="A21" s="90" t="s">
        <v>1075</v>
      </c>
      <c r="B21" s="90" t="s">
        <v>1085</v>
      </c>
    </row>
    <row r="22" spans="1:9" s="90" customFormat="1">
      <c r="A22" s="90" t="s">
        <v>1080</v>
      </c>
      <c r="B22" s="90" t="s">
        <v>1086</v>
      </c>
    </row>
    <row r="23" spans="1:9" s="90" customFormat="1">
      <c r="A23" s="90" t="s">
        <v>1081</v>
      </c>
      <c r="B23" s="90" t="s">
        <v>1128</v>
      </c>
    </row>
    <row r="24" spans="1:9" s="90" customFormat="1">
      <c r="A24" s="90" t="s">
        <v>1082</v>
      </c>
      <c r="B24" s="90" t="s">
        <v>1088</v>
      </c>
    </row>
    <row r="25" spans="1:9" s="90" customFormat="1">
      <c r="A25" s="90" t="s">
        <v>1083</v>
      </c>
      <c r="B25" s="90" t="s">
        <v>1089</v>
      </c>
    </row>
    <row r="26" spans="1:9" s="90" customFormat="1">
      <c r="A26" s="90" t="s">
        <v>1090</v>
      </c>
      <c r="B26" s="90" t="s">
        <v>1092</v>
      </c>
    </row>
    <row r="27" spans="1:9" s="89" customFormat="1">
      <c r="A27" s="90"/>
      <c r="B27" s="90"/>
      <c r="C27" s="90"/>
    </row>
    <row r="28" spans="1:9">
      <c r="B28" s="84"/>
      <c r="E28" s="83"/>
      <c r="F28" s="83"/>
      <c r="H28" s="85"/>
      <c r="I28" s="88"/>
    </row>
    <row r="29" spans="1:9" s="81" customFormat="1" ht="69" customHeight="1">
      <c r="A29" s="101" t="s">
        <v>5</v>
      </c>
      <c r="B29" s="79" t="s">
        <v>13</v>
      </c>
      <c r="C29" s="79" t="s">
        <v>6</v>
      </c>
      <c r="D29" s="79" t="s">
        <v>7</v>
      </c>
      <c r="E29" s="79" t="s">
        <v>8</v>
      </c>
      <c r="F29" s="98" t="s">
        <v>1064</v>
      </c>
      <c r="G29" s="80" t="s">
        <v>799</v>
      </c>
      <c r="H29" s="80" t="s">
        <v>9</v>
      </c>
      <c r="I29" s="102" t="s">
        <v>10</v>
      </c>
    </row>
    <row r="30" spans="1:9">
      <c r="A30" s="82" t="s">
        <v>841</v>
      </c>
      <c r="B30" s="84">
        <v>37815</v>
      </c>
      <c r="C30" s="83">
        <v>120.19</v>
      </c>
      <c r="D30" s="83">
        <v>120.29</v>
      </c>
      <c r="E30" s="83">
        <v>120.24</v>
      </c>
      <c r="F30" s="147">
        <v>542.70598131771897</v>
      </c>
      <c r="G30" s="85">
        <v>682.17631329613641</v>
      </c>
      <c r="H30" s="85">
        <v>686.09661027866798</v>
      </c>
      <c r="I30" s="103">
        <v>0.44205772096000001</v>
      </c>
    </row>
    <row r="31" spans="1:9">
      <c r="A31" s="82" t="s">
        <v>842</v>
      </c>
      <c r="B31" s="84">
        <v>38258</v>
      </c>
      <c r="C31" s="83">
        <v>125.28</v>
      </c>
      <c r="D31" s="83">
        <v>125.39</v>
      </c>
      <c r="E31" s="83">
        <v>125.33499999999999</v>
      </c>
      <c r="F31" s="147">
        <v>724.24722417657995</v>
      </c>
      <c r="G31" s="85">
        <v>675.48604760073806</v>
      </c>
      <c r="H31" s="85">
        <v>679.88626367033226</v>
      </c>
      <c r="I31" s="103">
        <v>0.50108830582333408</v>
      </c>
    </row>
    <row r="32" spans="1:9">
      <c r="A32" s="82" t="s">
        <v>843</v>
      </c>
      <c r="B32" s="84">
        <v>37875</v>
      </c>
      <c r="C32" s="83">
        <v>130.72999999999999</v>
      </c>
      <c r="D32" s="83">
        <v>130.88</v>
      </c>
      <c r="E32" s="83">
        <v>130.80500000000001</v>
      </c>
      <c r="F32" s="147">
        <v>938.98128387228996</v>
      </c>
      <c r="G32" s="85">
        <v>668.85721575906587</v>
      </c>
      <c r="H32" s="85">
        <v>673.26200904061989</v>
      </c>
      <c r="I32" s="103">
        <v>0.50658084333096809</v>
      </c>
    </row>
    <row r="33" spans="1:9">
      <c r="A33" s="82" t="s">
        <v>844</v>
      </c>
      <c r="B33" s="84">
        <v>38264</v>
      </c>
      <c r="C33" s="83">
        <v>140.32</v>
      </c>
      <c r="D33" s="83">
        <v>140.41999999999999</v>
      </c>
      <c r="E33" s="83">
        <v>140.37</v>
      </c>
      <c r="F33" s="147">
        <v>1255.5123598948401</v>
      </c>
      <c r="G33" s="85">
        <v>634.66852771554568</v>
      </c>
      <c r="H33" s="85">
        <v>639.08648955937031</v>
      </c>
      <c r="I33" s="103">
        <v>0.53546568628349966</v>
      </c>
    </row>
    <row r="34" spans="1:9">
      <c r="A34" s="82" t="s">
        <v>845</v>
      </c>
      <c r="B34" s="84">
        <v>37913</v>
      </c>
      <c r="C34" s="83">
        <v>149.72</v>
      </c>
      <c r="D34" s="83">
        <v>149.84</v>
      </c>
      <c r="E34" s="83">
        <v>149.78</v>
      </c>
      <c r="F34" s="147">
        <v>1596.1436544426399</v>
      </c>
      <c r="G34" s="85">
        <v>632.71056257730777</v>
      </c>
      <c r="H34" s="85">
        <v>637.05103125033577</v>
      </c>
      <c r="I34" s="103">
        <v>0.52770133038002265</v>
      </c>
    </row>
    <row r="35" spans="1:9">
      <c r="A35" s="82" t="s">
        <v>846</v>
      </c>
      <c r="B35" s="84">
        <v>38262</v>
      </c>
      <c r="C35" s="83">
        <v>165.09</v>
      </c>
      <c r="D35" s="83">
        <v>165.19</v>
      </c>
      <c r="E35" s="83">
        <v>165.14</v>
      </c>
      <c r="F35" s="147">
        <v>2158.0391833406202</v>
      </c>
      <c r="G35" s="85">
        <v>606.02746385371654</v>
      </c>
      <c r="H35" s="85">
        <v>610.28651916383376</v>
      </c>
      <c r="I35" s="103">
        <v>0.54060196737035937</v>
      </c>
    </row>
    <row r="36" spans="1:9">
      <c r="A36" s="82" t="s">
        <v>797</v>
      </c>
      <c r="B36" s="84">
        <v>37927</v>
      </c>
      <c r="C36" s="83">
        <v>179.96</v>
      </c>
      <c r="D36" s="83">
        <v>180.07</v>
      </c>
      <c r="E36" s="83">
        <v>180.01499999999999</v>
      </c>
      <c r="F36" s="147">
        <v>2669.2321644170202</v>
      </c>
      <c r="G36" s="85">
        <v>600.61301627752562</v>
      </c>
      <c r="H36" s="85">
        <v>604.83576910006707</v>
      </c>
      <c r="I36" s="103">
        <v>0.54082600841504358</v>
      </c>
    </row>
    <row r="37" spans="1:9">
      <c r="A37" s="82" t="s">
        <v>847</v>
      </c>
      <c r="B37" s="84">
        <v>38272</v>
      </c>
      <c r="C37" s="83">
        <v>194.94</v>
      </c>
      <c r="D37" s="83">
        <v>195.04</v>
      </c>
      <c r="E37" s="83">
        <v>194.99</v>
      </c>
      <c r="F37" s="147">
        <v>3184.8326853451499</v>
      </c>
      <c r="G37" s="85">
        <v>586.03366387851418</v>
      </c>
      <c r="H37" s="85">
        <v>589.80232511797669</v>
      </c>
      <c r="I37" s="103">
        <v>0.49467639196967095</v>
      </c>
    </row>
    <row r="38" spans="1:9">
      <c r="A38" s="82" t="s">
        <v>848</v>
      </c>
      <c r="B38" s="84">
        <v>38242</v>
      </c>
      <c r="C38" s="83">
        <v>209.93</v>
      </c>
      <c r="D38" s="83">
        <v>210.03</v>
      </c>
      <c r="E38" s="83">
        <v>209.98</v>
      </c>
      <c r="F38" s="147">
        <v>3748.2531059400399</v>
      </c>
      <c r="G38" s="85">
        <v>582.6432775712085</v>
      </c>
      <c r="H38" s="85">
        <v>586.98374747868115</v>
      </c>
      <c r="I38" s="103">
        <v>0.57304754629047938</v>
      </c>
    </row>
    <row r="39" spans="1:9">
      <c r="A39" s="82" t="s">
        <v>849</v>
      </c>
      <c r="B39" s="84">
        <v>38274</v>
      </c>
      <c r="C39" s="83">
        <v>219.51</v>
      </c>
      <c r="D39" s="83">
        <v>219.61</v>
      </c>
      <c r="E39" s="83">
        <v>219.56</v>
      </c>
      <c r="F39" s="147">
        <v>4122.0089089544799</v>
      </c>
      <c r="G39" s="85">
        <v>581.50025355261903</v>
      </c>
      <c r="H39" s="85">
        <v>585.32081437501847</v>
      </c>
      <c r="I39" s="103">
        <v>0.50539839361245287</v>
      </c>
    </row>
    <row r="40" spans="1:9">
      <c r="A40" s="82" t="s">
        <v>850</v>
      </c>
      <c r="B40" s="84">
        <v>37955</v>
      </c>
      <c r="C40" s="83">
        <v>229.51</v>
      </c>
      <c r="D40" s="83">
        <v>229.63</v>
      </c>
      <c r="E40" s="83">
        <v>229.57</v>
      </c>
      <c r="F40" s="147">
        <v>4486.7229088560898</v>
      </c>
      <c r="G40" s="85">
        <v>552.86257500789554</v>
      </c>
      <c r="H40" s="85">
        <v>556.61106620963483</v>
      </c>
      <c r="I40" s="103">
        <v>0.52155000192000001</v>
      </c>
    </row>
    <row r="41" spans="1:9">
      <c r="A41" s="82" t="s">
        <v>851</v>
      </c>
      <c r="B41" s="84">
        <v>38247</v>
      </c>
      <c r="C41" s="83">
        <v>239.51</v>
      </c>
      <c r="D41" s="83">
        <v>239.61</v>
      </c>
      <c r="E41" s="83">
        <v>239.56</v>
      </c>
      <c r="F41" s="147">
        <v>4847.2089920678</v>
      </c>
      <c r="G41" s="85">
        <v>569.99211143096011</v>
      </c>
      <c r="H41" s="85">
        <v>573.54535774275348</v>
      </c>
      <c r="I41" s="103">
        <v>0.4795270564052781</v>
      </c>
    </row>
    <row r="42" spans="1:9">
      <c r="A42" s="82" t="s">
        <v>852</v>
      </c>
      <c r="B42" s="84">
        <v>37971</v>
      </c>
      <c r="C42" s="83">
        <v>249.52</v>
      </c>
      <c r="D42" s="83">
        <v>249.63</v>
      </c>
      <c r="E42" s="83">
        <v>249.57499999999999</v>
      </c>
      <c r="F42" s="147">
        <v>5215.6873736161997</v>
      </c>
      <c r="G42" s="85">
        <v>545.84906412788621</v>
      </c>
      <c r="H42" s="85">
        <v>549.16750295033307</v>
      </c>
      <c r="I42" s="103">
        <v>0.46764672063960244</v>
      </c>
    </row>
    <row r="43" spans="1:9">
      <c r="A43" s="82" t="s">
        <v>853</v>
      </c>
      <c r="B43" s="84">
        <v>38250</v>
      </c>
      <c r="C43" s="83">
        <v>261.99</v>
      </c>
      <c r="D43" s="83">
        <v>262.08999999999997</v>
      </c>
      <c r="E43" s="83">
        <v>262.04000000000002</v>
      </c>
      <c r="F43" s="147">
        <v>5670.5666451181996</v>
      </c>
      <c r="G43" s="85">
        <v>581.38384220589899</v>
      </c>
      <c r="H43" s="85">
        <v>585.19170186422048</v>
      </c>
      <c r="I43" s="103">
        <v>0.50381909531227043</v>
      </c>
    </row>
    <row r="44" spans="1:9">
      <c r="A44" s="82" t="s">
        <v>854</v>
      </c>
      <c r="B44" s="84">
        <v>37998</v>
      </c>
      <c r="C44" s="83">
        <v>274.95</v>
      </c>
      <c r="D44" s="83">
        <v>275.06</v>
      </c>
      <c r="E44" s="83">
        <v>275.005</v>
      </c>
      <c r="F44" s="147">
        <v>6130.1650882526101</v>
      </c>
      <c r="G44" s="85">
        <v>598.26527705920955</v>
      </c>
      <c r="H44" s="85">
        <v>602.34534654817094</v>
      </c>
      <c r="I44" s="103">
        <v>0.52460256542652695</v>
      </c>
    </row>
    <row r="45" spans="1:9">
      <c r="A45" s="82" t="s">
        <v>855</v>
      </c>
      <c r="B45" s="84">
        <v>38252</v>
      </c>
      <c r="C45" s="83">
        <v>292.45999999999998</v>
      </c>
      <c r="D45" s="83">
        <v>292.56</v>
      </c>
      <c r="E45" s="83">
        <v>292.51</v>
      </c>
      <c r="F45" s="147">
        <v>6796.4775841565897</v>
      </c>
      <c r="G45" s="85">
        <v>604.40177413483718</v>
      </c>
      <c r="H45" s="85">
        <v>608.36514796447568</v>
      </c>
      <c r="I45" s="103">
        <v>0.50442424727921742</v>
      </c>
    </row>
    <row r="46" spans="1:9">
      <c r="A46" s="82" t="s">
        <v>856</v>
      </c>
      <c r="B46" s="84">
        <v>38186</v>
      </c>
      <c r="C46" s="83">
        <v>309.89999999999998</v>
      </c>
      <c r="D46" s="83">
        <v>310.01</v>
      </c>
      <c r="E46" s="83">
        <v>309.95499999999998</v>
      </c>
      <c r="F46" s="147">
        <v>7470.8202276286302</v>
      </c>
      <c r="G46" s="85">
        <v>614.0678452427187</v>
      </c>
      <c r="H46" s="85">
        <v>617.93960793723784</v>
      </c>
      <c r="I46" s="103">
        <v>0.48500813368703621</v>
      </c>
    </row>
    <row r="47" spans="1:9">
      <c r="A47" s="82" t="s">
        <v>857</v>
      </c>
      <c r="B47" s="84">
        <v>38254</v>
      </c>
      <c r="C47" s="83">
        <v>332.4</v>
      </c>
      <c r="D47" s="83">
        <v>332.5</v>
      </c>
      <c r="E47" s="83">
        <v>332.45</v>
      </c>
      <c r="F47" s="147">
        <v>8267.0170516727394</v>
      </c>
      <c r="G47" s="85">
        <v>632.26083353132606</v>
      </c>
      <c r="H47" s="85">
        <v>636.50202061503467</v>
      </c>
      <c r="I47" s="103">
        <v>0.51599773856482223</v>
      </c>
    </row>
    <row r="48" spans="1:9">
      <c r="A48" s="82" t="s">
        <v>858</v>
      </c>
      <c r="B48" s="84">
        <v>37817</v>
      </c>
      <c r="C48" s="83">
        <v>354.92</v>
      </c>
      <c r="D48" s="83">
        <v>355.02</v>
      </c>
      <c r="E48" s="83">
        <v>354.97</v>
      </c>
      <c r="F48" s="147">
        <v>9126.8205581913498</v>
      </c>
      <c r="G48" s="85">
        <v>671.44364669965262</v>
      </c>
      <c r="H48" s="85">
        <v>675.72772574305509</v>
      </c>
      <c r="I48" s="103">
        <v>0.49080000000000001</v>
      </c>
    </row>
    <row r="49" spans="1:9">
      <c r="A49" s="82" t="s">
        <v>859</v>
      </c>
      <c r="B49" s="84">
        <v>37878</v>
      </c>
      <c r="C49" s="83">
        <v>359.91</v>
      </c>
      <c r="D49" s="83">
        <v>360.03</v>
      </c>
      <c r="E49" s="83">
        <v>359.97</v>
      </c>
      <c r="F49" s="147">
        <v>9311.1921705818804</v>
      </c>
      <c r="G49" s="85">
        <v>669.52037556030575</v>
      </c>
      <c r="H49" s="85">
        <v>674.03353783898331</v>
      </c>
      <c r="I49" s="103">
        <v>0.51852989363991198</v>
      </c>
    </row>
    <row r="50" spans="1:9">
      <c r="A50" s="82" t="s">
        <v>860</v>
      </c>
      <c r="B50" s="84">
        <v>37913</v>
      </c>
      <c r="C50" s="83">
        <v>364.94</v>
      </c>
      <c r="D50" s="83">
        <v>365.06</v>
      </c>
      <c r="E50" s="83">
        <v>365</v>
      </c>
      <c r="F50" s="147">
        <v>9494.3436157220003</v>
      </c>
      <c r="G50" s="85">
        <v>682.87026903151491</v>
      </c>
      <c r="H50" s="85">
        <v>687.4367590945825</v>
      </c>
      <c r="I50" s="103"/>
    </row>
    <row r="51" spans="1:9">
      <c r="A51" s="82" t="s">
        <v>861</v>
      </c>
      <c r="B51" s="84">
        <v>38256</v>
      </c>
      <c r="C51" s="83">
        <v>378.29</v>
      </c>
      <c r="D51" s="83">
        <v>378.4</v>
      </c>
      <c r="E51" s="83">
        <v>378.34500000000003</v>
      </c>
      <c r="F51" s="147">
        <v>10005.1123842667</v>
      </c>
      <c r="G51" s="85">
        <v>673.99094466109887</v>
      </c>
      <c r="H51" s="85">
        <v>678.40361546500731</v>
      </c>
      <c r="I51" s="103">
        <v>0.50362132959507655</v>
      </c>
    </row>
    <row r="52" spans="1:9">
      <c r="A52" s="82" t="s">
        <v>798</v>
      </c>
      <c r="B52" s="84">
        <v>37927</v>
      </c>
      <c r="C52" s="83">
        <v>395.31</v>
      </c>
      <c r="D52" s="83">
        <v>395.43</v>
      </c>
      <c r="E52" s="83">
        <v>395.37</v>
      </c>
      <c r="F52" s="147">
        <v>10636.0607615635</v>
      </c>
      <c r="G52" s="85">
        <v>695.10509322216535</v>
      </c>
      <c r="H52" s="85">
        <v>699.76285929903963</v>
      </c>
      <c r="I52" s="103">
        <v>0.51544680324560255</v>
      </c>
    </row>
    <row r="53" spans="1:9">
      <c r="A53" s="82" t="s">
        <v>862</v>
      </c>
      <c r="B53" s="84">
        <v>38276</v>
      </c>
      <c r="C53" s="83">
        <v>401.34</v>
      </c>
      <c r="D53" s="83">
        <v>401.44</v>
      </c>
      <c r="E53" s="83">
        <v>401.39</v>
      </c>
      <c r="F53" s="147">
        <v>10857.795127100901</v>
      </c>
      <c r="G53" s="85">
        <v>686.2213558466417</v>
      </c>
      <c r="H53" s="85">
        <v>690.77713009716445</v>
      </c>
      <c r="I53" s="103">
        <v>0.510686777861588</v>
      </c>
    </row>
    <row r="54" spans="1:9">
      <c r="A54" s="82" t="s">
        <v>863</v>
      </c>
      <c r="B54" s="84">
        <v>38249</v>
      </c>
      <c r="C54" s="83">
        <v>408.34</v>
      </c>
      <c r="D54" s="83">
        <v>408.44</v>
      </c>
      <c r="E54" s="83">
        <v>408.39</v>
      </c>
      <c r="F54" s="147">
        <v>11126.766326011601</v>
      </c>
      <c r="G54" s="85">
        <v>675.9421046462312</v>
      </c>
      <c r="H54" s="85">
        <v>680.39679993279117</v>
      </c>
      <c r="I54" s="103">
        <v>0.50695002699419134</v>
      </c>
    </row>
    <row r="55" spans="1:9">
      <c r="A55" s="82" t="s">
        <v>864</v>
      </c>
      <c r="B55" s="84">
        <v>37943</v>
      </c>
      <c r="C55" s="83">
        <v>414.85</v>
      </c>
      <c r="D55" s="83">
        <v>414.96</v>
      </c>
      <c r="E55" s="83">
        <v>414.90499999999997</v>
      </c>
      <c r="F55" s="147">
        <v>11355.8475478784</v>
      </c>
      <c r="G55" s="85">
        <v>667.97531319086215</v>
      </c>
      <c r="H55" s="85">
        <v>672.55451651552301</v>
      </c>
      <c r="I55" s="103">
        <v>0.52733447274666667</v>
      </c>
    </row>
    <row r="56" spans="1:9">
      <c r="A56" s="82" t="s">
        <v>865</v>
      </c>
      <c r="B56" s="84">
        <v>38250</v>
      </c>
      <c r="C56" s="83">
        <v>423.85</v>
      </c>
      <c r="D56" s="83">
        <v>423.95</v>
      </c>
      <c r="E56" s="83">
        <v>423.9</v>
      </c>
      <c r="F56" s="147">
        <v>11696.1219726659</v>
      </c>
      <c r="G56" s="85">
        <v>483.31100699579298</v>
      </c>
      <c r="H56" s="85">
        <v>486.62437609081917</v>
      </c>
      <c r="I56" s="103">
        <v>0.52735100604374163</v>
      </c>
    </row>
    <row r="57" spans="1:9">
      <c r="A57" s="82" t="s">
        <v>866</v>
      </c>
      <c r="B57" s="84">
        <v>38286</v>
      </c>
      <c r="C57" s="83">
        <v>432.35</v>
      </c>
      <c r="D57" s="83">
        <v>432.45</v>
      </c>
      <c r="E57" s="83">
        <v>432.4</v>
      </c>
      <c r="F57" s="147">
        <v>12074.680235763801</v>
      </c>
      <c r="G57" s="85">
        <v>481.67564673879718</v>
      </c>
      <c r="H57" s="85">
        <v>484.86392970705896</v>
      </c>
      <c r="I57" s="103">
        <v>0.50916532251656521</v>
      </c>
    </row>
    <row r="58" spans="1:9">
      <c r="A58" s="82" t="s">
        <v>867</v>
      </c>
      <c r="B58" s="84">
        <v>38252</v>
      </c>
      <c r="C58" s="83">
        <v>440.35</v>
      </c>
      <c r="D58" s="83">
        <v>440.45</v>
      </c>
      <c r="E58" s="83">
        <v>440.4</v>
      </c>
      <c r="F58" s="147">
        <v>12436.7066209402</v>
      </c>
      <c r="G58" s="85">
        <v>485.10777594481488</v>
      </c>
      <c r="H58" s="85">
        <v>488.19531856091874</v>
      </c>
      <c r="I58" s="103">
        <v>0.48958868511077652</v>
      </c>
    </row>
    <row r="59" spans="1:9">
      <c r="A59" s="82" t="s">
        <v>868</v>
      </c>
      <c r="B59" s="84">
        <v>37955</v>
      </c>
      <c r="C59" s="83">
        <v>449.85</v>
      </c>
      <c r="D59" s="83">
        <v>449.96</v>
      </c>
      <c r="E59" s="83">
        <v>449.90499999999997</v>
      </c>
      <c r="F59" s="147">
        <v>12913.685267762699</v>
      </c>
      <c r="G59" s="85">
        <v>625.60412675018426</v>
      </c>
      <c r="H59" s="85">
        <v>629.72841317770815</v>
      </c>
      <c r="I59" s="103">
        <v>0.50711430528000001</v>
      </c>
    </row>
    <row r="60" spans="1:9">
      <c r="A60" s="82" t="s">
        <v>869</v>
      </c>
      <c r="B60" s="84">
        <v>38254</v>
      </c>
      <c r="C60" s="83">
        <v>454.85</v>
      </c>
      <c r="D60" s="83">
        <v>454.95</v>
      </c>
      <c r="E60" s="83">
        <v>454.9</v>
      </c>
      <c r="F60" s="147">
        <v>13158.163227307599</v>
      </c>
      <c r="G60" s="85">
        <v>643.63997732853568</v>
      </c>
      <c r="H60" s="85">
        <v>647.58137058922</v>
      </c>
      <c r="I60" s="103">
        <v>0.47104609355388405</v>
      </c>
    </row>
    <row r="61" spans="1:9">
      <c r="A61" s="82" t="s">
        <v>870</v>
      </c>
      <c r="B61" s="84">
        <v>37971</v>
      </c>
      <c r="C61" s="83">
        <v>459.85</v>
      </c>
      <c r="D61" s="83">
        <v>459.97</v>
      </c>
      <c r="E61" s="83">
        <v>459.91</v>
      </c>
      <c r="F61" s="147">
        <v>13408.043354567601</v>
      </c>
      <c r="G61" s="85">
        <v>659.7892468320382</v>
      </c>
      <c r="H61" s="85">
        <v>663.49756107163876</v>
      </c>
      <c r="I61" s="103">
        <v>0.43234251373052773</v>
      </c>
    </row>
    <row r="62" spans="1:9">
      <c r="A62" s="82" t="s">
        <v>871</v>
      </c>
      <c r="B62" s="84">
        <v>38257</v>
      </c>
      <c r="C62" s="83">
        <v>464.85</v>
      </c>
      <c r="D62" s="83">
        <v>464.96</v>
      </c>
      <c r="E62" s="83">
        <v>464.90499999999997</v>
      </c>
      <c r="F62" s="147">
        <v>13676.6567881339</v>
      </c>
      <c r="G62" s="85">
        <v>648.47231109573818</v>
      </c>
      <c r="H62" s="85">
        <v>652.37446093493043</v>
      </c>
      <c r="I62" s="103">
        <v>0.46288078474524069</v>
      </c>
    </row>
    <row r="63" spans="1:9">
      <c r="A63" s="82" t="s">
        <v>872</v>
      </c>
      <c r="B63" s="84">
        <v>37998</v>
      </c>
      <c r="C63" s="83">
        <v>469.85</v>
      </c>
      <c r="D63" s="83">
        <v>469.96</v>
      </c>
      <c r="E63" s="83">
        <v>469.90499999999997</v>
      </c>
      <c r="F63" s="147">
        <v>13973.4318887298</v>
      </c>
      <c r="G63" s="85">
        <v>599.09229485060087</v>
      </c>
      <c r="H63" s="85">
        <v>602.80932355873313</v>
      </c>
      <c r="I63" s="103">
        <v>0.47726416730538856</v>
      </c>
    </row>
    <row r="64" spans="1:9">
      <c r="A64" s="82" t="s">
        <v>873</v>
      </c>
      <c r="B64" s="84">
        <v>38186</v>
      </c>
      <c r="C64" s="83">
        <v>474.85</v>
      </c>
      <c r="D64" s="83">
        <v>474.98</v>
      </c>
      <c r="E64" s="83">
        <v>474.91500000000002</v>
      </c>
      <c r="F64" s="147">
        <v>14234.883445826101</v>
      </c>
      <c r="G64" s="85">
        <v>608.71862521582739</v>
      </c>
      <c r="H64" s="85">
        <v>612.44287019801766</v>
      </c>
      <c r="I64" s="103">
        <v>0.47062858170937066</v>
      </c>
    </row>
    <row r="65" spans="1:9">
      <c r="A65" s="82" t="s">
        <v>874</v>
      </c>
      <c r="B65" s="84">
        <v>37818</v>
      </c>
      <c r="C65" s="83">
        <v>479.85</v>
      </c>
      <c r="D65" s="83">
        <v>479.95</v>
      </c>
      <c r="E65" s="83">
        <v>479.9</v>
      </c>
      <c r="F65" s="147">
        <v>14485.8846555695</v>
      </c>
      <c r="G65" s="85">
        <v>561.40866079668854</v>
      </c>
      <c r="H65" s="85">
        <v>564.65432729258271</v>
      </c>
      <c r="I65" s="103">
        <v>0.44471464543496392</v>
      </c>
    </row>
    <row r="66" spans="1:9">
      <c r="A66" s="82" t="s">
        <v>875</v>
      </c>
      <c r="B66" s="84">
        <v>38249</v>
      </c>
      <c r="C66" s="83">
        <v>484.85</v>
      </c>
      <c r="D66" s="83">
        <v>484.95</v>
      </c>
      <c r="E66" s="83">
        <v>484.9</v>
      </c>
      <c r="F66" s="147">
        <v>14730.003385884</v>
      </c>
      <c r="G66" s="85">
        <v>476.23465715727252</v>
      </c>
      <c r="H66" s="85">
        <v>479.1630237480918</v>
      </c>
      <c r="I66" s="103">
        <v>0.47299994895199421</v>
      </c>
    </row>
    <row r="67" spans="1:9">
      <c r="A67" s="82" t="s">
        <v>876</v>
      </c>
      <c r="B67" s="84">
        <v>38251</v>
      </c>
      <c r="C67" s="83">
        <v>489.85</v>
      </c>
      <c r="D67" s="83">
        <v>489.95</v>
      </c>
      <c r="E67" s="83">
        <v>489.9</v>
      </c>
      <c r="F67" s="147">
        <v>14941.481886272601</v>
      </c>
      <c r="G67" s="85">
        <v>478.40911073509295</v>
      </c>
      <c r="H67" s="85">
        <v>481.26424340186566</v>
      </c>
      <c r="I67" s="103">
        <v>0.45907484791475522</v>
      </c>
    </row>
    <row r="68" spans="1:9">
      <c r="A68" s="82" t="s">
        <v>877</v>
      </c>
      <c r="B68" s="84">
        <v>37878</v>
      </c>
      <c r="C68" s="83">
        <v>495.23</v>
      </c>
      <c r="D68" s="83">
        <v>495.35</v>
      </c>
      <c r="E68" s="83">
        <v>495.29</v>
      </c>
      <c r="F68" s="147">
        <v>15200.457074214901</v>
      </c>
      <c r="G68" s="85">
        <v>469.13176921699386</v>
      </c>
      <c r="H68" s="85">
        <v>472.07794275425135</v>
      </c>
      <c r="I68" s="103">
        <v>0.48308119062890803</v>
      </c>
    </row>
    <row r="69" spans="1:9">
      <c r="A69" s="82" t="s">
        <v>878</v>
      </c>
      <c r="B69" s="84">
        <v>38289</v>
      </c>
      <c r="C69" s="83">
        <v>499.74</v>
      </c>
      <c r="D69" s="83">
        <v>499.85</v>
      </c>
      <c r="E69" s="83">
        <v>499.79500000000002</v>
      </c>
      <c r="F69" s="147">
        <v>15419.6874504466</v>
      </c>
      <c r="G69" s="85">
        <v>464.62499586087893</v>
      </c>
      <c r="H69" s="85">
        <v>467.48496883159635</v>
      </c>
      <c r="I69" s="103">
        <v>0.47349566378105551</v>
      </c>
    </row>
    <row r="70" spans="1:9">
      <c r="A70" s="82" t="s">
        <v>879</v>
      </c>
      <c r="B70" s="84">
        <v>38291</v>
      </c>
      <c r="C70" s="83">
        <v>510.24</v>
      </c>
      <c r="D70" s="83">
        <v>510.33</v>
      </c>
      <c r="E70" s="83">
        <v>510.28500000000003</v>
      </c>
      <c r="F70" s="147">
        <v>15964.554858395901</v>
      </c>
      <c r="G70" s="85">
        <v>452.86825312944188</v>
      </c>
      <c r="H70" s="85">
        <v>455.56901835632652</v>
      </c>
      <c r="I70" s="103">
        <v>0.45874527495182754</v>
      </c>
    </row>
    <row r="71" spans="1:9">
      <c r="A71" s="82" t="s">
        <v>880</v>
      </c>
      <c r="B71" s="84">
        <v>37913</v>
      </c>
      <c r="C71" s="83">
        <v>520.15</v>
      </c>
      <c r="D71" s="83">
        <v>520.27</v>
      </c>
      <c r="E71" s="83">
        <v>520.21</v>
      </c>
      <c r="F71" s="147">
        <v>16515.7546690825</v>
      </c>
      <c r="G71" s="85">
        <v>426.45569191322744</v>
      </c>
      <c r="H71" s="85">
        <v>429.06493526676007</v>
      </c>
      <c r="I71" s="103">
        <v>0.47064919287243445</v>
      </c>
    </row>
    <row r="72" spans="1:9">
      <c r="A72" s="82" t="s">
        <v>881</v>
      </c>
      <c r="B72" s="84">
        <v>38252</v>
      </c>
      <c r="C72" s="83">
        <v>530.15</v>
      </c>
      <c r="D72" s="83">
        <v>530.25</v>
      </c>
      <c r="E72" s="83">
        <v>530.20000000000005</v>
      </c>
      <c r="F72" s="147">
        <v>17195.121773925599</v>
      </c>
      <c r="G72" s="85">
        <v>408.77149137982258</v>
      </c>
      <c r="H72" s="85">
        <v>411.13616515411587</v>
      </c>
      <c r="I72" s="103">
        <v>0.44498695842007896</v>
      </c>
    </row>
    <row r="73" spans="1:9">
      <c r="A73" s="82" t="s">
        <v>882</v>
      </c>
      <c r="B73" s="84">
        <v>38254</v>
      </c>
      <c r="C73" s="83">
        <v>539.75</v>
      </c>
      <c r="D73" s="83">
        <v>539.85</v>
      </c>
      <c r="E73" s="83">
        <v>539.79999999999995</v>
      </c>
      <c r="F73" s="147">
        <v>17802.601101460801</v>
      </c>
      <c r="G73" s="85">
        <v>383.25864676856656</v>
      </c>
      <c r="H73" s="85">
        <v>385.44747766655325</v>
      </c>
      <c r="I73" s="103">
        <v>0.43931587442855552</v>
      </c>
    </row>
    <row r="74" spans="1:9">
      <c r="A74" s="82" t="s">
        <v>883</v>
      </c>
      <c r="B74" s="84">
        <v>37934</v>
      </c>
      <c r="C74" s="83">
        <v>548.65</v>
      </c>
      <c r="D74" s="83">
        <v>548.76</v>
      </c>
      <c r="E74" s="83">
        <v>548.70500000000004</v>
      </c>
      <c r="F74" s="147">
        <v>18450.7123678383</v>
      </c>
      <c r="G74" s="85">
        <v>382.45658785400525</v>
      </c>
      <c r="H74" s="85">
        <v>384.645232955322</v>
      </c>
      <c r="I74" s="103">
        <v>0.44019980523952068</v>
      </c>
    </row>
    <row r="75" spans="1:9">
      <c r="A75" s="82" t="s">
        <v>884</v>
      </c>
      <c r="B75" s="84">
        <v>37943</v>
      </c>
      <c r="C75" s="83">
        <v>563.55999999999995</v>
      </c>
      <c r="D75" s="83">
        <v>563.66999999999996</v>
      </c>
      <c r="E75" s="83">
        <v>563.61500000000001</v>
      </c>
      <c r="F75" s="147">
        <v>19541.4842227019</v>
      </c>
      <c r="G75" s="85">
        <v>378.45187914517317</v>
      </c>
      <c r="H75" s="85">
        <v>380.71898024351754</v>
      </c>
      <c r="I75" s="103">
        <v>0.46080466709333334</v>
      </c>
    </row>
    <row r="76" spans="1:9">
      <c r="A76" s="82" t="s">
        <v>885</v>
      </c>
      <c r="B76" s="84">
        <v>37957</v>
      </c>
      <c r="C76" s="83">
        <v>578.47500000000002</v>
      </c>
      <c r="D76" s="83">
        <v>578.58500000000004</v>
      </c>
      <c r="E76" s="83">
        <v>578.53</v>
      </c>
      <c r="F76" s="147">
        <v>20803.4823131185</v>
      </c>
      <c r="G76" s="85">
        <v>352.48089794409543</v>
      </c>
      <c r="H76" s="85">
        <v>354.54642690495848</v>
      </c>
      <c r="I76" s="103">
        <v>0.45076724460827899</v>
      </c>
    </row>
    <row r="77" spans="1:9">
      <c r="A77" s="82" t="s">
        <v>886</v>
      </c>
      <c r="B77" s="84">
        <v>37973</v>
      </c>
      <c r="C77" s="83">
        <v>588.71</v>
      </c>
      <c r="D77" s="83">
        <v>578.58500000000004</v>
      </c>
      <c r="E77" s="83">
        <v>588.76499999999999</v>
      </c>
      <c r="F77" s="147">
        <v>21674.1367525157</v>
      </c>
      <c r="G77" s="85">
        <v>371.34878668841702</v>
      </c>
      <c r="H77" s="85">
        <v>373.2521794951474</v>
      </c>
      <c r="I77" s="103">
        <v>0.39427846955590334</v>
      </c>
    </row>
    <row r="78" spans="1:9">
      <c r="A78" s="82" t="s">
        <v>887</v>
      </c>
      <c r="B78" s="84">
        <v>38292</v>
      </c>
      <c r="C78" s="83">
        <v>598.5</v>
      </c>
      <c r="D78" s="83">
        <v>598.6</v>
      </c>
      <c r="E78" s="83">
        <v>598.54999999999995</v>
      </c>
      <c r="F78" s="147">
        <v>22340.2351651547</v>
      </c>
      <c r="G78" s="85">
        <v>390.79450040728807</v>
      </c>
      <c r="H78" s="85">
        <v>393.09063002462989</v>
      </c>
      <c r="I78" s="103">
        <v>0.45196479222726549</v>
      </c>
    </row>
    <row r="79" spans="1:9">
      <c r="A79" s="82" t="s">
        <v>888</v>
      </c>
      <c r="B79" s="84">
        <v>38258</v>
      </c>
      <c r="C79" s="83">
        <v>608.16</v>
      </c>
      <c r="D79" s="83">
        <v>608.27</v>
      </c>
      <c r="E79" s="83">
        <v>608.21500000000003</v>
      </c>
      <c r="F79" s="147">
        <v>23027.803187642301</v>
      </c>
      <c r="G79" s="85">
        <v>397.51181690165384</v>
      </c>
      <c r="H79" s="85">
        <v>400.02985165407603</v>
      </c>
      <c r="I79" s="103">
        <v>0.48726848541328671</v>
      </c>
    </row>
    <row r="80" spans="1:9">
      <c r="A80" s="82" t="s">
        <v>889</v>
      </c>
      <c r="B80" s="84">
        <v>37998</v>
      </c>
      <c r="C80" s="83">
        <v>614.78499999999997</v>
      </c>
      <c r="D80" s="83">
        <v>614.9</v>
      </c>
      <c r="E80" s="83">
        <v>614.84249999999997</v>
      </c>
      <c r="F80" s="147">
        <v>23474.890873059801</v>
      </c>
      <c r="G80" s="85">
        <v>393.69598154059582</v>
      </c>
      <c r="H80" s="85">
        <v>396.03711030812565</v>
      </c>
      <c r="I80" s="103">
        <v>0.45742612755867518</v>
      </c>
    </row>
    <row r="81" spans="1:9">
      <c r="A81" s="82" t="s">
        <v>890</v>
      </c>
      <c r="B81" s="84">
        <v>38264</v>
      </c>
      <c r="C81" s="83">
        <v>624.24</v>
      </c>
      <c r="D81" s="83">
        <v>624.36</v>
      </c>
      <c r="E81" s="83">
        <v>624.29999999999995</v>
      </c>
      <c r="F81" s="147">
        <v>24190.1052049315</v>
      </c>
      <c r="G81" s="85">
        <v>367.08121327280571</v>
      </c>
      <c r="H81" s="85">
        <v>369.26409189404234</v>
      </c>
      <c r="I81" s="103">
        <v>0.45742940260562226</v>
      </c>
    </row>
    <row r="82" spans="1:9">
      <c r="A82" s="82" t="s">
        <v>891</v>
      </c>
      <c r="B82" s="84">
        <v>38186</v>
      </c>
      <c r="C82" s="83">
        <v>634.29999999999995</v>
      </c>
      <c r="D82" s="83">
        <v>634.42999999999995</v>
      </c>
      <c r="E82" s="83">
        <v>634.36500000000001</v>
      </c>
      <c r="F82" s="147">
        <v>25056.075689828998</v>
      </c>
      <c r="G82" s="85">
        <v>379.50951931400311</v>
      </c>
      <c r="H82" s="85">
        <v>381.78174452641122</v>
      </c>
      <c r="I82" s="103">
        <v>0.46055907929941953</v>
      </c>
    </row>
    <row r="83" spans="1:9">
      <c r="A83" s="82" t="s">
        <v>892</v>
      </c>
      <c r="B83" s="84">
        <v>38262</v>
      </c>
      <c r="C83" s="83">
        <v>643.79999999999995</v>
      </c>
      <c r="D83" s="83">
        <v>643.9</v>
      </c>
      <c r="E83" s="83">
        <v>643.85</v>
      </c>
      <c r="F83" s="147">
        <v>25924.3227005874</v>
      </c>
      <c r="G83" s="85">
        <v>362.74190835199829</v>
      </c>
      <c r="H83" s="85">
        <v>364.7221639312562</v>
      </c>
      <c r="I83" s="103">
        <v>0.41993315010846516</v>
      </c>
    </row>
    <row r="84" spans="1:9">
      <c r="A84" s="82" t="s">
        <v>893</v>
      </c>
      <c r="B84" s="84">
        <v>38272</v>
      </c>
      <c r="C84" s="83">
        <v>654.08500000000004</v>
      </c>
      <c r="D84" s="83">
        <v>654.19500000000005</v>
      </c>
      <c r="E84" s="83">
        <v>654.14</v>
      </c>
      <c r="F84" s="147">
        <v>26756.205648509102</v>
      </c>
      <c r="G84" s="85">
        <v>390.43356807706772</v>
      </c>
      <c r="H84" s="85">
        <v>392.70510289973976</v>
      </c>
      <c r="I84" s="103">
        <v>0.44753694913690489</v>
      </c>
    </row>
    <row r="85" spans="1:9">
      <c r="A85" s="82" t="s">
        <v>894</v>
      </c>
      <c r="B85" s="84">
        <v>37867</v>
      </c>
      <c r="C85" s="83">
        <v>664.45</v>
      </c>
      <c r="D85" s="83">
        <v>664.57</v>
      </c>
      <c r="E85" s="83">
        <v>664.51</v>
      </c>
      <c r="F85" s="147">
        <v>27661.0834535217</v>
      </c>
      <c r="G85" s="85">
        <v>415.09158896427545</v>
      </c>
      <c r="H85" s="85">
        <v>417.53667337055055</v>
      </c>
      <c r="I85" s="103">
        <v>0.45311304990933909</v>
      </c>
    </row>
    <row r="86" spans="1:9">
      <c r="A86" s="82" t="s">
        <v>895</v>
      </c>
      <c r="B86" s="84">
        <v>37881</v>
      </c>
      <c r="C86" s="83">
        <v>679.23</v>
      </c>
      <c r="D86" s="83">
        <v>679.35</v>
      </c>
      <c r="E86" s="83">
        <v>679.29</v>
      </c>
      <c r="F86" s="147">
        <v>28673.453327847401</v>
      </c>
      <c r="G86" s="85">
        <v>433.54363866944414</v>
      </c>
      <c r="H86" s="85">
        <v>436.1746067336644</v>
      </c>
      <c r="I86" s="103">
        <v>0.4668091992014739</v>
      </c>
    </row>
    <row r="87" spans="1:9">
      <c r="A87" s="82" t="s">
        <v>896</v>
      </c>
      <c r="B87" s="84">
        <v>38274</v>
      </c>
      <c r="C87" s="83">
        <v>691.9</v>
      </c>
      <c r="D87" s="83">
        <v>692</v>
      </c>
      <c r="E87" s="83">
        <v>691.95</v>
      </c>
      <c r="F87" s="147">
        <v>29730.793188830899</v>
      </c>
      <c r="G87" s="85">
        <v>396.77198891780745</v>
      </c>
      <c r="H87" s="85">
        <v>399.21395216296958</v>
      </c>
      <c r="I87" s="103">
        <v>0.47342890072273947</v>
      </c>
    </row>
    <row r="88" spans="1:9">
      <c r="A88" s="82" t="s">
        <v>897</v>
      </c>
      <c r="B88" s="84">
        <v>37913</v>
      </c>
      <c r="C88" s="83">
        <v>704.78</v>
      </c>
      <c r="D88" s="83">
        <v>704.9</v>
      </c>
      <c r="E88" s="83">
        <v>704.84</v>
      </c>
      <c r="F88" s="147">
        <v>30786.657528877298</v>
      </c>
      <c r="G88" s="85">
        <v>408.78819790663215</v>
      </c>
      <c r="H88" s="85">
        <v>411.3084393610286</v>
      </c>
      <c r="I88" s="103">
        <v>0.47424247630931921</v>
      </c>
    </row>
    <row r="89" spans="1:9">
      <c r="A89" s="82" t="s">
        <v>898</v>
      </c>
      <c r="B89" s="84">
        <v>37934</v>
      </c>
      <c r="C89" s="83">
        <v>709.73</v>
      </c>
      <c r="D89" s="83">
        <v>709.85</v>
      </c>
      <c r="E89" s="83">
        <v>709.79</v>
      </c>
      <c r="F89" s="147">
        <v>31215.340005070899</v>
      </c>
      <c r="G89" s="85">
        <v>407.9511404021153</v>
      </c>
      <c r="H89" s="85">
        <v>410.42336873711167</v>
      </c>
      <c r="I89" s="103">
        <v>0.46616222275267072</v>
      </c>
    </row>
    <row r="90" spans="1:9">
      <c r="A90" s="82" t="s">
        <v>899</v>
      </c>
      <c r="B90" s="84">
        <v>38276</v>
      </c>
      <c r="C90" s="83">
        <v>719.48</v>
      </c>
      <c r="D90" s="83">
        <v>719.58</v>
      </c>
      <c r="E90" s="83">
        <v>719.53</v>
      </c>
      <c r="F90" s="147">
        <v>32082.032237995802</v>
      </c>
      <c r="G90" s="85">
        <v>472.32369059957443</v>
      </c>
      <c r="H90" s="85">
        <v>475.37430463933953</v>
      </c>
      <c r="I90" s="103">
        <v>0.49682584870046226</v>
      </c>
    </row>
    <row r="91" spans="1:9">
      <c r="A91" s="82" t="s">
        <v>900</v>
      </c>
      <c r="B91" s="84">
        <v>37945</v>
      </c>
      <c r="C91" s="83">
        <v>729.84</v>
      </c>
      <c r="D91" s="83">
        <v>729.95</v>
      </c>
      <c r="E91" s="83">
        <v>729.89499999999998</v>
      </c>
      <c r="F91" s="147">
        <v>32897.6936869852</v>
      </c>
      <c r="G91" s="85">
        <v>401.42179176755445</v>
      </c>
      <c r="H91" s="85">
        <v>404.15736421769003</v>
      </c>
      <c r="I91" s="103">
        <v>0.52420833728000005</v>
      </c>
    </row>
    <row r="92" spans="1:9">
      <c r="A92" s="82" t="s">
        <v>901</v>
      </c>
      <c r="B92" s="84">
        <v>38242</v>
      </c>
      <c r="C92" s="83">
        <v>734.5</v>
      </c>
      <c r="D92" s="83">
        <v>734.62</v>
      </c>
      <c r="E92" s="83">
        <v>734.56</v>
      </c>
      <c r="F92" s="147">
        <v>33244.047153473701</v>
      </c>
      <c r="G92" s="85">
        <v>433.39820969700656</v>
      </c>
      <c r="H92" s="85">
        <v>435.8573555582775</v>
      </c>
      <c r="I92" s="103">
        <v>0.43646942239068531</v>
      </c>
    </row>
    <row r="93" spans="1:9">
      <c r="A93" s="82" t="s">
        <v>902</v>
      </c>
      <c r="B93" s="84">
        <v>38287</v>
      </c>
      <c r="C93" s="83">
        <v>744.5</v>
      </c>
      <c r="D93" s="83">
        <v>744.6</v>
      </c>
      <c r="E93" s="83">
        <v>744.55</v>
      </c>
      <c r="F93" s="147">
        <v>33954.262903189199</v>
      </c>
      <c r="G93" s="85">
        <v>429.04647451867817</v>
      </c>
      <c r="H93" s="85">
        <v>431.72858515273987</v>
      </c>
      <c r="I93" s="103">
        <v>0.48087145536293358</v>
      </c>
    </row>
    <row r="94" spans="1:9">
      <c r="A94" s="82" t="s">
        <v>903</v>
      </c>
      <c r="B94" s="84">
        <v>37973</v>
      </c>
      <c r="C94" s="83">
        <v>754.3</v>
      </c>
      <c r="D94" s="83">
        <v>754.42</v>
      </c>
      <c r="E94" s="83">
        <v>754.36</v>
      </c>
      <c r="F94" s="147">
        <v>34794.5013217382</v>
      </c>
      <c r="G94" s="85">
        <v>484.63768622557336</v>
      </c>
      <c r="H94" s="85">
        <v>487.23468422079554</v>
      </c>
      <c r="I94" s="103">
        <v>0.41220293475602576</v>
      </c>
    </row>
    <row r="95" spans="1:9">
      <c r="A95" s="82" t="s">
        <v>904</v>
      </c>
      <c r="B95" s="84">
        <v>38289</v>
      </c>
      <c r="C95" s="83">
        <v>764.8</v>
      </c>
      <c r="D95" s="83">
        <v>764.9</v>
      </c>
      <c r="E95" s="83">
        <v>764.85</v>
      </c>
      <c r="F95" s="147">
        <v>35695.895136156898</v>
      </c>
      <c r="G95" s="85">
        <v>436.80754878182944</v>
      </c>
      <c r="H95" s="85">
        <v>439.46973837987144</v>
      </c>
      <c r="I95" s="103">
        <v>0.46881931368883278</v>
      </c>
    </row>
    <row r="96" spans="1:9">
      <c r="A96" s="82" t="s">
        <v>905</v>
      </c>
      <c r="B96" s="84">
        <v>38001</v>
      </c>
      <c r="C96" s="83">
        <v>774.85</v>
      </c>
      <c r="D96" s="83">
        <v>774.96</v>
      </c>
      <c r="E96" s="83">
        <v>774.90499999999997</v>
      </c>
      <c r="F96" s="147">
        <v>36525.745662080502</v>
      </c>
      <c r="G96" s="85">
        <v>472.55076948404189</v>
      </c>
      <c r="H96" s="85">
        <v>475.39347589238213</v>
      </c>
      <c r="I96" s="103">
        <v>0.46274334492616481</v>
      </c>
    </row>
    <row r="97" spans="1:9">
      <c r="A97" s="82" t="s">
        <v>906</v>
      </c>
      <c r="B97" s="84">
        <v>38290</v>
      </c>
      <c r="C97" s="83">
        <v>784.88</v>
      </c>
      <c r="D97" s="83">
        <v>784.99</v>
      </c>
      <c r="E97" s="83">
        <v>784.93499999999995</v>
      </c>
      <c r="F97" s="147">
        <v>37420.631743667298</v>
      </c>
      <c r="G97" s="85">
        <v>565.40619924768725</v>
      </c>
      <c r="H97" s="85">
        <v>568.95025607218793</v>
      </c>
      <c r="I97" s="103">
        <v>0.48216619501794866</v>
      </c>
    </row>
    <row r="98" spans="1:9">
      <c r="A98" s="82" t="s">
        <v>907</v>
      </c>
      <c r="B98" s="84">
        <v>38292</v>
      </c>
      <c r="C98" s="83">
        <v>794.48</v>
      </c>
      <c r="D98" s="83">
        <v>794.58</v>
      </c>
      <c r="E98" s="83">
        <v>794.53</v>
      </c>
      <c r="F98" s="147">
        <v>38101.267138483898</v>
      </c>
      <c r="G98" s="85">
        <v>544.03243454826247</v>
      </c>
      <c r="H98" s="85">
        <v>547.28559234691863</v>
      </c>
      <c r="I98" s="103">
        <v>0.45997791987664116</v>
      </c>
    </row>
    <row r="99" spans="1:9">
      <c r="A99" s="82" t="s">
        <v>908</v>
      </c>
      <c r="B99" s="84">
        <v>38193</v>
      </c>
      <c r="C99" s="83">
        <v>804.55</v>
      </c>
      <c r="D99" s="83">
        <v>804.68</v>
      </c>
      <c r="E99" s="83">
        <v>804.61500000000001</v>
      </c>
      <c r="F99" s="147">
        <v>38763.695072098599</v>
      </c>
      <c r="G99" s="85">
        <v>449.67987307264434</v>
      </c>
      <c r="H99" s="85">
        <v>452.20103452732883</v>
      </c>
      <c r="I99" s="103">
        <v>0.43127457581998602</v>
      </c>
    </row>
    <row r="100" spans="1:9">
      <c r="A100" s="82" t="s">
        <v>909</v>
      </c>
      <c r="B100" s="84">
        <v>38258</v>
      </c>
      <c r="C100" s="83">
        <v>814.5</v>
      </c>
      <c r="D100" s="83">
        <v>814.61</v>
      </c>
      <c r="E100" s="83">
        <v>814.55499999999995</v>
      </c>
      <c r="F100" s="147">
        <v>39431.464633788397</v>
      </c>
      <c r="G100" s="85">
        <v>448.19683921453827</v>
      </c>
      <c r="H100" s="85">
        <v>451.18217103535022</v>
      </c>
      <c r="I100" s="103">
        <v>0.5123661953878772</v>
      </c>
    </row>
    <row r="101" spans="1:9">
      <c r="A101" s="82" t="s">
        <v>910</v>
      </c>
      <c r="B101" s="84">
        <v>37875</v>
      </c>
      <c r="C101" s="83">
        <v>834.93</v>
      </c>
      <c r="D101" s="83">
        <v>835.05</v>
      </c>
      <c r="E101" s="83">
        <v>834.99</v>
      </c>
      <c r="F101" s="147">
        <v>40993.744276866397</v>
      </c>
      <c r="G101" s="85">
        <v>440.63162693661849</v>
      </c>
      <c r="H101" s="85">
        <v>443.48758622351318</v>
      </c>
      <c r="I101" s="103"/>
    </row>
    <row r="102" spans="1:9">
      <c r="A102" s="82" t="s">
        <v>911</v>
      </c>
      <c r="B102" s="84">
        <v>37881</v>
      </c>
      <c r="C102" s="83">
        <v>845.56</v>
      </c>
      <c r="D102" s="83">
        <v>845.68</v>
      </c>
      <c r="E102" s="83">
        <v>845.62</v>
      </c>
      <c r="F102" s="147">
        <v>41800.5918451611</v>
      </c>
      <c r="G102" s="85">
        <v>414.00043152072459</v>
      </c>
      <c r="H102" s="85">
        <v>416.64944039084327</v>
      </c>
      <c r="I102" s="103"/>
    </row>
    <row r="103" spans="1:9">
      <c r="A103" s="82" t="s">
        <v>912</v>
      </c>
      <c r="B103" s="84">
        <v>37915</v>
      </c>
      <c r="C103" s="83">
        <v>859.6</v>
      </c>
      <c r="D103" s="83">
        <v>859.72</v>
      </c>
      <c r="E103" s="83">
        <v>859.66</v>
      </c>
      <c r="F103" s="147">
        <v>42978.016782218801</v>
      </c>
      <c r="G103" s="85">
        <v>488.83781898642701</v>
      </c>
      <c r="H103" s="85">
        <v>491.91275856450903</v>
      </c>
      <c r="I103" s="103">
        <v>0.48534694143154489</v>
      </c>
    </row>
    <row r="104" spans="1:9">
      <c r="A104" s="82" t="s">
        <v>913</v>
      </c>
      <c r="B104" s="84">
        <v>37934</v>
      </c>
      <c r="C104" s="83">
        <v>874.5</v>
      </c>
      <c r="D104" s="83">
        <v>874.62</v>
      </c>
      <c r="E104" s="83">
        <v>874.56</v>
      </c>
      <c r="F104" s="147">
        <v>44459.828721944497</v>
      </c>
      <c r="G104" s="85">
        <v>429.30280075369194</v>
      </c>
      <c r="H104" s="85">
        <v>431.91539465200435</v>
      </c>
      <c r="I104" s="103">
        <v>0.46955740616231989</v>
      </c>
    </row>
    <row r="105" spans="1:9">
      <c r="A105" s="82" t="s">
        <v>914</v>
      </c>
      <c r="B105" s="84">
        <v>38263</v>
      </c>
      <c r="C105" s="83">
        <v>882.5</v>
      </c>
      <c r="D105" s="83">
        <v>882.6</v>
      </c>
      <c r="E105" s="83">
        <v>882.55</v>
      </c>
      <c r="F105" s="147">
        <v>45207.315001495299</v>
      </c>
      <c r="G105" s="85">
        <v>473.65987688504561</v>
      </c>
      <c r="H105" s="85">
        <v>476.54967923701577</v>
      </c>
      <c r="I105" s="103">
        <v>0.47140800941305189</v>
      </c>
    </row>
    <row r="106" spans="1:9">
      <c r="A106" s="82" t="s">
        <v>915</v>
      </c>
      <c r="B106" s="84">
        <v>38272</v>
      </c>
      <c r="C106" s="83">
        <v>891.4</v>
      </c>
      <c r="D106" s="83">
        <v>891.5</v>
      </c>
      <c r="E106" s="83">
        <v>891.45</v>
      </c>
      <c r="F106" s="147">
        <v>45891.656872095897</v>
      </c>
      <c r="G106" s="85">
        <v>498.95512341628722</v>
      </c>
      <c r="H106" s="85">
        <v>501.94027111528794</v>
      </c>
      <c r="I106" s="103">
        <v>0.4622743027305084</v>
      </c>
    </row>
    <row r="107" spans="1:9">
      <c r="A107" s="82" t="s">
        <v>916</v>
      </c>
      <c r="B107" s="84">
        <v>37945</v>
      </c>
      <c r="C107" s="83">
        <v>899.55</v>
      </c>
      <c r="D107" s="83">
        <v>899.67</v>
      </c>
      <c r="E107" s="83">
        <v>899.61</v>
      </c>
      <c r="F107" s="147">
        <v>46493.6924058648</v>
      </c>
      <c r="G107" s="85">
        <v>479.43551426465945</v>
      </c>
      <c r="H107" s="85">
        <v>482.43244142802945</v>
      </c>
      <c r="I107" s="103">
        <v>0.48299362816000002</v>
      </c>
    </row>
    <row r="108" spans="1:9">
      <c r="A108" s="82" t="s">
        <v>917</v>
      </c>
      <c r="B108" s="84">
        <v>38273</v>
      </c>
      <c r="C108" s="83">
        <v>926.49</v>
      </c>
      <c r="D108" s="83">
        <v>926.6</v>
      </c>
      <c r="E108" s="83">
        <v>926.54499999999996</v>
      </c>
      <c r="F108" s="147">
        <v>48383.824451724802</v>
      </c>
      <c r="G108" s="85">
        <v>425.00439112405769</v>
      </c>
      <c r="H108" s="85">
        <v>427.53727469881721</v>
      </c>
      <c r="I108" s="103">
        <v>0.45983531214501078</v>
      </c>
    </row>
    <row r="109" spans="1:9">
      <c r="A109" s="82" t="s">
        <v>918</v>
      </c>
      <c r="B109" s="84">
        <v>37973</v>
      </c>
      <c r="C109" s="83">
        <v>934.6</v>
      </c>
      <c r="D109" s="83">
        <v>934.72</v>
      </c>
      <c r="E109" s="83">
        <v>934.66</v>
      </c>
      <c r="F109" s="147">
        <v>49107.492156143897</v>
      </c>
      <c r="G109" s="85">
        <v>454.41370771901808</v>
      </c>
      <c r="H109" s="85">
        <v>456.81118022888597</v>
      </c>
      <c r="I109" s="103">
        <v>0.40708276989611331</v>
      </c>
    </row>
    <row r="110" spans="1:9">
      <c r="A110" s="82" t="s">
        <v>919</v>
      </c>
      <c r="B110" s="84">
        <v>38001</v>
      </c>
      <c r="C110" s="83">
        <v>939.54</v>
      </c>
      <c r="D110" s="83">
        <v>939.66</v>
      </c>
      <c r="E110" s="83">
        <v>939.6</v>
      </c>
      <c r="F110" s="147">
        <v>49532.184416955402</v>
      </c>
      <c r="G110" s="85">
        <v>444.77930015290269</v>
      </c>
      <c r="H110" s="85">
        <v>447.24577380040461</v>
      </c>
      <c r="I110" s="103">
        <v>0.42847681509290536</v>
      </c>
    </row>
    <row r="111" spans="1:9">
      <c r="A111" s="82" t="s">
        <v>920</v>
      </c>
      <c r="B111" s="84">
        <v>38193</v>
      </c>
      <c r="C111" s="83">
        <v>954.16</v>
      </c>
      <c r="D111" s="83">
        <v>954.28</v>
      </c>
      <c r="E111" s="83">
        <v>954.22</v>
      </c>
      <c r="F111" s="147">
        <v>51063.269209250502</v>
      </c>
      <c r="G111" s="85">
        <v>492.73347580070981</v>
      </c>
      <c r="H111" s="85">
        <v>495.46844319114007</v>
      </c>
      <c r="I111" s="103">
        <v>0.42887970784848101</v>
      </c>
    </row>
    <row r="112" spans="1:9">
      <c r="A112" s="82" t="s">
        <v>921</v>
      </c>
      <c r="B112" s="84">
        <v>37824</v>
      </c>
      <c r="C112" s="83">
        <v>964.65</v>
      </c>
      <c r="D112" s="83">
        <v>964.75</v>
      </c>
      <c r="E112" s="83">
        <v>964.7</v>
      </c>
      <c r="F112" s="147">
        <v>52149.777523479599</v>
      </c>
      <c r="G112" s="85">
        <v>536.49087166509867</v>
      </c>
      <c r="H112" s="85">
        <v>539.81296312285883</v>
      </c>
      <c r="I112" s="103">
        <v>0.47778196920938826</v>
      </c>
    </row>
    <row r="113" spans="1:9">
      <c r="A113" s="82" t="s">
        <v>922</v>
      </c>
      <c r="B113" s="84">
        <v>38279</v>
      </c>
      <c r="C113" s="83">
        <v>974.7</v>
      </c>
      <c r="D113" s="83">
        <v>974.8</v>
      </c>
      <c r="E113" s="83">
        <v>974.75</v>
      </c>
      <c r="F113" s="147">
        <v>53167.356865173497</v>
      </c>
      <c r="H113" s="85"/>
      <c r="I113" s="103">
        <v>0.46759267607593663</v>
      </c>
    </row>
    <row r="114" spans="1:9">
      <c r="A114" s="82" t="s">
        <v>923</v>
      </c>
      <c r="B114" s="84">
        <v>37885</v>
      </c>
      <c r="C114" s="83">
        <v>984.75</v>
      </c>
      <c r="D114" s="83">
        <v>984.87</v>
      </c>
      <c r="E114" s="83">
        <v>984.81</v>
      </c>
      <c r="F114" s="147">
        <v>54020.927322845899</v>
      </c>
      <c r="G114" s="85">
        <v>534.58106352677908</v>
      </c>
      <c r="H114" s="85">
        <v>537.89422523950009</v>
      </c>
      <c r="I114" s="103"/>
    </row>
    <row r="115" spans="1:9">
      <c r="A115" s="82" t="s">
        <v>924</v>
      </c>
      <c r="B115" s="84">
        <v>38287</v>
      </c>
      <c r="C115" s="83">
        <v>992.8</v>
      </c>
      <c r="D115" s="83">
        <v>992.9</v>
      </c>
      <c r="E115" s="83">
        <v>992.85</v>
      </c>
      <c r="F115" s="147">
        <v>54588.011571495997</v>
      </c>
      <c r="G115" s="85">
        <v>461.89912765636461</v>
      </c>
      <c r="H115" s="85">
        <v>464.81268029278158</v>
      </c>
      <c r="I115" s="103">
        <v>0.48669427196224158</v>
      </c>
    </row>
    <row r="116" spans="1:9">
      <c r="A116" s="82" t="s">
        <v>925</v>
      </c>
      <c r="B116" s="84">
        <v>38288</v>
      </c>
      <c r="C116" s="83">
        <v>1001.35</v>
      </c>
      <c r="D116" s="83">
        <v>1001.45</v>
      </c>
      <c r="E116" s="83">
        <v>1001.4</v>
      </c>
      <c r="F116" s="147">
        <v>55223.214389605397</v>
      </c>
      <c r="G116" s="85">
        <v>467.49308244472462</v>
      </c>
      <c r="H116" s="85">
        <v>470.24741146528561</v>
      </c>
      <c r="I116" s="103">
        <v>0.45523541826574654</v>
      </c>
    </row>
    <row r="117" spans="1:9">
      <c r="A117" s="82" t="s">
        <v>926</v>
      </c>
      <c r="B117" s="84">
        <v>37915</v>
      </c>
      <c r="C117" s="83">
        <v>1009.85</v>
      </c>
      <c r="D117" s="83">
        <v>1009.97</v>
      </c>
      <c r="E117" s="83">
        <v>1009.91</v>
      </c>
      <c r="F117" s="147">
        <v>55913.586495131203</v>
      </c>
      <c r="G117" s="85">
        <v>534.95340634124136</v>
      </c>
      <c r="H117" s="85">
        <v>538.13679386255546</v>
      </c>
      <c r="I117" s="103"/>
    </row>
    <row r="118" spans="1:9">
      <c r="A118" s="82" t="s">
        <v>927</v>
      </c>
      <c r="B118" s="84">
        <v>37934</v>
      </c>
      <c r="C118" s="83">
        <v>1019.85</v>
      </c>
      <c r="D118" s="83">
        <v>1019.97</v>
      </c>
      <c r="E118" s="83">
        <v>1019.91</v>
      </c>
      <c r="F118" s="147">
        <v>56768.051398255302</v>
      </c>
      <c r="G118" s="85">
        <v>500.39756612349322</v>
      </c>
      <c r="H118" s="85">
        <v>503.4102939372429</v>
      </c>
      <c r="I118" s="103">
        <v>0.46520044650614495</v>
      </c>
    </row>
    <row r="119" spans="1:9">
      <c r="A119" s="82" t="s">
        <v>928</v>
      </c>
      <c r="B119" s="84">
        <v>37945</v>
      </c>
      <c r="C119" s="83">
        <v>1029.8499999999999</v>
      </c>
      <c r="D119" s="83">
        <v>1029.97</v>
      </c>
      <c r="E119" s="83">
        <v>1029.9100000000001</v>
      </c>
      <c r="F119" s="147">
        <v>57678.835700867698</v>
      </c>
      <c r="G119" s="85">
        <v>542.75195283714072</v>
      </c>
      <c r="H119" s="85">
        <v>546.35835266694733</v>
      </c>
      <c r="I119" s="103">
        <v>0.51268780544000003</v>
      </c>
    </row>
    <row r="120" spans="1:9">
      <c r="A120" s="82" t="s">
        <v>929</v>
      </c>
      <c r="B120" s="84">
        <v>38257</v>
      </c>
      <c r="C120" s="83">
        <v>1036.95</v>
      </c>
      <c r="D120" s="83">
        <v>1037.06</v>
      </c>
      <c r="E120" s="83">
        <v>1037.0050000000001</v>
      </c>
      <c r="F120" s="147">
        <v>58254.376111124999</v>
      </c>
      <c r="G120" s="85">
        <v>542.6606698333668</v>
      </c>
      <c r="H120" s="85">
        <v>545.98456898495999</v>
      </c>
      <c r="I120" s="103">
        <v>0.47260683753058447</v>
      </c>
    </row>
    <row r="121" spans="1:9">
      <c r="A121" s="82" t="s">
        <v>930</v>
      </c>
      <c r="B121" s="84">
        <v>38249</v>
      </c>
      <c r="C121" s="83">
        <v>1052.05</v>
      </c>
      <c r="D121" s="83">
        <v>1052.1600000000001</v>
      </c>
      <c r="E121" s="83">
        <v>1052.105</v>
      </c>
      <c r="F121" s="147">
        <v>59416.286553661797</v>
      </c>
      <c r="G121" s="85">
        <v>531.17719579529728</v>
      </c>
      <c r="H121" s="85">
        <v>534.40117309795323</v>
      </c>
      <c r="I121" s="103">
        <v>0.46830960180327741</v>
      </c>
    </row>
    <row r="122" spans="1:9">
      <c r="A122" s="82" t="s">
        <v>931</v>
      </c>
      <c r="B122" s="84">
        <v>37973</v>
      </c>
      <c r="C122" s="83">
        <v>1060.05</v>
      </c>
      <c r="D122" s="83">
        <v>1060.1600000000001</v>
      </c>
      <c r="E122" s="83">
        <v>1060.105</v>
      </c>
      <c r="F122" s="147">
        <v>59944.202708110803</v>
      </c>
      <c r="G122" s="85">
        <v>442.82772971638042</v>
      </c>
      <c r="H122" s="85">
        <v>445.24826138288734</v>
      </c>
      <c r="I122" s="103">
        <v>0.42234890726610913</v>
      </c>
    </row>
    <row r="123" spans="1:9">
      <c r="A123" s="82" t="s">
        <v>932</v>
      </c>
      <c r="B123" s="84">
        <v>38251</v>
      </c>
      <c r="C123" s="83">
        <v>1067</v>
      </c>
      <c r="D123" s="83">
        <v>1067.1099999999999</v>
      </c>
      <c r="E123" s="83">
        <v>1067.0550000000001</v>
      </c>
      <c r="F123" s="147">
        <v>60462.418629309097</v>
      </c>
      <c r="G123" s="85">
        <v>452.16629502420466</v>
      </c>
      <c r="H123" s="85">
        <v>454.81805478565229</v>
      </c>
      <c r="I123" s="103">
        <v>0.45313896090826472</v>
      </c>
    </row>
    <row r="124" spans="1:9">
      <c r="A124" s="82" t="s">
        <v>933</v>
      </c>
      <c r="B124" s="84">
        <v>38001</v>
      </c>
      <c r="C124" s="83">
        <v>1075</v>
      </c>
      <c r="D124" s="83">
        <v>1075.1099999999999</v>
      </c>
      <c r="E124" s="83">
        <v>1075.0550000000001</v>
      </c>
      <c r="F124" s="147">
        <v>61046.101616386601</v>
      </c>
      <c r="G124" s="85">
        <v>436.94524893143426</v>
      </c>
      <c r="H124" s="85">
        <v>439.49278173518024</v>
      </c>
      <c r="I124" s="103">
        <v>0.44985574592348976</v>
      </c>
    </row>
    <row r="125" spans="1:9">
      <c r="A125" s="82" t="s">
        <v>934</v>
      </c>
      <c r="B125" s="84">
        <v>38253</v>
      </c>
      <c r="C125" s="83">
        <v>1082.5</v>
      </c>
      <c r="D125" s="83">
        <v>1082.6099999999999</v>
      </c>
      <c r="E125" s="83">
        <v>1082.5550000000001</v>
      </c>
      <c r="F125" s="147">
        <v>61625.469564054503</v>
      </c>
      <c r="G125" s="85">
        <v>433.56816656393949</v>
      </c>
      <c r="H125" s="85">
        <v>436.59900773721296</v>
      </c>
      <c r="I125" s="103">
        <v>0.53936939371732018</v>
      </c>
    </row>
    <row r="126" spans="1:9">
      <c r="A126" s="82" t="s">
        <v>935</v>
      </c>
      <c r="B126" s="84">
        <v>38289</v>
      </c>
      <c r="C126" s="83">
        <v>1090.5</v>
      </c>
      <c r="D126" s="83">
        <v>1090.5999999999999</v>
      </c>
      <c r="E126" s="83">
        <v>1090.55</v>
      </c>
      <c r="F126" s="147">
        <v>62324.609851724897</v>
      </c>
      <c r="G126" s="85">
        <v>438.27138721423557</v>
      </c>
      <c r="H126" s="85">
        <v>440.87973462008273</v>
      </c>
      <c r="I126" s="103">
        <v>0.45985163062877138</v>
      </c>
    </row>
    <row r="127" spans="1:9">
      <c r="A127" s="82" t="s">
        <v>936</v>
      </c>
      <c r="B127" s="84">
        <v>38193</v>
      </c>
      <c r="C127" s="83">
        <v>1099.5</v>
      </c>
      <c r="D127" s="83">
        <v>1099.6199999999999</v>
      </c>
      <c r="E127" s="83">
        <v>1099.56</v>
      </c>
      <c r="F127" s="147">
        <v>63180.345241040603</v>
      </c>
      <c r="G127" s="85">
        <v>439.83520144508509</v>
      </c>
      <c r="H127" s="85">
        <v>442.43091071542756</v>
      </c>
      <c r="I127" s="103">
        <v>0.45535129102248223</v>
      </c>
    </row>
    <row r="128" spans="1:9">
      <c r="A128" s="82" t="s">
        <v>937</v>
      </c>
      <c r="B128" s="84">
        <v>38291</v>
      </c>
      <c r="C128" s="83">
        <v>1107</v>
      </c>
      <c r="D128" s="83">
        <v>1107.1099999999999</v>
      </c>
      <c r="E128" s="83">
        <v>1107.0550000000001</v>
      </c>
      <c r="F128" s="147">
        <v>63983.2884696986</v>
      </c>
      <c r="G128" s="85">
        <v>455.06014917004501</v>
      </c>
      <c r="H128" s="85">
        <v>457.69672446917889</v>
      </c>
      <c r="I128" s="103">
        <v>0.44767906818826175</v>
      </c>
    </row>
    <row r="129" spans="1:9">
      <c r="A129" s="82" t="s">
        <v>938</v>
      </c>
      <c r="B129" s="84">
        <v>38256</v>
      </c>
      <c r="C129" s="83">
        <v>1116</v>
      </c>
      <c r="D129" s="83">
        <v>1116.0999999999999</v>
      </c>
      <c r="E129" s="83">
        <v>1116.05</v>
      </c>
      <c r="F129" s="147">
        <v>64948.236372462103</v>
      </c>
      <c r="G129" s="85">
        <v>501.90048740233311</v>
      </c>
      <c r="H129" s="85">
        <v>504.93600275261156</v>
      </c>
      <c r="I129" s="103">
        <v>0.46665435636417452</v>
      </c>
    </row>
    <row r="130" spans="1:9">
      <c r="A130" s="82" t="s">
        <v>939</v>
      </c>
      <c r="B130" s="84">
        <v>37824</v>
      </c>
      <c r="C130" s="83">
        <v>1124.9000000000001</v>
      </c>
      <c r="D130" s="83">
        <v>1125</v>
      </c>
      <c r="E130" s="83">
        <v>1124.95</v>
      </c>
      <c r="F130" s="147">
        <v>65732.840148930904</v>
      </c>
      <c r="G130" s="85">
        <v>465.59284899143688</v>
      </c>
      <c r="H130" s="85">
        <v>468.4943917664487</v>
      </c>
      <c r="I130" s="103">
        <v>0.48084287424232841</v>
      </c>
    </row>
    <row r="131" spans="1:9">
      <c r="A131" s="82" t="s">
        <v>940</v>
      </c>
      <c r="B131" s="84">
        <v>38257</v>
      </c>
      <c r="C131" s="83">
        <v>1132</v>
      </c>
      <c r="D131" s="83">
        <v>1132.1099999999999</v>
      </c>
      <c r="E131" s="83">
        <v>1132.0550000000001</v>
      </c>
      <c r="F131" s="147">
        <v>66426.723943765697</v>
      </c>
      <c r="G131" s="85">
        <v>468.79281377708867</v>
      </c>
      <c r="H131" s="85">
        <v>471.54462403136932</v>
      </c>
      <c r="I131" s="103">
        <v>0.45291640085163837</v>
      </c>
    </row>
    <row r="132" spans="1:9">
      <c r="A132" s="82" t="s">
        <v>941</v>
      </c>
      <c r="B132" s="84">
        <v>37885</v>
      </c>
      <c r="C132" s="83">
        <v>1139.8800000000001</v>
      </c>
      <c r="D132" s="83">
        <v>1140</v>
      </c>
      <c r="E132" s="83">
        <v>1139.94</v>
      </c>
      <c r="F132" s="147">
        <v>67211.843734667898</v>
      </c>
      <c r="G132" s="85">
        <v>459.47694157294472</v>
      </c>
      <c r="H132" s="85">
        <v>462.1548567866646</v>
      </c>
      <c r="I132" s="103">
        <v>0.44969039287548274</v>
      </c>
    </row>
    <row r="133" spans="1:9">
      <c r="A133" s="82" t="s">
        <v>942</v>
      </c>
      <c r="B133" s="84">
        <v>37915</v>
      </c>
      <c r="C133" s="83">
        <v>1149.8800000000001</v>
      </c>
      <c r="D133" s="83">
        <v>1150</v>
      </c>
      <c r="E133" s="83">
        <v>1149.94</v>
      </c>
      <c r="F133" s="147">
        <v>68342.489354607504</v>
      </c>
      <c r="G133" s="85">
        <v>460.79800512188632</v>
      </c>
      <c r="H133" s="85">
        <v>463.78656411872902</v>
      </c>
      <c r="I133" s="103">
        <v>0.50041665069754682</v>
      </c>
    </row>
    <row r="134" spans="1:9">
      <c r="A134" s="82" t="s">
        <v>943</v>
      </c>
      <c r="B134" s="84">
        <v>38249</v>
      </c>
      <c r="C134" s="83">
        <v>1157</v>
      </c>
      <c r="D134" s="83">
        <v>1157.1099999999999</v>
      </c>
      <c r="E134" s="83">
        <v>1157.0550000000001</v>
      </c>
      <c r="F134" s="147">
        <v>69159.960171341896</v>
      </c>
      <c r="G134" s="85">
        <v>470.27251654959815</v>
      </c>
      <c r="H134" s="85">
        <v>473.19092718484757</v>
      </c>
      <c r="I134" s="103">
        <v>0.47950397893379282</v>
      </c>
    </row>
    <row r="135" spans="1:9">
      <c r="A135" s="82" t="s">
        <v>944</v>
      </c>
      <c r="B135" s="84">
        <v>37936</v>
      </c>
      <c r="C135" s="83">
        <v>1164.5</v>
      </c>
      <c r="D135" s="83">
        <v>1164.6199999999999</v>
      </c>
      <c r="E135" s="83">
        <v>1164.56</v>
      </c>
      <c r="F135" s="147">
        <v>69958.071460196297</v>
      </c>
      <c r="G135" s="85">
        <v>484.6256647210551</v>
      </c>
      <c r="H135" s="85">
        <v>487.69249493282774</v>
      </c>
      <c r="I135" s="103">
        <v>0.48827426134103846</v>
      </c>
    </row>
    <row r="136" spans="1:9">
      <c r="A136" s="82" t="s">
        <v>945</v>
      </c>
      <c r="B136" s="84">
        <v>37945</v>
      </c>
      <c r="C136" s="83">
        <v>1174.5</v>
      </c>
      <c r="D136" s="83">
        <v>1174.6199999999999</v>
      </c>
      <c r="E136" s="83">
        <v>1174.56</v>
      </c>
      <c r="F136" s="147">
        <v>70962.682101170794</v>
      </c>
      <c r="G136" s="85">
        <v>443.17399726286976</v>
      </c>
      <c r="H136" s="85">
        <v>446.17467289676875</v>
      </c>
      <c r="I136" s="103">
        <v>0.52316682368</v>
      </c>
    </row>
    <row r="137" spans="1:9">
      <c r="A137" s="82" t="s">
        <v>946</v>
      </c>
      <c r="B137" s="84">
        <v>37957</v>
      </c>
      <c r="C137" s="83">
        <v>1184.5</v>
      </c>
      <c r="D137" s="83">
        <v>1184.6199999999999</v>
      </c>
      <c r="E137" s="83">
        <v>1184.56</v>
      </c>
      <c r="F137" s="147">
        <v>71906.581055846895</v>
      </c>
      <c r="G137" s="85">
        <v>471.26294097426756</v>
      </c>
      <c r="H137" s="85">
        <v>474.4791107339218</v>
      </c>
      <c r="I137" s="103">
        <v>0.5273161706460997</v>
      </c>
    </row>
    <row r="138" spans="1:9">
      <c r="A138" s="82" t="s">
        <v>947</v>
      </c>
      <c r="B138" s="84">
        <v>38259</v>
      </c>
      <c r="C138" s="83">
        <v>1194.9000000000001</v>
      </c>
      <c r="D138" s="83">
        <v>1195</v>
      </c>
      <c r="E138" s="83">
        <v>1194.95</v>
      </c>
      <c r="F138" s="147">
        <v>72826.989025811694</v>
      </c>
      <c r="G138" s="85">
        <v>440.10677497735549</v>
      </c>
      <c r="H138" s="85">
        <v>442.90941734167831</v>
      </c>
      <c r="I138" s="103">
        <v>0.49134906824514674</v>
      </c>
    </row>
    <row r="139" spans="1:9">
      <c r="A139" s="82" t="s">
        <v>948</v>
      </c>
      <c r="B139" s="84">
        <v>38242</v>
      </c>
      <c r="C139" s="83">
        <v>1204</v>
      </c>
      <c r="D139" s="83">
        <v>1204.0999999999999</v>
      </c>
      <c r="E139" s="83">
        <v>1204.05</v>
      </c>
      <c r="F139" s="147">
        <v>73697.081243557303</v>
      </c>
      <c r="G139" s="85">
        <v>463.9928863383692</v>
      </c>
      <c r="H139" s="85">
        <v>466.63968797402936</v>
      </c>
      <c r="I139" s="103">
        <v>0.4401397379921877</v>
      </c>
    </row>
    <row r="140" spans="1:9">
      <c r="A140" s="82" t="s">
        <v>949</v>
      </c>
      <c r="B140" s="84">
        <v>38001</v>
      </c>
      <c r="C140" s="83">
        <v>1214.5</v>
      </c>
      <c r="D140" s="83">
        <v>1214.6199999999999</v>
      </c>
      <c r="E140" s="83">
        <v>1214.56</v>
      </c>
      <c r="F140" s="147">
        <v>74711.685360929594</v>
      </c>
      <c r="G140" s="85">
        <v>465.30103676488625</v>
      </c>
      <c r="H140" s="85">
        <v>468.05140264574754</v>
      </c>
      <c r="I140" s="103">
        <v>0.4567219310826422</v>
      </c>
    </row>
    <row r="141" spans="1:9">
      <c r="A141" s="82" t="s">
        <v>950</v>
      </c>
      <c r="B141" s="84">
        <v>38251</v>
      </c>
      <c r="C141" s="83">
        <v>1222</v>
      </c>
      <c r="D141" s="83">
        <v>1222.0999999999999</v>
      </c>
      <c r="E141" s="83">
        <v>1222.05</v>
      </c>
      <c r="F141" s="147">
        <v>75343.126519473997</v>
      </c>
      <c r="G141" s="85">
        <v>469.38981066631158</v>
      </c>
      <c r="H141" s="85">
        <v>472.16082420785199</v>
      </c>
      <c r="I141" s="103">
        <v>0.45549697670093892</v>
      </c>
    </row>
    <row r="142" spans="1:9">
      <c r="A142" s="82" t="s">
        <v>951</v>
      </c>
      <c r="B142" s="84">
        <v>38196</v>
      </c>
      <c r="C142" s="83">
        <v>1229.5</v>
      </c>
      <c r="D142" s="83">
        <v>1229.6199999999999</v>
      </c>
      <c r="E142" s="83">
        <v>1229.56</v>
      </c>
      <c r="F142" s="147">
        <v>75961.523360729407</v>
      </c>
      <c r="G142" s="85">
        <v>455.39867292346418</v>
      </c>
      <c r="H142" s="85">
        <v>458.20597179683847</v>
      </c>
      <c r="I142" s="103">
        <v>0.47563893626069198</v>
      </c>
    </row>
    <row r="143" spans="1:9">
      <c r="A143" s="82" t="s">
        <v>952</v>
      </c>
      <c r="B143" s="84">
        <v>38260</v>
      </c>
      <c r="C143" s="83">
        <v>1242</v>
      </c>
      <c r="D143" s="83">
        <v>1242.0999999999999</v>
      </c>
      <c r="E143" s="83">
        <v>1242.05</v>
      </c>
      <c r="F143" s="147">
        <v>77036.381346145106</v>
      </c>
      <c r="G143" s="85">
        <v>429.75051056387298</v>
      </c>
      <c r="H143" s="85">
        <v>432.52729236286388</v>
      </c>
      <c r="I143" s="103">
        <v>0.4985467175254496</v>
      </c>
    </row>
    <row r="144" spans="1:9">
      <c r="A144" s="82" t="s">
        <v>953</v>
      </c>
      <c r="B144" s="84">
        <v>37851</v>
      </c>
      <c r="C144" s="83">
        <v>1254.5</v>
      </c>
      <c r="D144" s="83">
        <v>1254.6199999999999</v>
      </c>
      <c r="E144" s="83">
        <v>1254.56</v>
      </c>
      <c r="F144" s="147">
        <v>78126.627108783199</v>
      </c>
      <c r="G144" s="85">
        <v>478.29634801351216</v>
      </c>
      <c r="H144" s="85">
        <v>481.15363076708036</v>
      </c>
      <c r="I144" s="103">
        <v>0.46093179151719621</v>
      </c>
    </row>
    <row r="145" spans="1:9">
      <c r="A145" s="82" t="s">
        <v>954</v>
      </c>
      <c r="B145" s="84">
        <v>38264</v>
      </c>
      <c r="C145" s="83">
        <v>1265.3900000000001</v>
      </c>
      <c r="D145" s="83">
        <v>1265.5</v>
      </c>
      <c r="E145" s="83">
        <v>1265.4449999999999</v>
      </c>
      <c r="F145" s="147">
        <v>79144.420836842095</v>
      </c>
      <c r="G145" s="85">
        <v>473.41045782301023</v>
      </c>
      <c r="H145" s="85">
        <v>476.23627158247592</v>
      </c>
      <c r="I145" s="103">
        <v>0.46121253551902008</v>
      </c>
    </row>
    <row r="146" spans="1:9">
      <c r="A146" s="82" t="s">
        <v>955</v>
      </c>
      <c r="B146" s="84">
        <v>37895</v>
      </c>
      <c r="C146" s="83">
        <v>1274.5</v>
      </c>
      <c r="D146" s="83">
        <v>1274.6199999999999</v>
      </c>
      <c r="E146" s="83">
        <v>1274.56</v>
      </c>
      <c r="F146" s="147">
        <v>79973.7629745624</v>
      </c>
      <c r="G146" s="85">
        <v>510.64716101153533</v>
      </c>
      <c r="H146" s="85">
        <v>513.69622509321857</v>
      </c>
      <c r="I146" s="103">
        <v>0.4607084084596908</v>
      </c>
    </row>
    <row r="147" spans="1:9">
      <c r="A147" s="82" t="s">
        <v>956</v>
      </c>
      <c r="B147" s="84">
        <v>37915</v>
      </c>
      <c r="C147" s="83">
        <v>1284.8800000000001</v>
      </c>
      <c r="D147" s="83">
        <v>1285</v>
      </c>
      <c r="E147" s="83">
        <v>1284.94</v>
      </c>
      <c r="F147" s="147">
        <v>80869.749873790803</v>
      </c>
      <c r="G147" s="85">
        <v>548.86519299991028</v>
      </c>
      <c r="H147" s="85">
        <v>552.47904933084874</v>
      </c>
      <c r="I147" s="103">
        <v>0.50874553130250477</v>
      </c>
    </row>
    <row r="148" spans="1:9">
      <c r="A148" s="82" t="s">
        <v>957</v>
      </c>
      <c r="B148" s="84">
        <v>38273</v>
      </c>
      <c r="C148" s="83">
        <v>1293.8499999999999</v>
      </c>
      <c r="D148" s="83">
        <v>1293.9549999999999</v>
      </c>
      <c r="E148" s="83">
        <v>1293.9024999999999</v>
      </c>
      <c r="F148" s="147">
        <v>81553.363391314298</v>
      </c>
      <c r="G148" s="85">
        <v>560.10587115034434</v>
      </c>
      <c r="H148" s="85">
        <v>563.63775648860621</v>
      </c>
      <c r="I148" s="103">
        <v>0.48722760409516103</v>
      </c>
    </row>
    <row r="149" spans="1:9">
      <c r="A149" s="82" t="s">
        <v>958</v>
      </c>
      <c r="B149" s="84">
        <v>37936</v>
      </c>
      <c r="C149" s="83">
        <v>1304.5</v>
      </c>
      <c r="D149" s="83">
        <v>1304.6199999999999</v>
      </c>
      <c r="E149" s="83">
        <v>1304.56</v>
      </c>
      <c r="F149" s="147">
        <v>82374.353658590597</v>
      </c>
      <c r="G149" s="85">
        <v>590.17779815787412</v>
      </c>
      <c r="H149" s="85">
        <v>593.86119737134413</v>
      </c>
      <c r="I149" s="103">
        <v>0.48223789830378327</v>
      </c>
    </row>
    <row r="150" spans="1:9">
      <c r="A150" s="82" t="s">
        <v>959</v>
      </c>
      <c r="B150" s="84">
        <v>38253</v>
      </c>
      <c r="C150" s="83">
        <v>1312.39</v>
      </c>
      <c r="D150" s="83">
        <v>1312.5</v>
      </c>
      <c r="E150" s="83">
        <v>1312.4449999999999</v>
      </c>
      <c r="F150" s="147">
        <v>83048.3374155489</v>
      </c>
      <c r="G150" s="85">
        <v>622.96267614731937</v>
      </c>
      <c r="H150" s="85">
        <v>626.55476470674182</v>
      </c>
      <c r="I150" s="103">
        <v>0.44553355950278423</v>
      </c>
    </row>
    <row r="151" spans="1:9">
      <c r="A151" s="82" t="s">
        <v>960</v>
      </c>
      <c r="B151" s="84">
        <v>37945</v>
      </c>
      <c r="C151" s="83">
        <v>1319.5250000000001</v>
      </c>
      <c r="D151" s="83">
        <v>1319.65</v>
      </c>
      <c r="E151" s="83">
        <v>1319.5875000000001</v>
      </c>
      <c r="F151" s="147">
        <v>83617.922699700706</v>
      </c>
      <c r="G151" s="85">
        <v>603.23604589956835</v>
      </c>
      <c r="H151" s="85">
        <v>607.14745269638024</v>
      </c>
      <c r="I151" s="103">
        <v>0.50029505472000002</v>
      </c>
    </row>
    <row r="152" spans="1:9">
      <c r="A152" s="82" t="s">
        <v>961</v>
      </c>
      <c r="B152" s="84">
        <v>38273</v>
      </c>
      <c r="C152" s="83">
        <v>1329.52</v>
      </c>
      <c r="D152" s="83">
        <v>1329.62</v>
      </c>
      <c r="E152" s="83">
        <v>1329.57</v>
      </c>
      <c r="F152" s="147">
        <v>84403.762105821996</v>
      </c>
      <c r="G152" s="85">
        <v>543.64459148804838</v>
      </c>
      <c r="H152" s="85">
        <v>547.1314637466071</v>
      </c>
      <c r="I152" s="103">
        <v>0.49558297701152504</v>
      </c>
    </row>
    <row r="153" spans="1:9">
      <c r="A153" s="82" t="s">
        <v>962</v>
      </c>
      <c r="B153" s="84">
        <v>37957</v>
      </c>
      <c r="C153" s="83">
        <v>1339.5</v>
      </c>
      <c r="D153" s="83">
        <v>1339.62</v>
      </c>
      <c r="E153" s="83">
        <v>1339.56</v>
      </c>
      <c r="F153" s="147">
        <v>85241.765804397903</v>
      </c>
      <c r="G153" s="85">
        <v>454.40347248572817</v>
      </c>
      <c r="H153" s="85">
        <v>457.3817518634205</v>
      </c>
      <c r="I153" s="103">
        <v>0.5057132136065946</v>
      </c>
    </row>
    <row r="154" spans="1:9">
      <c r="A154" s="82" t="s">
        <v>963</v>
      </c>
      <c r="B154" s="84">
        <v>37922</v>
      </c>
      <c r="C154" s="83">
        <v>1348.5</v>
      </c>
      <c r="D154" s="83">
        <v>1348.62</v>
      </c>
      <c r="E154" s="83">
        <v>1348.56</v>
      </c>
      <c r="F154" s="147">
        <v>86007.020713896098</v>
      </c>
      <c r="G154" s="85">
        <v>448.24970359878313</v>
      </c>
      <c r="H154" s="85">
        <v>451.0326958353815</v>
      </c>
      <c r="I154" s="103">
        <v>0.47904078712657927</v>
      </c>
    </row>
    <row r="155" spans="1:9">
      <c r="A155" s="82" t="s">
        <v>964</v>
      </c>
      <c r="B155" s="84">
        <v>38286</v>
      </c>
      <c r="C155" s="83">
        <v>1358.9</v>
      </c>
      <c r="D155" s="83">
        <v>1359</v>
      </c>
      <c r="E155" s="83">
        <v>1358.95</v>
      </c>
      <c r="F155" s="147">
        <v>87009.179158806204</v>
      </c>
      <c r="G155" s="85">
        <v>458.05739859515069</v>
      </c>
      <c r="H155" s="85">
        <v>460.86779529377378</v>
      </c>
      <c r="I155" s="103">
        <v>0.47339997733895384</v>
      </c>
    </row>
    <row r="156" spans="1:9">
      <c r="A156" s="82" t="s">
        <v>965</v>
      </c>
      <c r="B156" s="84">
        <v>37973</v>
      </c>
      <c r="C156" s="83">
        <v>1369.5</v>
      </c>
      <c r="D156" s="83">
        <v>1369.61</v>
      </c>
      <c r="E156" s="83">
        <v>1369.5550000000001</v>
      </c>
      <c r="F156" s="147">
        <v>88079.856886187801</v>
      </c>
      <c r="G156" s="85">
        <v>446.33783174991589</v>
      </c>
      <c r="H156" s="85">
        <v>449.05533595898731</v>
      </c>
      <c r="I156" s="103">
        <v>0.46977189915948742</v>
      </c>
    </row>
    <row r="157" spans="1:9">
      <c r="A157" s="82" t="s">
        <v>966</v>
      </c>
      <c r="B157" s="84">
        <v>38001</v>
      </c>
      <c r="C157" s="83">
        <v>1379.5</v>
      </c>
      <c r="D157" s="83">
        <v>1379.61</v>
      </c>
      <c r="E157" s="83">
        <v>1379.5550000000001</v>
      </c>
      <c r="F157" s="147">
        <v>89146.406208175205</v>
      </c>
      <c r="G157" s="85">
        <v>498.73979180164145</v>
      </c>
      <c r="H157" s="85">
        <v>501.63021218143933</v>
      </c>
      <c r="I157" s="103">
        <v>0.44716468693223771</v>
      </c>
    </row>
    <row r="158" spans="1:9">
      <c r="A158" s="82" t="s">
        <v>967</v>
      </c>
      <c r="B158" s="84">
        <v>38196</v>
      </c>
      <c r="C158" s="83">
        <v>1394.5150000000001</v>
      </c>
      <c r="D158" s="83">
        <v>1394.64</v>
      </c>
      <c r="E158" s="83">
        <v>1394.5775000000001</v>
      </c>
      <c r="F158" s="147">
        <v>90789.023914375604</v>
      </c>
      <c r="G158" s="85">
        <v>486.76986042028483</v>
      </c>
      <c r="H158" s="85">
        <v>489.91934052773291</v>
      </c>
      <c r="I158" s="103">
        <v>0.49993161788793777</v>
      </c>
    </row>
    <row r="159" spans="1:9">
      <c r="A159" s="82" t="s">
        <v>968</v>
      </c>
      <c r="B159" s="84">
        <v>37851</v>
      </c>
      <c r="C159" s="83">
        <v>1409.4849999999999</v>
      </c>
      <c r="D159" s="83">
        <v>1409.61</v>
      </c>
      <c r="E159" s="83">
        <v>1409.5474999999999</v>
      </c>
      <c r="F159" s="147">
        <v>92287.720543024101</v>
      </c>
      <c r="G159" s="85">
        <v>449.11409911690453</v>
      </c>
      <c r="H159" s="85">
        <v>451.88316764615251</v>
      </c>
      <c r="I159" s="103">
        <v>0.47572669611362467</v>
      </c>
    </row>
    <row r="160" spans="1:9">
      <c r="A160" s="82" t="s">
        <v>969</v>
      </c>
      <c r="B160" s="84">
        <v>38275</v>
      </c>
      <c r="C160" s="83">
        <v>1422</v>
      </c>
      <c r="D160" s="83">
        <v>1422.1</v>
      </c>
      <c r="E160" s="83">
        <v>1422.05</v>
      </c>
      <c r="F160" s="147">
        <v>93507.3232545426</v>
      </c>
      <c r="G160" s="85">
        <v>446.45970550106148</v>
      </c>
      <c r="H160" s="85">
        <v>449.1774264486059</v>
      </c>
      <c r="I160" s="103">
        <v>0.47034659897164738</v>
      </c>
    </row>
    <row r="161" spans="1:9">
      <c r="A161" s="82" t="s">
        <v>970</v>
      </c>
      <c r="B161" s="84">
        <v>37895</v>
      </c>
      <c r="C161" s="83">
        <v>1434.5</v>
      </c>
      <c r="D161" s="83">
        <v>1434.62</v>
      </c>
      <c r="E161" s="83">
        <v>1434.56</v>
      </c>
      <c r="F161" s="147">
        <v>94876.711098949498</v>
      </c>
      <c r="G161" s="85">
        <v>441.85662123664133</v>
      </c>
      <c r="H161" s="85">
        <v>444.83735522698424</v>
      </c>
      <c r="I161" s="103">
        <v>0.5212394374184105</v>
      </c>
    </row>
    <row r="162" spans="1:9">
      <c r="A162" s="82" t="s">
        <v>971</v>
      </c>
      <c r="B162" s="84">
        <v>37917</v>
      </c>
      <c r="C162" s="83">
        <v>1444.88</v>
      </c>
      <c r="D162" s="83">
        <v>1445</v>
      </c>
      <c r="E162" s="83">
        <v>1444.94</v>
      </c>
      <c r="F162" s="147">
        <v>95949.637201687801</v>
      </c>
      <c r="G162" s="85">
        <v>435.16703505487595</v>
      </c>
      <c r="H162" s="85">
        <v>438.11950074447367</v>
      </c>
      <c r="I162" s="103">
        <v>0.52349119194915883</v>
      </c>
    </row>
    <row r="163" spans="1:9">
      <c r="A163" s="82" t="s">
        <v>972</v>
      </c>
      <c r="B163" s="84">
        <v>37936</v>
      </c>
      <c r="C163" s="83">
        <v>1449.5</v>
      </c>
      <c r="D163" s="83">
        <v>1449.62</v>
      </c>
      <c r="E163" s="83">
        <v>1449.56</v>
      </c>
      <c r="F163" s="147">
        <v>96396.031987032693</v>
      </c>
      <c r="G163" s="85">
        <v>456.14386754335709</v>
      </c>
      <c r="H163" s="85">
        <v>459.02425136173485</v>
      </c>
      <c r="I163" s="103">
        <v>0.48722440106646492</v>
      </c>
    </row>
    <row r="164" spans="1:9">
      <c r="A164" s="82" t="s">
        <v>973</v>
      </c>
      <c r="B164" s="84">
        <v>38256</v>
      </c>
      <c r="C164" s="83">
        <v>1459.5</v>
      </c>
      <c r="D164" s="83">
        <v>1459.61</v>
      </c>
      <c r="E164" s="83">
        <v>1459.5550000000001</v>
      </c>
      <c r="F164" s="147">
        <v>97392.1066589369</v>
      </c>
      <c r="G164" s="85">
        <v>471.37762558263046</v>
      </c>
      <c r="H164" s="85">
        <v>473.99979658614342</v>
      </c>
      <c r="I164" s="103">
        <v>0.42982083227620838</v>
      </c>
    </row>
    <row r="165" spans="1:9">
      <c r="A165" s="82" t="s">
        <v>974</v>
      </c>
      <c r="B165" s="84">
        <v>37948</v>
      </c>
      <c r="C165" s="83">
        <v>1469.5</v>
      </c>
      <c r="D165" s="83">
        <v>1469.62</v>
      </c>
      <c r="E165" s="83">
        <v>1469.56</v>
      </c>
      <c r="F165" s="147">
        <v>98379.034887183399</v>
      </c>
      <c r="G165" s="85">
        <v>496.21029582061266</v>
      </c>
      <c r="H165" s="85">
        <v>499.25718532312897</v>
      </c>
      <c r="I165" s="103">
        <v>0.47377423808000002</v>
      </c>
    </row>
    <row r="166" spans="1:9">
      <c r="A166" s="82" t="s">
        <v>975</v>
      </c>
      <c r="B166" s="84">
        <v>37959</v>
      </c>
      <c r="C166" s="83">
        <v>1474.5</v>
      </c>
      <c r="D166" s="83">
        <v>1474.62</v>
      </c>
      <c r="E166" s="83">
        <v>1474.56</v>
      </c>
      <c r="F166" s="147">
        <v>98877.374198394697</v>
      </c>
      <c r="G166" s="85">
        <v>490.27751226282192</v>
      </c>
      <c r="H166" s="85">
        <v>493.14786058670978</v>
      </c>
      <c r="I166" s="103">
        <v>0.45172397111630902</v>
      </c>
    </row>
    <row r="167" spans="1:9">
      <c r="A167" s="82" t="s">
        <v>976</v>
      </c>
      <c r="B167" s="84">
        <v>38257</v>
      </c>
      <c r="C167" s="83">
        <v>1484.5</v>
      </c>
      <c r="D167" s="83">
        <v>1484.61</v>
      </c>
      <c r="E167" s="83">
        <v>1484.5550000000001</v>
      </c>
      <c r="F167" s="147">
        <v>99783.715391627498</v>
      </c>
      <c r="G167" s="85">
        <v>516.18240716769935</v>
      </c>
      <c r="H167" s="85">
        <v>519.53511276702795</v>
      </c>
      <c r="I167" s="103">
        <v>0.50186583980177635</v>
      </c>
    </row>
    <row r="168" spans="1:9">
      <c r="A168" s="82" t="s">
        <v>977</v>
      </c>
      <c r="B168" s="84">
        <v>37976</v>
      </c>
      <c r="C168" s="83">
        <v>1494.5</v>
      </c>
      <c r="D168" s="83">
        <v>1494.61</v>
      </c>
      <c r="E168" s="83">
        <v>1494.5550000000001</v>
      </c>
      <c r="F168" s="147">
        <v>100722.704854639</v>
      </c>
      <c r="G168" s="85">
        <v>539.38050134908156</v>
      </c>
      <c r="H168" s="85">
        <v>542.41933531799441</v>
      </c>
      <c r="I168" s="103">
        <v>0.43470260053979448</v>
      </c>
    </row>
    <row r="169" spans="1:9">
      <c r="A169" s="82" t="s">
        <v>978</v>
      </c>
      <c r="B169" s="84">
        <v>38180</v>
      </c>
      <c r="C169" s="83">
        <v>1504.5</v>
      </c>
      <c r="D169" s="83">
        <v>1504.62</v>
      </c>
      <c r="E169" s="83">
        <v>1504.56</v>
      </c>
      <c r="F169" s="147">
        <v>101714.29376709901</v>
      </c>
      <c r="G169" s="85">
        <v>552.66808832290747</v>
      </c>
      <c r="H169" s="85">
        <v>555.88169967005979</v>
      </c>
      <c r="I169" s="103">
        <v>0.44865185945955721</v>
      </c>
    </row>
    <row r="170" spans="1:9">
      <c r="A170" s="82" t="s">
        <v>979</v>
      </c>
      <c r="B170" s="84">
        <v>38237</v>
      </c>
      <c r="C170" s="83">
        <v>1514.5</v>
      </c>
      <c r="D170" s="83">
        <v>1514.62</v>
      </c>
      <c r="E170" s="83">
        <v>1514.56</v>
      </c>
      <c r="F170" s="147">
        <v>102731.73075839299</v>
      </c>
      <c r="G170" s="85">
        <v>543.37755216068399</v>
      </c>
      <c r="H170" s="85">
        <v>546.70577188663549</v>
      </c>
      <c r="I170" s="103">
        <v>0.47259683166777511</v>
      </c>
    </row>
    <row r="171" spans="1:9">
      <c r="A171" s="82" t="s">
        <v>980</v>
      </c>
      <c r="B171" s="84">
        <v>37853</v>
      </c>
      <c r="C171" s="83">
        <v>1524.48</v>
      </c>
      <c r="D171" s="83">
        <v>1524.6</v>
      </c>
      <c r="E171" s="83">
        <v>1524.54</v>
      </c>
      <c r="F171" s="147">
        <v>103620.163853975</v>
      </c>
      <c r="G171" s="85">
        <v>485.69329693286301</v>
      </c>
      <c r="H171" s="85">
        <v>488.96173290596187</v>
      </c>
      <c r="I171" s="103">
        <v>0.51922833021502535</v>
      </c>
    </row>
    <row r="172" spans="1:9">
      <c r="A172" s="82" t="s">
        <v>981</v>
      </c>
      <c r="B172" s="84">
        <v>38250</v>
      </c>
      <c r="C172" s="83">
        <v>1534</v>
      </c>
      <c r="D172" s="83">
        <v>1534.13</v>
      </c>
      <c r="E172" s="83">
        <v>1534.0650000000001</v>
      </c>
      <c r="F172" s="147">
        <v>104489.430970502</v>
      </c>
      <c r="G172" s="85">
        <v>480.91400227294713</v>
      </c>
      <c r="H172" s="85">
        <v>483.98241877174024</v>
      </c>
      <c r="I172" s="103">
        <v>0.49229723392493829</v>
      </c>
    </row>
    <row r="173" spans="1:9">
      <c r="A173" s="82" t="s">
        <v>982</v>
      </c>
      <c r="B173" s="84">
        <v>37901</v>
      </c>
      <c r="C173" s="83">
        <v>1544.5</v>
      </c>
      <c r="D173" s="83">
        <v>1544.62</v>
      </c>
      <c r="E173" s="83">
        <v>1544.56</v>
      </c>
      <c r="F173" s="147">
        <v>105546.66867946</v>
      </c>
      <c r="G173" s="85">
        <v>541.46328140202161</v>
      </c>
      <c r="H173" s="85">
        <v>544.90747945430167</v>
      </c>
      <c r="I173" s="103">
        <v>0.49079441771942389</v>
      </c>
    </row>
    <row r="174" spans="1:9">
      <c r="A174" s="82" t="s">
        <v>983</v>
      </c>
      <c r="B174" s="84">
        <v>37917</v>
      </c>
      <c r="C174" s="83">
        <v>1554.5</v>
      </c>
      <c r="D174" s="83">
        <v>1554.62</v>
      </c>
      <c r="E174" s="83">
        <v>1554.56</v>
      </c>
      <c r="F174" s="147">
        <v>106722.503820753</v>
      </c>
      <c r="G174" s="85">
        <v>580.01633669131502</v>
      </c>
      <c r="H174" s="85">
        <v>584.04201488121157</v>
      </c>
      <c r="I174" s="103">
        <v>0.53628326320636999</v>
      </c>
    </row>
    <row r="175" spans="1:9">
      <c r="A175" s="82" t="s">
        <v>984</v>
      </c>
      <c r="B175" s="84">
        <v>37936</v>
      </c>
      <c r="C175" s="83">
        <v>1565</v>
      </c>
      <c r="D175" s="83">
        <v>1565.12</v>
      </c>
      <c r="E175" s="83">
        <v>1565.06</v>
      </c>
      <c r="F175" s="147">
        <v>107826.864467301</v>
      </c>
      <c r="G175" s="85">
        <v>616.8986119973963</v>
      </c>
      <c r="H175" s="85">
        <v>620.74502109627826</v>
      </c>
      <c r="I175" s="103">
        <v>0.48176705152000004</v>
      </c>
    </row>
    <row r="176" spans="1:9">
      <c r="A176" s="82" t="s">
        <v>985</v>
      </c>
      <c r="B176" s="84">
        <v>37948</v>
      </c>
      <c r="C176" s="83">
        <v>1574.5</v>
      </c>
      <c r="D176" s="83">
        <v>1574.62</v>
      </c>
      <c r="E176" s="83">
        <v>1574.56</v>
      </c>
      <c r="F176" s="147">
        <v>108797.261006256</v>
      </c>
      <c r="G176" s="85">
        <v>601.47912411832817</v>
      </c>
      <c r="H176" s="85">
        <v>605.45312768016652</v>
      </c>
      <c r="I176" s="103">
        <v>0.51050865344000007</v>
      </c>
    </row>
    <row r="177" spans="1:9">
      <c r="A177" s="82" t="s">
        <v>986</v>
      </c>
      <c r="B177" s="84">
        <v>37959</v>
      </c>
      <c r="C177" s="83">
        <v>1584.5</v>
      </c>
      <c r="D177" s="83">
        <v>1584.63</v>
      </c>
      <c r="E177" s="83">
        <v>1584.5650000000001</v>
      </c>
      <c r="F177" s="147">
        <v>109872.640953457</v>
      </c>
      <c r="G177" s="85">
        <v>470.92833629895199</v>
      </c>
      <c r="H177" s="85">
        <v>473.95694688623024</v>
      </c>
      <c r="I177" s="103">
        <v>0.49691719794868183</v>
      </c>
    </row>
    <row r="178" spans="1:9">
      <c r="A178" s="82" t="s">
        <v>987</v>
      </c>
      <c r="B178" s="84">
        <v>37976</v>
      </c>
      <c r="C178" s="83">
        <v>1590</v>
      </c>
      <c r="D178" s="83">
        <v>1590.1</v>
      </c>
      <c r="E178" s="83">
        <v>1590.05</v>
      </c>
      <c r="F178" s="147">
        <v>110559.637055279</v>
      </c>
      <c r="G178" s="85">
        <v>473.35144533604114</v>
      </c>
      <c r="H178" s="85">
        <v>476.30177650127342</v>
      </c>
      <c r="I178" s="103">
        <v>0.48159555960453176</v>
      </c>
    </row>
    <row r="179" spans="1:9">
      <c r="A179" s="82" t="s">
        <v>988</v>
      </c>
      <c r="B179" s="84">
        <v>38242</v>
      </c>
      <c r="C179" s="83">
        <v>1594.5</v>
      </c>
      <c r="D179" s="83">
        <v>1594.61</v>
      </c>
      <c r="E179" s="83">
        <v>1594.5550000000001</v>
      </c>
      <c r="F179" s="147">
        <v>111179.934677549</v>
      </c>
      <c r="G179" s="85">
        <v>508.39454184152049</v>
      </c>
      <c r="H179" s="85">
        <v>511.50193174986703</v>
      </c>
      <c r="I179" s="103">
        <v>0.47226992123044748</v>
      </c>
    </row>
    <row r="180" spans="1:9">
      <c r="A180" s="82" t="s">
        <v>989</v>
      </c>
      <c r="B180" s="84">
        <v>38288</v>
      </c>
      <c r="C180" s="83">
        <v>1603</v>
      </c>
      <c r="D180" s="83">
        <v>1603.1</v>
      </c>
      <c r="E180" s="83">
        <v>1603.05</v>
      </c>
      <c r="F180" s="147">
        <v>112326.71458996899</v>
      </c>
      <c r="G180" s="85">
        <v>516.39181245130885</v>
      </c>
      <c r="H180" s="85">
        <v>519.7464206254034</v>
      </c>
      <c r="I180" s="103">
        <v>0.50194700558844152</v>
      </c>
    </row>
    <row r="181" spans="1:9">
      <c r="A181" s="82" t="s">
        <v>990</v>
      </c>
      <c r="B181" s="84">
        <v>38237</v>
      </c>
      <c r="C181" s="83">
        <v>1619.5</v>
      </c>
      <c r="D181" s="83">
        <v>1619.63</v>
      </c>
      <c r="E181" s="83">
        <v>1619.5650000000001</v>
      </c>
      <c r="F181" s="147">
        <v>114337.84665024201</v>
      </c>
      <c r="G181" s="85">
        <v>473.53691434391612</v>
      </c>
      <c r="H181" s="85">
        <v>476.35220264748204</v>
      </c>
      <c r="I181" s="103">
        <v>0.45937192655731807</v>
      </c>
    </row>
    <row r="182" spans="1:9">
      <c r="A182" s="82" t="s">
        <v>991</v>
      </c>
      <c r="B182" s="84">
        <v>37853</v>
      </c>
      <c r="C182" s="83">
        <v>1629.88</v>
      </c>
      <c r="D182" s="83">
        <v>1630</v>
      </c>
      <c r="E182" s="83">
        <v>1629.94</v>
      </c>
      <c r="F182" s="147">
        <v>115605.05112549401</v>
      </c>
      <c r="G182" s="85">
        <v>475.26806141628589</v>
      </c>
      <c r="H182" s="85">
        <v>478.3626016273904</v>
      </c>
      <c r="I182" s="103">
        <v>0.50238655560750733</v>
      </c>
    </row>
    <row r="183" spans="1:9">
      <c r="A183" s="82" t="s">
        <v>992</v>
      </c>
      <c r="B183" s="84">
        <v>37901</v>
      </c>
      <c r="C183" s="83">
        <v>1639.5</v>
      </c>
      <c r="D183" s="83">
        <v>1639.62</v>
      </c>
      <c r="E183" s="83">
        <v>1639.56</v>
      </c>
      <c r="F183" s="147">
        <v>116714.747777604</v>
      </c>
      <c r="G183" s="85">
        <v>484.28589664125053</v>
      </c>
      <c r="H183" s="85">
        <v>487.3175107246883</v>
      </c>
      <c r="I183" s="103">
        <v>0.48369044566366537</v>
      </c>
    </row>
    <row r="184" spans="1:9">
      <c r="A184" s="82" t="s">
        <v>993</v>
      </c>
      <c r="B184" s="84">
        <v>37917</v>
      </c>
      <c r="C184" s="83">
        <v>1649.5</v>
      </c>
      <c r="D184" s="83">
        <v>1649.62</v>
      </c>
      <c r="E184" s="83">
        <v>1649.56</v>
      </c>
      <c r="F184" s="147">
        <v>117902.343553535</v>
      </c>
      <c r="G184" s="85">
        <v>507.76854632322585</v>
      </c>
      <c r="H184" s="85">
        <v>510.97747939174701</v>
      </c>
      <c r="I184" s="103">
        <v>0.48761310844685574</v>
      </c>
    </row>
    <row r="185" spans="1:9">
      <c r="A185" s="82" t="s">
        <v>994</v>
      </c>
      <c r="B185" s="84">
        <v>37936</v>
      </c>
      <c r="C185" s="83">
        <v>1654.5</v>
      </c>
      <c r="D185" s="83">
        <v>1654.62</v>
      </c>
      <c r="E185" s="83">
        <v>1654.56</v>
      </c>
      <c r="F185" s="147">
        <v>118478.939099418</v>
      </c>
      <c r="G185" s="85">
        <v>506.49333518862505</v>
      </c>
      <c r="H185" s="85">
        <v>509.88466780763935</v>
      </c>
      <c r="I185" s="103">
        <v>0.51662707264000007</v>
      </c>
    </row>
    <row r="186" spans="1:9">
      <c r="A186" s="82" t="s">
        <v>995</v>
      </c>
      <c r="B186" s="84">
        <v>37948</v>
      </c>
      <c r="C186" s="83">
        <v>1664.5</v>
      </c>
      <c r="D186" s="83">
        <v>1664.62</v>
      </c>
      <c r="E186" s="83">
        <v>1664.56</v>
      </c>
      <c r="F186" s="147">
        <v>119513.768667108</v>
      </c>
      <c r="G186" s="85">
        <v>543.85531108537748</v>
      </c>
      <c r="H186" s="85">
        <v>547.38935180848932</v>
      </c>
      <c r="I186" s="103">
        <v>0.50138193728000002</v>
      </c>
    </row>
    <row r="187" spans="1:9">
      <c r="A187" s="82" t="s">
        <v>996</v>
      </c>
      <c r="B187" s="84">
        <v>37959</v>
      </c>
      <c r="C187" s="83">
        <v>1674.51</v>
      </c>
      <c r="D187" s="83">
        <v>1674.63</v>
      </c>
      <c r="E187" s="83">
        <v>1674.57</v>
      </c>
      <c r="F187" s="147">
        <v>120466.06913256799</v>
      </c>
      <c r="G187" s="85">
        <v>574.12275653018651</v>
      </c>
      <c r="H187" s="85">
        <v>577.74678676553094</v>
      </c>
      <c r="I187" s="103">
        <v>0.48704328443412054</v>
      </c>
    </row>
    <row r="188" spans="1:9">
      <c r="A188" s="82" t="s">
        <v>997</v>
      </c>
      <c r="B188" s="84">
        <v>37976</v>
      </c>
      <c r="C188" s="83">
        <v>1684.5</v>
      </c>
      <c r="D188" s="83">
        <v>1684.61</v>
      </c>
      <c r="E188" s="83">
        <v>1684.5550000000001</v>
      </c>
      <c r="F188" s="147">
        <v>121394.126893137</v>
      </c>
      <c r="G188" s="85">
        <v>579.38780059830947</v>
      </c>
      <c r="H188" s="85">
        <v>582.90793301081862</v>
      </c>
      <c r="I188" s="103">
        <v>0.46878117364960564</v>
      </c>
    </row>
    <row r="189" spans="1:9">
      <c r="A189" s="82" t="s">
        <v>998</v>
      </c>
      <c r="B189" s="84">
        <v>38180</v>
      </c>
      <c r="C189" s="83">
        <v>1694.5</v>
      </c>
      <c r="D189" s="83">
        <v>1694.62</v>
      </c>
      <c r="E189" s="83">
        <v>1694.56</v>
      </c>
      <c r="F189" s="147">
        <v>122340.924110202</v>
      </c>
      <c r="G189" s="85">
        <v>589.51178282947433</v>
      </c>
      <c r="H189" s="85">
        <v>593.09954427242849</v>
      </c>
      <c r="I189" s="103">
        <v>0.47024748657672827</v>
      </c>
    </row>
    <row r="190" spans="1:9">
      <c r="A190" s="82" t="s">
        <v>999</v>
      </c>
      <c r="B190" s="84">
        <v>38237</v>
      </c>
      <c r="C190" s="83">
        <v>1704.5</v>
      </c>
      <c r="D190" s="83">
        <v>1704.62</v>
      </c>
      <c r="E190" s="83">
        <v>1704.56</v>
      </c>
      <c r="F190" s="147">
        <v>123242.60918694601</v>
      </c>
      <c r="G190" s="85">
        <v>598.76186653176092</v>
      </c>
      <c r="H190" s="85">
        <v>602.48886388553308</v>
      </c>
      <c r="I190" s="103"/>
    </row>
    <row r="191" spans="1:9">
      <c r="A191" s="82" t="s">
        <v>1000</v>
      </c>
      <c r="B191" s="84">
        <v>37853</v>
      </c>
      <c r="C191" s="83">
        <v>1709.89</v>
      </c>
      <c r="D191" s="83">
        <v>1710.01</v>
      </c>
      <c r="E191" s="83">
        <v>1709.95</v>
      </c>
      <c r="F191" s="147">
        <v>123717.413243444</v>
      </c>
      <c r="G191" s="85">
        <v>615.24669231561836</v>
      </c>
      <c r="H191" s="85">
        <v>619.11932409433155</v>
      </c>
      <c r="I191" s="103">
        <v>0.48566569247918007</v>
      </c>
    </row>
    <row r="192" spans="1:9">
      <c r="A192" s="82" t="s">
        <v>1001</v>
      </c>
      <c r="B192" s="84">
        <v>37901</v>
      </c>
      <c r="C192" s="83">
        <v>1719.5</v>
      </c>
      <c r="D192" s="83">
        <v>1719.62</v>
      </c>
      <c r="E192" s="83">
        <v>1719.56</v>
      </c>
      <c r="F192" s="147">
        <v>124591.41763226</v>
      </c>
      <c r="G192" s="85">
        <v>605.53234269616735</v>
      </c>
      <c r="H192" s="85">
        <v>609.40845063378333</v>
      </c>
      <c r="I192" s="103"/>
    </row>
    <row r="193" spans="1:9">
      <c r="A193" s="82" t="s">
        <v>1002</v>
      </c>
      <c r="B193" s="84">
        <v>37917</v>
      </c>
      <c r="C193" s="83">
        <v>1724.5</v>
      </c>
      <c r="D193" s="83">
        <v>1724.62</v>
      </c>
      <c r="E193" s="83">
        <v>1724.56</v>
      </c>
      <c r="F193" s="147">
        <v>125049.786190101</v>
      </c>
      <c r="G193" s="85">
        <v>619.5728363439481</v>
      </c>
      <c r="H193" s="85">
        <v>623.5675748055977</v>
      </c>
      <c r="I193" s="103">
        <v>0.49818585992812536</v>
      </c>
    </row>
    <row r="194" spans="1:9">
      <c r="A194" s="82" t="s">
        <v>1003</v>
      </c>
      <c r="B194" s="84">
        <v>37938</v>
      </c>
      <c r="C194" s="83">
        <v>1734.5</v>
      </c>
      <c r="D194" s="83">
        <v>1734.62</v>
      </c>
      <c r="E194" s="83">
        <v>1734.56</v>
      </c>
      <c r="F194" s="147">
        <v>125902.62686441399</v>
      </c>
      <c r="G194" s="85">
        <v>633.75604934156729</v>
      </c>
      <c r="H194" s="85">
        <v>637.79880329148443</v>
      </c>
      <c r="I194" s="103">
        <v>0.49219330368000003</v>
      </c>
    </row>
    <row r="195" spans="1:9">
      <c r="A195" s="82" t="s">
        <v>1004</v>
      </c>
      <c r="B195" s="84">
        <v>37948</v>
      </c>
      <c r="C195" s="83">
        <v>1739.5</v>
      </c>
      <c r="D195" s="83">
        <v>1739.62</v>
      </c>
      <c r="E195" s="83">
        <v>1739.56</v>
      </c>
      <c r="F195" s="147">
        <v>126315.005066233</v>
      </c>
      <c r="G195" s="85">
        <v>612.12655016317501</v>
      </c>
      <c r="H195" s="85">
        <v>616.11684679369637</v>
      </c>
      <c r="I195" s="103">
        <v>0.50368541952000001</v>
      </c>
    </row>
    <row r="196" spans="1:9">
      <c r="A196" s="82" t="s">
        <v>1005</v>
      </c>
      <c r="B196" s="84">
        <v>38251</v>
      </c>
      <c r="C196" s="83">
        <v>1747.9</v>
      </c>
      <c r="D196" s="83">
        <v>1748</v>
      </c>
      <c r="E196" s="83">
        <v>1747.95</v>
      </c>
      <c r="F196" s="147">
        <v>127019.43071592</v>
      </c>
      <c r="G196" s="85">
        <v>653.39910712844016</v>
      </c>
      <c r="H196" s="85">
        <v>657.58528905041965</v>
      </c>
      <c r="I196" s="103">
        <v>0.4950339402778795</v>
      </c>
    </row>
    <row r="197" spans="1:9">
      <c r="A197" s="82" t="s">
        <v>1006</v>
      </c>
      <c r="B197" s="84">
        <v>37959</v>
      </c>
      <c r="C197" s="83">
        <v>1755</v>
      </c>
      <c r="D197" s="83">
        <v>1755.12</v>
      </c>
      <c r="E197" s="83">
        <v>1755.06</v>
      </c>
      <c r="F197" s="147">
        <v>127606.746615228</v>
      </c>
      <c r="G197" s="85">
        <v>650.34979514488202</v>
      </c>
      <c r="H197" s="85">
        <v>654.75439611398565</v>
      </c>
      <c r="I197" s="103">
        <v>0.52330511156034021</v>
      </c>
    </row>
    <row r="198" spans="1:9">
      <c r="A198" s="82" t="s">
        <v>1007</v>
      </c>
      <c r="B198" s="84">
        <v>38289</v>
      </c>
      <c r="C198" s="83">
        <v>1765</v>
      </c>
      <c r="D198" s="83">
        <v>1765.1</v>
      </c>
      <c r="E198" s="83">
        <v>1765.05</v>
      </c>
      <c r="F198" s="147">
        <v>128449.006409316</v>
      </c>
      <c r="G198" s="85">
        <v>661.2454052447448</v>
      </c>
      <c r="H198" s="85">
        <v>665.82947978161303</v>
      </c>
      <c r="I198" s="103">
        <v>0.53489619904451591</v>
      </c>
    </row>
    <row r="199" spans="1:9">
      <c r="A199" s="82" t="s">
        <v>1008</v>
      </c>
      <c r="B199" s="84">
        <v>37976</v>
      </c>
      <c r="C199" s="83">
        <v>1774.5</v>
      </c>
      <c r="D199" s="83">
        <v>1774.61</v>
      </c>
      <c r="E199" s="83">
        <v>1774.5550000000001</v>
      </c>
      <c r="F199" s="147">
        <v>129175.647958817</v>
      </c>
      <c r="G199" s="85">
        <v>707.60348463712819</v>
      </c>
      <c r="H199" s="85">
        <v>712.31259360808701</v>
      </c>
      <c r="I199" s="103">
        <v>0.51421434982517822</v>
      </c>
    </row>
    <row r="200" spans="1:9">
      <c r="A200" s="82" t="s">
        <v>1009</v>
      </c>
      <c r="B200" s="84">
        <v>38253</v>
      </c>
      <c r="C200" s="83">
        <v>1788.5</v>
      </c>
      <c r="D200" s="83">
        <v>1788.61</v>
      </c>
      <c r="E200" s="83">
        <v>1788.5550000000001</v>
      </c>
      <c r="F200" s="147">
        <v>130231.464942131</v>
      </c>
      <c r="G200" s="85">
        <v>554.32322124378743</v>
      </c>
      <c r="H200" s="85">
        <v>558.05687799876966</v>
      </c>
      <c r="I200" s="103">
        <v>0.51969893401726219</v>
      </c>
    </row>
    <row r="201" spans="1:9">
      <c r="A201" s="82" t="s">
        <v>1010</v>
      </c>
      <c r="B201" s="84">
        <v>38180</v>
      </c>
      <c r="C201" s="83">
        <v>1794.5</v>
      </c>
      <c r="D201" s="83">
        <v>1794.63</v>
      </c>
      <c r="E201" s="83">
        <v>1794.5650000000001</v>
      </c>
      <c r="F201" s="147">
        <v>130705.348176492</v>
      </c>
      <c r="G201" s="85">
        <v>544.45692584204221</v>
      </c>
      <c r="H201" s="85">
        <v>548.29625902739133</v>
      </c>
      <c r="I201" s="103">
        <v>0.54409255649751687</v>
      </c>
    </row>
    <row r="202" spans="1:9">
      <c r="A202" s="82" t="s">
        <v>1011</v>
      </c>
      <c r="B202" s="84">
        <v>38254</v>
      </c>
      <c r="C202" s="83">
        <v>1801.94</v>
      </c>
      <c r="D202" s="83">
        <v>1802.04</v>
      </c>
      <c r="E202" s="83">
        <v>1801.99</v>
      </c>
      <c r="F202" s="147">
        <v>131315.15029010299</v>
      </c>
      <c r="G202" s="85">
        <v>513.21935475981456</v>
      </c>
      <c r="H202" s="85">
        <v>516.69987651181987</v>
      </c>
      <c r="I202" s="103">
        <v>0.524006580150426</v>
      </c>
    </row>
    <row r="203" spans="1:9">
      <c r="A203" s="82" t="s">
        <v>1012</v>
      </c>
      <c r="B203" s="84">
        <v>38237</v>
      </c>
      <c r="C203" s="83">
        <v>1809.5</v>
      </c>
      <c r="D203" s="83">
        <v>1809.62</v>
      </c>
      <c r="E203" s="83">
        <v>1809.56</v>
      </c>
      <c r="F203" s="147">
        <v>131984.02314406101</v>
      </c>
      <c r="G203" s="85">
        <v>502.53192573229467</v>
      </c>
      <c r="H203" s="85">
        <v>505.65440165638427</v>
      </c>
      <c r="I203" s="103">
        <v>0.48009905981155498</v>
      </c>
    </row>
    <row r="204" spans="1:9">
      <c r="A204" s="82" t="s">
        <v>1013</v>
      </c>
      <c r="B204" s="84">
        <v>38258</v>
      </c>
      <c r="C204" s="83">
        <v>1814.5</v>
      </c>
      <c r="D204" s="83">
        <v>1814.68</v>
      </c>
      <c r="E204" s="83">
        <v>1814.59</v>
      </c>
      <c r="F204" s="147">
        <v>132508.40146477101</v>
      </c>
      <c r="G204" s="85">
        <v>496.42180065723534</v>
      </c>
      <c r="H204" s="85">
        <v>499.64140837144089</v>
      </c>
      <c r="I204" s="103">
        <v>0.50041765363097723</v>
      </c>
    </row>
    <row r="205" spans="1:9">
      <c r="A205" s="82" t="s">
        <v>1014</v>
      </c>
      <c r="B205" s="84">
        <v>37858</v>
      </c>
      <c r="C205" s="83">
        <v>1819.88</v>
      </c>
      <c r="D205" s="83">
        <v>1820</v>
      </c>
      <c r="E205" s="83">
        <v>1819.94</v>
      </c>
      <c r="F205" s="147">
        <v>133094.31168663199</v>
      </c>
      <c r="G205" s="85">
        <v>467.65495983562982</v>
      </c>
      <c r="H205" s="85">
        <v>470.60236712242204</v>
      </c>
      <c r="I205" s="103">
        <v>0.4862897511480318</v>
      </c>
    </row>
    <row r="206" spans="1:9">
      <c r="A206" s="82" t="s">
        <v>1015</v>
      </c>
      <c r="B206" s="84">
        <v>38291</v>
      </c>
      <c r="C206" s="83">
        <v>1824.5</v>
      </c>
      <c r="D206" s="83">
        <v>1824.61</v>
      </c>
      <c r="E206" s="83">
        <v>1824.5550000000001</v>
      </c>
      <c r="F206" s="147">
        <v>133636.007465656</v>
      </c>
      <c r="G206" s="85">
        <v>472.30423188526845</v>
      </c>
      <c r="H206" s="85">
        <v>475.2047435560047</v>
      </c>
      <c r="I206" s="103">
        <v>0.47384171211372589</v>
      </c>
    </row>
    <row r="207" spans="1:9">
      <c r="A207" s="82" t="s">
        <v>1016</v>
      </c>
      <c r="B207" s="84">
        <v>37903</v>
      </c>
      <c r="C207" s="83">
        <v>1829.5</v>
      </c>
      <c r="D207" s="83">
        <v>1829.62</v>
      </c>
      <c r="E207" s="83">
        <v>1829.56</v>
      </c>
      <c r="F207" s="147">
        <v>134255.46827460601</v>
      </c>
      <c r="G207" s="85">
        <v>494.26837293280869</v>
      </c>
      <c r="H207" s="85">
        <v>497.45122982219988</v>
      </c>
      <c r="I207" s="103">
        <v>0.49756486402491834</v>
      </c>
    </row>
    <row r="208" spans="1:9">
      <c r="A208" s="82" t="s">
        <v>1017</v>
      </c>
      <c r="B208" s="84">
        <v>38250</v>
      </c>
      <c r="C208" s="83">
        <v>1837.38</v>
      </c>
      <c r="D208" s="83">
        <v>1837.5</v>
      </c>
      <c r="E208" s="83">
        <v>1837.44</v>
      </c>
      <c r="F208" s="147">
        <v>135453.81893589499</v>
      </c>
      <c r="G208" s="85">
        <v>420.45117968272234</v>
      </c>
      <c r="H208" s="85">
        <v>422.91797340313911</v>
      </c>
      <c r="I208" s="103">
        <v>0.4533281348959366</v>
      </c>
    </row>
    <row r="209" spans="1:9">
      <c r="A209" s="82" t="s">
        <v>1018</v>
      </c>
      <c r="B209" s="84">
        <v>37917</v>
      </c>
      <c r="C209" s="83">
        <v>1844.5</v>
      </c>
      <c r="D209" s="83">
        <v>1844.62</v>
      </c>
      <c r="E209" s="83">
        <v>1844.56</v>
      </c>
      <c r="F209" s="147">
        <v>136770.11524264599</v>
      </c>
      <c r="G209" s="85">
        <v>400.13748950440004</v>
      </c>
      <c r="H209" s="85">
        <v>402.56237667104261</v>
      </c>
      <c r="I209" s="103">
        <v>0.46758740084094835</v>
      </c>
    </row>
    <row r="210" spans="1:9">
      <c r="A210" s="82" t="s">
        <v>1019</v>
      </c>
      <c r="B210" s="84">
        <v>38252</v>
      </c>
      <c r="C210" s="83">
        <v>1853</v>
      </c>
      <c r="D210" s="83">
        <v>1853.11</v>
      </c>
      <c r="E210" s="83">
        <v>1853.0550000000001</v>
      </c>
      <c r="F210" s="147">
        <v>138327.846272216</v>
      </c>
      <c r="G210" s="85">
        <v>408.54477733177549</v>
      </c>
      <c r="H210" s="85">
        <v>410.89820901134584</v>
      </c>
      <c r="I210" s="103">
        <v>0.44446998727053433</v>
      </c>
    </row>
    <row r="211" spans="1:9">
      <c r="A211" s="82" t="s">
        <v>1020</v>
      </c>
      <c r="B211" s="84">
        <v>37938</v>
      </c>
      <c r="C211" s="83">
        <v>1859.5</v>
      </c>
      <c r="D211" s="83">
        <v>1859.62</v>
      </c>
      <c r="E211" s="83">
        <v>1859.56</v>
      </c>
      <c r="F211" s="147">
        <v>139740.70730471701</v>
      </c>
      <c r="G211" s="85">
        <v>361.77067369627667</v>
      </c>
      <c r="H211" s="85">
        <v>363.79887805428888</v>
      </c>
      <c r="I211" s="103">
        <v>0.43318535686194337</v>
      </c>
    </row>
    <row r="212" spans="1:9">
      <c r="A212" s="82" t="s">
        <v>1021</v>
      </c>
      <c r="B212" s="84">
        <v>38253</v>
      </c>
      <c r="C212" s="83">
        <v>1867.39</v>
      </c>
      <c r="D212" s="83">
        <v>1867.5</v>
      </c>
      <c r="E212" s="83">
        <v>1867.4449999999999</v>
      </c>
      <c r="F212" s="147">
        <v>141364.29752733299</v>
      </c>
      <c r="G212" s="85">
        <v>360.38185382751033</v>
      </c>
      <c r="H212" s="85">
        <v>362.38021068820939</v>
      </c>
      <c r="I212" s="103">
        <v>0.42845532572835804</v>
      </c>
    </row>
    <row r="213" spans="1:9">
      <c r="A213" s="82" t="s">
        <v>1022</v>
      </c>
      <c r="B213" s="84">
        <v>37950</v>
      </c>
      <c r="C213" s="83">
        <v>1874.5</v>
      </c>
      <c r="D213" s="83">
        <v>1874.62</v>
      </c>
      <c r="E213" s="83">
        <v>1874.56</v>
      </c>
      <c r="F213" s="147">
        <v>142768.41985321601</v>
      </c>
      <c r="G213" s="85">
        <v>353.47586061690703</v>
      </c>
      <c r="H213" s="85">
        <v>355.64501646462929</v>
      </c>
      <c r="I213" s="103">
        <v>0.4734907552</v>
      </c>
    </row>
    <row r="214" spans="1:9">
      <c r="A214" s="82" t="s">
        <v>1023</v>
      </c>
      <c r="B214" s="84">
        <v>37941</v>
      </c>
      <c r="C214" s="83">
        <v>1887</v>
      </c>
      <c r="D214" s="83">
        <v>1887.11</v>
      </c>
      <c r="E214" s="83">
        <v>1887.0550000000001</v>
      </c>
      <c r="F214" s="147">
        <v>145288.11706991601</v>
      </c>
      <c r="G214" s="85">
        <v>385.27263922518165</v>
      </c>
      <c r="H214" s="85">
        <v>387.72467385479683</v>
      </c>
      <c r="I214" s="103">
        <v>0.49106495296000002</v>
      </c>
    </row>
    <row r="215" spans="1:9">
      <c r="A215" s="82" t="s">
        <v>1024</v>
      </c>
      <c r="B215" s="84">
        <v>37976</v>
      </c>
      <c r="C215" s="83">
        <v>1899.89</v>
      </c>
      <c r="D215" s="83">
        <v>1900</v>
      </c>
      <c r="E215" s="83">
        <v>1899.9449999999999</v>
      </c>
      <c r="F215" s="147">
        <v>147881.21975464199</v>
      </c>
      <c r="G215" s="85">
        <v>430.68448963619187</v>
      </c>
      <c r="H215" s="85">
        <v>433.06820993283588</v>
      </c>
      <c r="I215" s="103">
        <v>0.42704788094899715</v>
      </c>
    </row>
    <row r="216" spans="1:9">
      <c r="A216" s="82" t="s">
        <v>1025</v>
      </c>
      <c r="B216" s="84">
        <v>38182</v>
      </c>
      <c r="C216" s="83">
        <v>1909.5</v>
      </c>
      <c r="D216" s="83">
        <v>1909.61</v>
      </c>
      <c r="E216" s="83">
        <v>1909.5550000000001</v>
      </c>
      <c r="F216" s="147">
        <v>149768.82784014</v>
      </c>
      <c r="G216" s="85">
        <v>445.78947798299521</v>
      </c>
      <c r="H216" s="85">
        <v>448.11480396564968</v>
      </c>
      <c r="I216" s="103">
        <v>0.40247095039784525</v>
      </c>
    </row>
    <row r="217" spans="1:9">
      <c r="A217" s="82" t="s">
        <v>1026</v>
      </c>
      <c r="B217" s="84">
        <v>38247</v>
      </c>
      <c r="C217" s="83">
        <v>1919.5</v>
      </c>
      <c r="D217" s="83">
        <v>1919.61</v>
      </c>
      <c r="E217" s="83">
        <v>1919.5550000000001</v>
      </c>
      <c r="F217" s="147">
        <v>151767.14078611101</v>
      </c>
      <c r="G217" s="85">
        <v>422.48593499638912</v>
      </c>
      <c r="H217" s="85">
        <v>424.85987988107752</v>
      </c>
      <c r="I217" s="103">
        <v>0.43354969487912148</v>
      </c>
    </row>
    <row r="218" spans="1:9">
      <c r="A218" s="82" t="s">
        <v>1027</v>
      </c>
      <c r="B218" s="84">
        <v>37858</v>
      </c>
      <c r="C218" s="83">
        <v>1929.88</v>
      </c>
      <c r="D218" s="83">
        <v>1930</v>
      </c>
      <c r="E218" s="83">
        <v>1929.94</v>
      </c>
      <c r="F218" s="147">
        <v>153938.54605403999</v>
      </c>
      <c r="G218" s="85">
        <v>422.87692813347275</v>
      </c>
      <c r="H218" s="85">
        <v>425.31479112686179</v>
      </c>
      <c r="I218" s="103">
        <v>0.4448113008236998</v>
      </c>
    </row>
    <row r="219" spans="1:9">
      <c r="A219" s="82" t="s">
        <v>1028</v>
      </c>
      <c r="B219" s="84">
        <v>38256</v>
      </c>
      <c r="C219" s="83">
        <v>1939.9</v>
      </c>
      <c r="D219" s="83">
        <v>1940</v>
      </c>
      <c r="E219" s="83">
        <v>1939.95</v>
      </c>
      <c r="F219" s="147">
        <v>156411.90021625801</v>
      </c>
      <c r="G219" s="85">
        <v>415.4974298283181</v>
      </c>
      <c r="H219" s="85">
        <v>417.93798252400757</v>
      </c>
      <c r="I219" s="103">
        <v>0.45321091011957532</v>
      </c>
    </row>
    <row r="220" spans="1:9">
      <c r="A220" s="82" t="s">
        <v>1029</v>
      </c>
      <c r="B220" s="84">
        <v>37903</v>
      </c>
      <c r="C220" s="83">
        <v>1949.5</v>
      </c>
      <c r="D220" s="83">
        <v>1949.62</v>
      </c>
      <c r="E220" s="83">
        <v>1949.56</v>
      </c>
      <c r="F220" s="147">
        <v>158932.116502138</v>
      </c>
      <c r="G220" s="85">
        <v>415.99529085104712</v>
      </c>
      <c r="H220" s="85">
        <v>418.49773126331957</v>
      </c>
      <c r="I220" s="103">
        <v>0.4641473113345107</v>
      </c>
    </row>
    <row r="221" spans="1:9">
      <c r="A221" s="82" t="s">
        <v>1030</v>
      </c>
      <c r="B221" s="84">
        <v>37920</v>
      </c>
      <c r="C221" s="83">
        <v>1954.5</v>
      </c>
      <c r="D221" s="83">
        <v>1954.62</v>
      </c>
      <c r="E221" s="83">
        <v>1954.56</v>
      </c>
      <c r="F221" s="147">
        <v>160207.329928591</v>
      </c>
      <c r="G221" s="85">
        <v>446.64424901832803</v>
      </c>
      <c r="H221" s="85">
        <v>449.31114986466048</v>
      </c>
      <c r="I221" s="103">
        <v>0.46136063638687308</v>
      </c>
    </row>
    <row r="222" spans="1:9">
      <c r="A222" s="82" t="s">
        <v>1031</v>
      </c>
      <c r="B222" s="84">
        <v>37938</v>
      </c>
      <c r="C222" s="83">
        <v>1964.5</v>
      </c>
      <c r="D222" s="83">
        <v>1964.62</v>
      </c>
      <c r="E222" s="83">
        <v>1964.56</v>
      </c>
      <c r="F222" s="147">
        <v>162416.145561318</v>
      </c>
      <c r="G222" s="85">
        <v>426.83907528316763</v>
      </c>
      <c r="H222" s="85">
        <v>429.22766562167965</v>
      </c>
      <c r="I222" s="103">
        <v>0.43177551359999999</v>
      </c>
    </row>
    <row r="223" spans="1:9">
      <c r="A223" s="82" t="s">
        <v>1032</v>
      </c>
      <c r="B223" s="84">
        <v>37950</v>
      </c>
      <c r="C223" s="83">
        <v>1974.51</v>
      </c>
      <c r="D223" s="83">
        <v>1974.63</v>
      </c>
      <c r="E223" s="83">
        <v>1974.57</v>
      </c>
      <c r="F223" s="147">
        <v>164637.25728736099</v>
      </c>
      <c r="G223" s="85">
        <v>429.81449099905251</v>
      </c>
      <c r="H223" s="85">
        <v>432.39191160534335</v>
      </c>
      <c r="I223" s="103">
        <v>0.46333985408</v>
      </c>
    </row>
    <row r="224" spans="1:9">
      <c r="A224" s="82" t="s">
        <v>1033</v>
      </c>
      <c r="B224" s="84">
        <v>37959</v>
      </c>
      <c r="C224" s="83">
        <v>1984.5</v>
      </c>
      <c r="D224" s="83">
        <v>1984.61</v>
      </c>
      <c r="E224" s="83">
        <v>1984.5550000000001</v>
      </c>
      <c r="F224" s="147">
        <v>167014.31056442799</v>
      </c>
      <c r="G224" s="85">
        <v>430.53630230034906</v>
      </c>
      <c r="H224" s="85">
        <v>433.068777786976</v>
      </c>
      <c r="I224" s="103">
        <v>0.45385380647401857</v>
      </c>
    </row>
    <row r="225" spans="1:9">
      <c r="A225" s="82" t="s">
        <v>1034</v>
      </c>
      <c r="B225" s="84">
        <v>37978</v>
      </c>
      <c r="C225" s="83">
        <v>1994.5</v>
      </c>
      <c r="D225" s="83">
        <v>1994.6</v>
      </c>
      <c r="E225" s="83">
        <v>1994.55</v>
      </c>
      <c r="F225" s="147">
        <v>169254.77225249301</v>
      </c>
      <c r="G225" s="85">
        <v>484.72823046776659</v>
      </c>
      <c r="H225" s="85">
        <v>487.49359090703348</v>
      </c>
      <c r="I225" s="103">
        <v>0.44018368362190508</v>
      </c>
    </row>
    <row r="226" spans="1:9">
      <c r="A226" s="82" t="s">
        <v>1035</v>
      </c>
      <c r="B226" s="84">
        <v>38182</v>
      </c>
      <c r="C226" s="83">
        <v>1999.5</v>
      </c>
      <c r="D226" s="83">
        <v>1999.6</v>
      </c>
      <c r="E226" s="83">
        <v>1999.55</v>
      </c>
      <c r="F226" s="147">
        <v>170304.61181852099</v>
      </c>
      <c r="G226" s="85">
        <v>451.58516230994138</v>
      </c>
      <c r="H226" s="85">
        <v>454.26658443592407</v>
      </c>
      <c r="I226" s="103">
        <v>0.45879739082872428</v>
      </c>
    </row>
    <row r="227" spans="1:9">
      <c r="A227" s="82" t="s">
        <v>1036</v>
      </c>
      <c r="B227" s="84">
        <v>38259</v>
      </c>
      <c r="C227" s="83">
        <v>2007.027</v>
      </c>
      <c r="D227" s="83">
        <v>2007.14</v>
      </c>
      <c r="E227" s="83">
        <v>2007.0835000000002</v>
      </c>
      <c r="F227" s="147">
        <v>172022.98089774599</v>
      </c>
      <c r="G227" s="85">
        <v>456.12727628384755</v>
      </c>
      <c r="H227" s="85">
        <v>458.59553164670359</v>
      </c>
      <c r="I227" s="103">
        <v>0.41811857369122823</v>
      </c>
    </row>
    <row r="228" spans="1:9">
      <c r="A228" s="82" t="s">
        <v>1037</v>
      </c>
      <c r="B228" s="84">
        <v>38240</v>
      </c>
      <c r="C228" s="83">
        <v>2014.5</v>
      </c>
      <c r="D228" s="83">
        <v>2014.61</v>
      </c>
      <c r="E228" s="83">
        <v>2014.5550000000001</v>
      </c>
      <c r="F228" s="147">
        <v>173733.73246650401</v>
      </c>
      <c r="G228" s="85">
        <v>464.85813956940331</v>
      </c>
      <c r="H228" s="85">
        <v>468.24210292316815</v>
      </c>
      <c r="I228" s="103">
        <v>0.5616758096081812</v>
      </c>
    </row>
    <row r="229" spans="1:9">
      <c r="A229" s="82" t="s">
        <v>1038</v>
      </c>
      <c r="B229" s="84">
        <v>38265</v>
      </c>
      <c r="C229" s="83">
        <v>2019.5</v>
      </c>
      <c r="D229" s="83">
        <v>2019.6</v>
      </c>
      <c r="E229" s="83">
        <v>2019.55</v>
      </c>
      <c r="F229" s="147">
        <v>174778.71009060199</v>
      </c>
      <c r="G229" s="85">
        <v>449.90352202885879</v>
      </c>
      <c r="H229" s="85">
        <v>452.66718306975997</v>
      </c>
      <c r="I229" s="103">
        <v>0.47463613407749067</v>
      </c>
    </row>
    <row r="230" spans="1:9">
      <c r="A230" s="82" t="s">
        <v>1039</v>
      </c>
      <c r="B230" s="84">
        <v>37858</v>
      </c>
      <c r="C230" s="83">
        <v>2024.5</v>
      </c>
      <c r="D230" s="83">
        <v>2024.62</v>
      </c>
      <c r="E230" s="83">
        <v>2024.56</v>
      </c>
      <c r="F230" s="147">
        <v>175891.46732098699</v>
      </c>
      <c r="G230" s="85">
        <v>443.11253321347749</v>
      </c>
      <c r="H230" s="85">
        <v>445.78850345837975</v>
      </c>
      <c r="I230" s="103">
        <v>0.46595905362558776</v>
      </c>
    </row>
    <row r="231" spans="1:9">
      <c r="A231" s="82" t="s">
        <v>1040</v>
      </c>
      <c r="B231" s="84">
        <v>38263</v>
      </c>
      <c r="C231" s="83">
        <v>2028</v>
      </c>
      <c r="D231" s="83">
        <v>2028.11</v>
      </c>
      <c r="E231" s="83">
        <v>2028.0550000000001</v>
      </c>
      <c r="F231" s="147">
        <v>176824.91780956599</v>
      </c>
      <c r="G231" s="85">
        <v>474.68617166242154</v>
      </c>
      <c r="H231" s="85">
        <v>477.49576927212985</v>
      </c>
      <c r="I231" s="103">
        <v>0.45668637305686494</v>
      </c>
    </row>
    <row r="232" spans="1:9">
      <c r="A232" s="82" t="s">
        <v>1041</v>
      </c>
      <c r="B232" s="84">
        <v>37903</v>
      </c>
      <c r="C232" s="83">
        <v>2034.5</v>
      </c>
      <c r="D232" s="83">
        <v>2034.62</v>
      </c>
      <c r="E232" s="83">
        <v>2034.56</v>
      </c>
      <c r="F232" s="147">
        <v>178565.78790865501</v>
      </c>
      <c r="G232" s="85">
        <v>514.80077806801285</v>
      </c>
      <c r="H232" s="85">
        <v>517.9874071883612</v>
      </c>
      <c r="I232" s="103">
        <v>0.47828607909078724</v>
      </c>
    </row>
    <row r="233" spans="1:9">
      <c r="A233" s="82" t="s">
        <v>1042</v>
      </c>
      <c r="B233" s="84">
        <v>38266</v>
      </c>
      <c r="C233" s="83">
        <v>2042</v>
      </c>
      <c r="D233" s="83">
        <v>2042.1</v>
      </c>
      <c r="E233" s="83">
        <v>2042.05</v>
      </c>
      <c r="F233" s="147">
        <v>180494.165805803</v>
      </c>
      <c r="G233" s="85">
        <v>565.21102552546995</v>
      </c>
      <c r="H233" s="85">
        <v>568.7435559977921</v>
      </c>
      <c r="I233" s="103">
        <v>0.4829150123468875</v>
      </c>
    </row>
    <row r="234" spans="1:9">
      <c r="A234" s="82" t="s">
        <v>1043</v>
      </c>
      <c r="B234" s="84">
        <v>37920</v>
      </c>
      <c r="C234" s="83">
        <v>2049.5</v>
      </c>
      <c r="D234" s="83">
        <v>2049.62</v>
      </c>
      <c r="E234" s="83">
        <v>2049.56</v>
      </c>
      <c r="F234" s="147">
        <v>182333.473809494</v>
      </c>
      <c r="G234" s="85">
        <v>484.03472676753682</v>
      </c>
      <c r="H234" s="85">
        <v>486.99500510862129</v>
      </c>
      <c r="I234" s="103">
        <v>0.47188539412733821</v>
      </c>
    </row>
    <row r="235" spans="1:9">
      <c r="A235" s="82" t="s">
        <v>1044</v>
      </c>
      <c r="B235" s="84">
        <v>38275</v>
      </c>
      <c r="C235" s="83">
        <v>2057.5</v>
      </c>
      <c r="D235" s="83">
        <v>2057.6</v>
      </c>
      <c r="E235" s="83">
        <v>2057.5500000000002</v>
      </c>
      <c r="F235" s="147">
        <v>184676.24217265801</v>
      </c>
      <c r="G235" s="85">
        <v>524.02043165072928</v>
      </c>
      <c r="H235" s="85">
        <v>527.02145226734388</v>
      </c>
      <c r="I235" s="103">
        <v>0.44250295283019908</v>
      </c>
    </row>
    <row r="236" spans="1:9">
      <c r="A236" s="82" t="s">
        <v>1045</v>
      </c>
      <c r="B236" s="84">
        <v>37938</v>
      </c>
      <c r="C236" s="83">
        <v>2064.5</v>
      </c>
      <c r="D236" s="83">
        <v>2064.62</v>
      </c>
      <c r="E236" s="83">
        <v>2064.56</v>
      </c>
      <c r="F236" s="147">
        <v>186567.825837982</v>
      </c>
      <c r="G236" s="85">
        <v>537.0961715354108</v>
      </c>
      <c r="H236" s="85">
        <v>540.12986112606006</v>
      </c>
      <c r="I236" s="103">
        <v>0.43642990271999998</v>
      </c>
    </row>
    <row r="237" spans="1:9">
      <c r="A237" s="82" t="s">
        <v>1046</v>
      </c>
      <c r="B237" s="84">
        <v>38286</v>
      </c>
      <c r="C237" s="83">
        <v>2070</v>
      </c>
      <c r="D237" s="83">
        <v>2070.1</v>
      </c>
      <c r="E237" s="83">
        <v>2070.0500000000002</v>
      </c>
      <c r="F237" s="147">
        <v>187947.425712139</v>
      </c>
      <c r="G237" s="85">
        <v>467.75337891458423</v>
      </c>
      <c r="H237" s="85">
        <v>470.51686120908164</v>
      </c>
      <c r="I237" s="103">
        <v>0.45649409878630454</v>
      </c>
    </row>
    <row r="238" spans="1:9">
      <c r="A238" s="82" t="s">
        <v>1047</v>
      </c>
      <c r="B238" s="84">
        <v>37950</v>
      </c>
      <c r="C238" s="83">
        <v>2074.5</v>
      </c>
      <c r="D238" s="83">
        <v>2074.62</v>
      </c>
      <c r="E238" s="83">
        <v>2074.56</v>
      </c>
      <c r="F238" s="147">
        <v>188985.60140513699</v>
      </c>
      <c r="G238" s="85">
        <v>397.6101905463733</v>
      </c>
      <c r="H238" s="85">
        <v>400.07081600767248</v>
      </c>
      <c r="I238" s="103">
        <v>0.47749465600000002</v>
      </c>
    </row>
    <row r="239" spans="1:9">
      <c r="A239" s="82" t="s">
        <v>1048</v>
      </c>
      <c r="B239" s="84">
        <v>38287</v>
      </c>
      <c r="C239" s="83">
        <v>2079.5</v>
      </c>
      <c r="D239" s="83">
        <v>2079.6</v>
      </c>
      <c r="E239" s="83">
        <v>2079.5500000000002</v>
      </c>
      <c r="F239" s="147">
        <v>190000.47017640001</v>
      </c>
      <c r="G239" s="85">
        <v>473.93681905224247</v>
      </c>
      <c r="H239" s="85">
        <v>476.9165415693617</v>
      </c>
      <c r="I239" s="103">
        <v>0.48510514637833024</v>
      </c>
    </row>
    <row r="240" spans="1:9">
      <c r="A240" s="82" t="s">
        <v>1049</v>
      </c>
      <c r="B240" s="84">
        <v>37962</v>
      </c>
      <c r="C240" s="83">
        <v>2084.5</v>
      </c>
      <c r="D240" s="83">
        <v>2084.61</v>
      </c>
      <c r="E240" s="83">
        <v>2084.5549999999998</v>
      </c>
      <c r="F240" s="147">
        <v>190879.36585388999</v>
      </c>
      <c r="G240" s="85">
        <v>424.72528306255299</v>
      </c>
      <c r="H240" s="85">
        <v>427.15423588819596</v>
      </c>
      <c r="I240" s="103">
        <v>0.44125686404799347</v>
      </c>
    </row>
    <row r="241" spans="1:9">
      <c r="A241" s="82" t="s">
        <v>1050</v>
      </c>
      <c r="B241" s="84">
        <v>38288</v>
      </c>
      <c r="C241" s="83">
        <v>2090.4</v>
      </c>
      <c r="D241" s="83">
        <v>2090.5</v>
      </c>
      <c r="E241" s="83">
        <v>2090.4499999999998</v>
      </c>
      <c r="F241" s="147">
        <v>192033.75011596101</v>
      </c>
      <c r="G241" s="85">
        <v>464.04441771304778</v>
      </c>
      <c r="H241" s="85">
        <v>466.82031703178126</v>
      </c>
      <c r="I241" s="103">
        <v>0.46155628185646397</v>
      </c>
    </row>
    <row r="242" spans="1:9">
      <c r="A242" s="82" t="s">
        <v>1051</v>
      </c>
      <c r="B242" s="84">
        <v>37978</v>
      </c>
      <c r="C242" s="83">
        <v>2094.5</v>
      </c>
      <c r="D242" s="83">
        <v>2094.6</v>
      </c>
      <c r="E242" s="83">
        <v>2094.5500000000002</v>
      </c>
      <c r="F242" s="147">
        <v>192873.14382097</v>
      </c>
      <c r="G242" s="85">
        <v>493.01945445155957</v>
      </c>
      <c r="H242" s="85">
        <v>495.87162022452333</v>
      </c>
      <c r="I242" s="103">
        <v>0.44699855761607027</v>
      </c>
    </row>
    <row r="243" spans="1:9">
      <c r="A243" s="82" t="s">
        <v>1052</v>
      </c>
      <c r="B243" s="84">
        <v>38290</v>
      </c>
      <c r="C243" s="83">
        <v>2099.5</v>
      </c>
      <c r="D243" s="83">
        <v>2099.6</v>
      </c>
      <c r="E243" s="83">
        <v>2099.5500000000002</v>
      </c>
      <c r="F243" s="147">
        <v>193924.837773184</v>
      </c>
      <c r="G243" s="85">
        <v>558.44943743974466</v>
      </c>
      <c r="H243" s="85">
        <v>561.96340836581646</v>
      </c>
      <c r="I243" s="103">
        <v>0.48550623836509288</v>
      </c>
    </row>
    <row r="244" spans="1:9">
      <c r="A244" s="82" t="s">
        <v>1053</v>
      </c>
      <c r="B244" s="84">
        <v>38182</v>
      </c>
      <c r="C244" s="83">
        <v>2104.5</v>
      </c>
      <c r="D244" s="83">
        <v>2104.6</v>
      </c>
      <c r="E244" s="83">
        <v>2104.5500000000002</v>
      </c>
      <c r="F244" s="147">
        <v>194804.11468666999</v>
      </c>
      <c r="G244" s="85">
        <v>464.92376011694472</v>
      </c>
      <c r="H244" s="85">
        <v>467.93286190694403</v>
      </c>
      <c r="I244" s="103">
        <v>0.49938517552341705</v>
      </c>
    </row>
    <row r="245" spans="1:9">
      <c r="A245" s="82" t="s">
        <v>1054</v>
      </c>
      <c r="B245" s="84">
        <v>38292</v>
      </c>
      <c r="C245" s="83">
        <v>2109.5</v>
      </c>
      <c r="D245" s="83">
        <v>2109.59</v>
      </c>
      <c r="E245" s="83">
        <v>2109.5450000000001</v>
      </c>
      <c r="F245" s="147">
        <v>195772.904881694</v>
      </c>
      <c r="G245" s="85">
        <v>506.25255409766862</v>
      </c>
      <c r="H245" s="85">
        <v>509.47265643633875</v>
      </c>
      <c r="I245" s="103">
        <v>0.49147096034452764</v>
      </c>
    </row>
    <row r="246" spans="1:9">
      <c r="A246" s="82" t="s">
        <v>1055</v>
      </c>
      <c r="B246" s="84">
        <v>38240</v>
      </c>
      <c r="C246" s="83">
        <v>2114.48</v>
      </c>
      <c r="D246" s="83">
        <v>2114.59</v>
      </c>
      <c r="E246" s="83">
        <v>2114.5349999999999</v>
      </c>
      <c r="F246" s="147">
        <v>196722.15733197599</v>
      </c>
      <c r="G246" s="85">
        <v>548.08939669605627</v>
      </c>
      <c r="H246" s="85">
        <v>551.26817690039923</v>
      </c>
      <c r="I246" s="103">
        <v>0.44813051125906506</v>
      </c>
    </row>
    <row r="247" spans="1:9">
      <c r="A247" s="82" t="s">
        <v>1056</v>
      </c>
      <c r="B247" s="84">
        <v>38259</v>
      </c>
      <c r="C247" s="83">
        <v>2119.5050000000001</v>
      </c>
      <c r="D247" s="83">
        <v>2119.61</v>
      </c>
      <c r="E247" s="83">
        <v>2119.5574999999999</v>
      </c>
      <c r="F247" s="147">
        <v>197675.724883902</v>
      </c>
      <c r="G247" s="85">
        <v>578.21872073212205</v>
      </c>
      <c r="H247" s="85">
        <v>581.86626642362819</v>
      </c>
      <c r="I247" s="103">
        <v>0.48673110466746833</v>
      </c>
    </row>
    <row r="248" spans="1:9">
      <c r="A248" s="82" t="s">
        <v>1057</v>
      </c>
      <c r="B248" s="84">
        <v>37867</v>
      </c>
      <c r="C248" s="83">
        <v>2124.5</v>
      </c>
      <c r="D248" s="83">
        <v>2124.62</v>
      </c>
      <c r="E248" s="83">
        <v>2124.56</v>
      </c>
      <c r="F248" s="147">
        <v>198600.95537645801</v>
      </c>
      <c r="G248" s="85">
        <v>607.83925760534544</v>
      </c>
      <c r="H248" s="85">
        <v>611.67198553613719</v>
      </c>
      <c r="I248" s="103">
        <v>0.48651894277128882</v>
      </c>
    </row>
    <row r="249" spans="1:9">
      <c r="A249" s="82" t="s">
        <v>1058</v>
      </c>
      <c r="B249" s="84">
        <v>38265</v>
      </c>
      <c r="C249" s="83">
        <v>2130</v>
      </c>
      <c r="D249" s="83">
        <v>2130.1</v>
      </c>
      <c r="E249" s="83">
        <v>2130.0500000000002</v>
      </c>
      <c r="F249" s="147">
        <v>199648.97676766201</v>
      </c>
      <c r="G249" s="85">
        <v>625.01952969509739</v>
      </c>
      <c r="H249" s="85">
        <v>629.20231740183249</v>
      </c>
      <c r="I249" s="103">
        <v>0.51636018020092123</v>
      </c>
    </row>
    <row r="250" spans="1:9">
      <c r="A250" s="82" t="s">
        <v>1059</v>
      </c>
      <c r="B250" s="84">
        <v>37903</v>
      </c>
      <c r="C250" s="83">
        <v>2134.5</v>
      </c>
      <c r="D250" s="83">
        <v>2134.62</v>
      </c>
      <c r="E250" s="83">
        <v>2134.56</v>
      </c>
      <c r="F250" s="147">
        <v>200512.68783853701</v>
      </c>
      <c r="G250" s="85">
        <v>609.72994020134433</v>
      </c>
      <c r="H250" s="85">
        <v>613.65347404459067</v>
      </c>
      <c r="I250" s="103">
        <v>0.49650130050112795</v>
      </c>
    </row>
    <row r="251" spans="1:9">
      <c r="A251" s="82" t="s">
        <v>1060</v>
      </c>
      <c r="B251" s="84">
        <v>38263</v>
      </c>
      <c r="C251" s="83">
        <v>2139.5</v>
      </c>
      <c r="D251" s="83">
        <v>2139.6</v>
      </c>
      <c r="E251" s="83">
        <v>2139.5500000000002</v>
      </c>
      <c r="F251" s="147">
        <v>201579.37414593101</v>
      </c>
      <c r="G251" s="85">
        <v>478.71013700519262</v>
      </c>
      <c r="H251" s="85">
        <v>481.84248488792321</v>
      </c>
      <c r="I251" s="103">
        <v>0.50486803383641188</v>
      </c>
    </row>
    <row r="252" spans="1:9">
      <c r="A252" s="82" t="s">
        <v>1061</v>
      </c>
      <c r="B252" s="84">
        <v>37920</v>
      </c>
      <c r="C252" s="83">
        <v>2144.5</v>
      </c>
      <c r="D252" s="83">
        <v>2144.62</v>
      </c>
      <c r="E252" s="83">
        <v>2144.56</v>
      </c>
      <c r="F252" s="147">
        <v>202765.94522925199</v>
      </c>
      <c r="G252" s="85">
        <v>454.70883349349538</v>
      </c>
      <c r="H252" s="85">
        <v>457.90589730366884</v>
      </c>
      <c r="I252" s="103">
        <v>0.54326700334456268</v>
      </c>
    </row>
    <row r="253" spans="1:9">
      <c r="F253" s="147"/>
      <c r="H253" s="86"/>
    </row>
    <row r="254" spans="1:9">
      <c r="H254" s="86"/>
    </row>
    <row r="255" spans="1:9">
      <c r="H255" s="86"/>
    </row>
    <row r="256" spans="1:9">
      <c r="H256" s="86"/>
    </row>
    <row r="257" spans="8:8">
      <c r="H257" s="86"/>
    </row>
    <row r="258" spans="8:8">
      <c r="H258" s="86"/>
    </row>
    <row r="259" spans="8:8">
      <c r="H259" s="86"/>
    </row>
    <row r="261" spans="8:8">
      <c r="H261" s="86"/>
    </row>
    <row r="262" spans="8:8">
      <c r="H262" s="86"/>
    </row>
    <row r="263" spans="8:8">
      <c r="H263" s="86"/>
    </row>
    <row r="264" spans="8:8">
      <c r="H264" s="86"/>
    </row>
    <row r="265" spans="8:8">
      <c r="H265" s="86"/>
    </row>
    <row r="266" spans="8:8">
      <c r="H266" s="86"/>
    </row>
    <row r="267" spans="8:8">
      <c r="H267" s="86"/>
    </row>
    <row r="268" spans="8:8">
      <c r="H268" s="86"/>
    </row>
    <row r="269" spans="8:8">
      <c r="H269" s="86"/>
    </row>
    <row r="270" spans="8:8">
      <c r="H270" s="86"/>
    </row>
    <row r="271" spans="8:8">
      <c r="H271" s="86"/>
    </row>
    <row r="272" spans="8:8">
      <c r="H272" s="86"/>
    </row>
    <row r="273" spans="8:8">
      <c r="H273" s="86"/>
    </row>
    <row r="274" spans="8:8">
      <c r="H274" s="86"/>
    </row>
    <row r="275" spans="8:8">
      <c r="H275" s="86"/>
    </row>
    <row r="276" spans="8:8">
      <c r="H276" s="86"/>
    </row>
    <row r="277" spans="8:8">
      <c r="H277" s="86"/>
    </row>
    <row r="278" spans="8:8">
      <c r="H278" s="86"/>
    </row>
    <row r="279" spans="8:8">
      <c r="H279" s="86"/>
    </row>
    <row r="280" spans="8:8">
      <c r="H280" s="86"/>
    </row>
    <row r="281" spans="8:8">
      <c r="H281" s="86"/>
    </row>
    <row r="282" spans="8:8">
      <c r="H282" s="86"/>
    </row>
    <row r="283" spans="8:8">
      <c r="H283" s="86"/>
    </row>
    <row r="284" spans="8:8">
      <c r="H284" s="86"/>
    </row>
    <row r="285" spans="8:8">
      <c r="H285" s="86"/>
    </row>
    <row r="286" spans="8:8">
      <c r="H286" s="86"/>
    </row>
    <row r="287" spans="8:8">
      <c r="H287" s="86"/>
    </row>
    <row r="289" spans="8:8">
      <c r="H289" s="86"/>
    </row>
    <row r="290" spans="8:8">
      <c r="H290" s="86"/>
    </row>
    <row r="291" spans="8:8">
      <c r="H291" s="86"/>
    </row>
    <row r="292" spans="8:8">
      <c r="H292" s="86"/>
    </row>
    <row r="293" spans="8:8">
      <c r="H293" s="86"/>
    </row>
    <row r="294" spans="8:8">
      <c r="H294" s="86"/>
    </row>
    <row r="295" spans="8:8">
      <c r="H295" s="86"/>
    </row>
    <row r="296" spans="8:8">
      <c r="H296" s="86"/>
    </row>
    <row r="297" spans="8:8">
      <c r="H297" s="86"/>
    </row>
    <row r="298" spans="8:8">
      <c r="H298" s="86"/>
    </row>
    <row r="299" spans="8:8">
      <c r="H299" s="86"/>
    </row>
    <row r="300" spans="8:8">
      <c r="H300" s="86"/>
    </row>
    <row r="301" spans="8:8">
      <c r="H301" s="86"/>
    </row>
    <row r="302" spans="8:8">
      <c r="H302" s="86"/>
    </row>
    <row r="303" spans="8:8">
      <c r="H303" s="86"/>
    </row>
    <row r="304" spans="8:8">
      <c r="H304" s="86"/>
    </row>
    <row r="305" spans="8:8">
      <c r="H305" s="86"/>
    </row>
    <row r="306" spans="8:8">
      <c r="H306" s="86"/>
    </row>
    <row r="307" spans="8:8">
      <c r="H307" s="86"/>
    </row>
    <row r="308" spans="8:8">
      <c r="H308" s="86"/>
    </row>
    <row r="309" spans="8:8">
      <c r="H309" s="86"/>
    </row>
    <row r="310" spans="8:8">
      <c r="H310" s="86"/>
    </row>
    <row r="311" spans="8:8">
      <c r="H311" s="86"/>
    </row>
    <row r="312" spans="8:8">
      <c r="H312" s="86"/>
    </row>
    <row r="313" spans="8:8">
      <c r="H313" s="86"/>
    </row>
    <row r="314" spans="8:8">
      <c r="H314" s="86"/>
    </row>
    <row r="315" spans="8:8">
      <c r="H315" s="86"/>
    </row>
    <row r="316" spans="8:8">
      <c r="H316" s="86"/>
    </row>
    <row r="317" spans="8:8">
      <c r="H317" s="86"/>
    </row>
    <row r="318" spans="8:8">
      <c r="H318" s="86"/>
    </row>
    <row r="319" spans="8:8">
      <c r="H319" s="86"/>
    </row>
    <row r="320" spans="8:8">
      <c r="H320" s="86"/>
    </row>
    <row r="321" spans="8:8">
      <c r="H321" s="86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7BF1-314D-EF4A-AA54-359CBE8E4B5D}">
  <dimension ref="A1:D165"/>
  <sheetViews>
    <sheetView topLeftCell="A6" workbookViewId="0">
      <selection activeCell="B21" sqref="B21:B166"/>
    </sheetView>
  </sheetViews>
  <sheetFormatPr baseColWidth="10" defaultRowHeight="16"/>
  <cols>
    <col min="1" max="16384" width="10.7109375" style="89"/>
  </cols>
  <sheetData>
    <row r="1" spans="1:2" s="90" customFormat="1" ht="25">
      <c r="A1" s="99" t="s">
        <v>1076</v>
      </c>
    </row>
    <row r="2" spans="1:2" s="90" customFormat="1"/>
    <row r="3" spans="1:2" s="90" customFormat="1" ht="18">
      <c r="A3" s="90" t="s">
        <v>1077</v>
      </c>
    </row>
    <row r="4" spans="1:2" s="90" customFormat="1">
      <c r="A4" s="92" t="s">
        <v>1078</v>
      </c>
    </row>
    <row r="5" spans="1:2" s="90" customFormat="1"/>
    <row r="6" spans="1:2" s="90" customFormat="1">
      <c r="A6" s="91" t="s">
        <v>1162</v>
      </c>
    </row>
    <row r="7" spans="1:2" s="90" customFormat="1">
      <c r="A7" s="100" t="s">
        <v>1145</v>
      </c>
    </row>
    <row r="8" spans="1:2" s="90" customFormat="1">
      <c r="A8" s="100" t="s">
        <v>1146</v>
      </c>
    </row>
    <row r="9" spans="1:2" s="90" customFormat="1">
      <c r="A9" s="100" t="s">
        <v>1142</v>
      </c>
    </row>
    <row r="10" spans="1:2" s="90" customFormat="1">
      <c r="A10" s="100" t="s">
        <v>1143</v>
      </c>
    </row>
    <row r="11" spans="1:2" s="90" customFormat="1">
      <c r="A11" s="100" t="s">
        <v>1144</v>
      </c>
    </row>
    <row r="12" spans="1:2" s="90" customFormat="1"/>
    <row r="13" spans="1:2" s="90" customFormat="1">
      <c r="A13" s="92"/>
    </row>
    <row r="14" spans="1:2" s="90" customFormat="1">
      <c r="A14" s="91" t="s">
        <v>1070</v>
      </c>
    </row>
    <row r="15" spans="1:2" s="90" customFormat="1">
      <c r="A15" s="90" t="s">
        <v>1071</v>
      </c>
      <c r="B15" s="90" t="s">
        <v>1072</v>
      </c>
    </row>
    <row r="16" spans="1:2" s="90" customFormat="1">
      <c r="A16" s="90" t="s">
        <v>1073</v>
      </c>
      <c r="B16" s="90" t="s">
        <v>1127</v>
      </c>
    </row>
    <row r="17" spans="1:4" s="90" customFormat="1">
      <c r="A17" s="90" t="s">
        <v>1074</v>
      </c>
      <c r="B17" s="90" t="s">
        <v>1088</v>
      </c>
    </row>
    <row r="18" spans="1:4" s="90" customFormat="1">
      <c r="A18" s="90" t="s">
        <v>1075</v>
      </c>
      <c r="B18" s="90" t="s">
        <v>1079</v>
      </c>
    </row>
    <row r="19" spans="1:4">
      <c r="A19" s="90"/>
      <c r="B19" s="90"/>
      <c r="C19" s="90"/>
    </row>
    <row r="20" spans="1:4" ht="51">
      <c r="A20" s="97" t="s">
        <v>1062</v>
      </c>
      <c r="B20" s="98" t="s">
        <v>1064</v>
      </c>
      <c r="C20" s="97" t="s">
        <v>1063</v>
      </c>
      <c r="D20" s="97" t="s">
        <v>1159</v>
      </c>
    </row>
    <row r="21" spans="1:4">
      <c r="A21" s="94">
        <v>413.89</v>
      </c>
      <c r="B21" s="104">
        <v>11320.46046002</v>
      </c>
      <c r="C21" s="95">
        <v>643.20000000000005</v>
      </c>
      <c r="D21" s="96">
        <f>C21+23.5</f>
        <v>666.7</v>
      </c>
    </row>
    <row r="22" spans="1:4">
      <c r="A22" s="94">
        <v>416.88</v>
      </c>
      <c r="B22" s="104">
        <v>11426.095432103601</v>
      </c>
      <c r="C22" s="95">
        <v>645.6</v>
      </c>
      <c r="D22" s="96">
        <f t="shared" ref="D22:D85" si="0">C22+23.5</f>
        <v>669.1</v>
      </c>
    </row>
    <row r="23" spans="1:4">
      <c r="A23" s="94">
        <v>419.38</v>
      </c>
      <c r="B23" s="104">
        <v>11519.085796098399</v>
      </c>
      <c r="C23" s="95">
        <v>595</v>
      </c>
      <c r="D23" s="96">
        <f t="shared" si="0"/>
        <v>618.5</v>
      </c>
    </row>
    <row r="24" spans="1:4">
      <c r="A24" s="94">
        <v>421.88</v>
      </c>
      <c r="B24" s="104">
        <v>11606.1719304447</v>
      </c>
      <c r="C24" s="95">
        <v>484.3</v>
      </c>
      <c r="D24" s="96">
        <f t="shared" si="0"/>
        <v>507.8</v>
      </c>
    </row>
    <row r="25" spans="1:4">
      <c r="A25" s="94">
        <v>424.38</v>
      </c>
      <c r="B25" s="104">
        <v>11719.9952326864</v>
      </c>
      <c r="C25" s="95">
        <v>459.5</v>
      </c>
      <c r="D25" s="96">
        <f t="shared" si="0"/>
        <v>483</v>
      </c>
    </row>
    <row r="26" spans="1:4">
      <c r="A26" s="94">
        <v>439.88</v>
      </c>
      <c r="B26" s="104">
        <v>12412.7843035038</v>
      </c>
      <c r="C26" s="95">
        <v>465.8</v>
      </c>
      <c r="D26" s="96">
        <f t="shared" si="0"/>
        <v>489.3</v>
      </c>
    </row>
    <row r="27" spans="1:4">
      <c r="A27" s="94">
        <v>441.88</v>
      </c>
      <c r="B27" s="104">
        <v>12506.5468014824</v>
      </c>
      <c r="C27" s="95">
        <v>479.6</v>
      </c>
      <c r="D27" s="96">
        <f t="shared" si="0"/>
        <v>503.1</v>
      </c>
    </row>
    <row r="28" spans="1:4">
      <c r="A28" s="94">
        <v>443.88</v>
      </c>
      <c r="B28" s="104">
        <v>12604.0447512712</v>
      </c>
      <c r="C28" s="95">
        <v>478.1</v>
      </c>
      <c r="D28" s="96">
        <f t="shared" si="0"/>
        <v>501.6</v>
      </c>
    </row>
    <row r="29" spans="1:4">
      <c r="A29" s="94">
        <v>445.88</v>
      </c>
      <c r="B29" s="104">
        <v>12704.8957523606</v>
      </c>
      <c r="C29" s="95">
        <v>538.4</v>
      </c>
      <c r="D29" s="96">
        <f t="shared" si="0"/>
        <v>561.9</v>
      </c>
    </row>
    <row r="30" spans="1:4">
      <c r="A30" s="94">
        <v>447.86</v>
      </c>
      <c r="B30" s="104">
        <v>12809.921314563901</v>
      </c>
      <c r="C30" s="95">
        <v>562.4</v>
      </c>
      <c r="D30" s="96">
        <f t="shared" si="0"/>
        <v>585.9</v>
      </c>
    </row>
    <row r="31" spans="1:4">
      <c r="A31" s="94">
        <v>450.38</v>
      </c>
      <c r="B31" s="104">
        <v>12936.3666296968</v>
      </c>
      <c r="C31" s="95">
        <v>613.5</v>
      </c>
      <c r="D31" s="96">
        <f t="shared" si="0"/>
        <v>637</v>
      </c>
    </row>
    <row r="32" spans="1:4">
      <c r="A32" s="94">
        <v>459.83</v>
      </c>
      <c r="B32" s="104">
        <v>13404.1137401121</v>
      </c>
      <c r="C32" s="95">
        <v>647.70000000000005</v>
      </c>
      <c r="D32" s="96">
        <f t="shared" si="0"/>
        <v>671.2</v>
      </c>
    </row>
    <row r="33" spans="1:4">
      <c r="A33" s="94">
        <v>461.88</v>
      </c>
      <c r="B33" s="104">
        <v>13508.911056396901</v>
      </c>
      <c r="C33" s="95">
        <v>622.79999999999995</v>
      </c>
      <c r="D33" s="96">
        <f t="shared" si="0"/>
        <v>646.29999999999995</v>
      </c>
    </row>
    <row r="34" spans="1:4">
      <c r="A34" s="94">
        <v>463.38</v>
      </c>
      <c r="B34" s="104">
        <v>13588.7919065771</v>
      </c>
      <c r="C34" s="95">
        <v>622</v>
      </c>
      <c r="D34" s="96">
        <f t="shared" si="0"/>
        <v>645.5</v>
      </c>
    </row>
    <row r="35" spans="1:4">
      <c r="A35" s="94">
        <v>465.88</v>
      </c>
      <c r="B35" s="104">
        <v>13734.337144041199</v>
      </c>
      <c r="C35" s="95">
        <v>635.5</v>
      </c>
      <c r="D35" s="96">
        <f t="shared" si="0"/>
        <v>659</v>
      </c>
    </row>
    <row r="36" spans="1:4">
      <c r="A36" s="94">
        <v>467.38</v>
      </c>
      <c r="B36" s="104">
        <v>13825.468004743099</v>
      </c>
      <c r="C36" s="95">
        <v>600.1</v>
      </c>
      <c r="D36" s="96">
        <f t="shared" si="0"/>
        <v>623.6</v>
      </c>
    </row>
    <row r="37" spans="1:4">
      <c r="A37" s="94">
        <v>469.38</v>
      </c>
      <c r="B37" s="104">
        <v>13943.522932292</v>
      </c>
      <c r="C37" s="95">
        <v>585.9</v>
      </c>
      <c r="D37" s="96">
        <f t="shared" si="0"/>
        <v>609.4</v>
      </c>
    </row>
    <row r="38" spans="1:4">
      <c r="A38" s="94">
        <v>473.38</v>
      </c>
      <c r="B38" s="104">
        <v>14153.8903792085</v>
      </c>
      <c r="C38" s="95">
        <v>592.1</v>
      </c>
      <c r="D38" s="96">
        <f t="shared" si="0"/>
        <v>615.6</v>
      </c>
    </row>
    <row r="39" spans="1:4">
      <c r="A39" s="94">
        <v>475.88</v>
      </c>
      <c r="B39" s="104">
        <v>14288.2513279171</v>
      </c>
      <c r="C39" s="95">
        <v>578.70000000000005</v>
      </c>
      <c r="D39" s="96">
        <f t="shared" si="0"/>
        <v>602.20000000000005</v>
      </c>
    </row>
    <row r="40" spans="1:4">
      <c r="A40" s="94">
        <v>479.38</v>
      </c>
      <c r="B40" s="104">
        <v>14460.5638139273</v>
      </c>
      <c r="C40" s="95">
        <v>554</v>
      </c>
      <c r="D40" s="96">
        <f t="shared" si="0"/>
        <v>577.5</v>
      </c>
    </row>
    <row r="41" spans="1:4">
      <c r="A41" s="94">
        <v>480.88</v>
      </c>
      <c r="B41" s="104">
        <v>14533.825484253401</v>
      </c>
      <c r="C41" s="95">
        <v>521.9</v>
      </c>
      <c r="D41" s="96">
        <f t="shared" si="0"/>
        <v>545.4</v>
      </c>
    </row>
    <row r="42" spans="1:4">
      <c r="A42" s="94">
        <v>482.88</v>
      </c>
      <c r="B42" s="104">
        <v>14629.4319637031</v>
      </c>
      <c r="C42" s="95">
        <v>478.8</v>
      </c>
      <c r="D42" s="96">
        <f t="shared" si="0"/>
        <v>502.3</v>
      </c>
    </row>
    <row r="43" spans="1:4">
      <c r="A43" s="94">
        <v>485.83</v>
      </c>
      <c r="B43" s="104">
        <v>14772.764197516901</v>
      </c>
      <c r="C43" s="95">
        <v>448.7</v>
      </c>
      <c r="D43" s="96">
        <f t="shared" si="0"/>
        <v>472.2</v>
      </c>
    </row>
    <row r="44" spans="1:4">
      <c r="A44" s="94">
        <v>487.38</v>
      </c>
      <c r="B44" s="104">
        <v>14838.1467854129</v>
      </c>
      <c r="C44" s="95">
        <v>478.8</v>
      </c>
      <c r="D44" s="96">
        <f t="shared" si="0"/>
        <v>502.3</v>
      </c>
    </row>
    <row r="45" spans="1:4">
      <c r="A45" s="94">
        <v>490.38</v>
      </c>
      <c r="B45" s="104">
        <v>14962.251547334399</v>
      </c>
      <c r="C45" s="95">
        <v>451.7</v>
      </c>
      <c r="D45" s="96">
        <f t="shared" si="0"/>
        <v>475.2</v>
      </c>
    </row>
    <row r="46" spans="1:4">
      <c r="A46" s="94">
        <v>561.48</v>
      </c>
      <c r="B46" s="104">
        <v>19365.337267233401</v>
      </c>
      <c r="C46" s="95">
        <v>364.1</v>
      </c>
      <c r="D46" s="96">
        <f t="shared" si="0"/>
        <v>387.6</v>
      </c>
    </row>
    <row r="47" spans="1:4">
      <c r="A47" s="94">
        <v>564.12</v>
      </c>
      <c r="B47" s="104">
        <v>19585.199697472399</v>
      </c>
      <c r="C47" s="95">
        <v>372.5</v>
      </c>
      <c r="D47" s="96">
        <f t="shared" si="0"/>
        <v>396</v>
      </c>
    </row>
    <row r="48" spans="1:4">
      <c r="A48" s="94">
        <v>567.26</v>
      </c>
      <c r="B48" s="104">
        <v>19894.8699051943</v>
      </c>
      <c r="C48" s="95">
        <v>361</v>
      </c>
      <c r="D48" s="96">
        <f t="shared" si="0"/>
        <v>384.5</v>
      </c>
    </row>
    <row r="49" spans="1:4">
      <c r="A49" s="94">
        <v>570.29</v>
      </c>
      <c r="B49" s="104">
        <v>20175.302498144199</v>
      </c>
      <c r="C49" s="95">
        <v>356.5</v>
      </c>
      <c r="D49" s="96">
        <f t="shared" si="0"/>
        <v>380</v>
      </c>
    </row>
    <row r="50" spans="1:4">
      <c r="A50" s="94">
        <v>572.89</v>
      </c>
      <c r="B50" s="104">
        <v>20385.641446184101</v>
      </c>
      <c r="C50" s="95">
        <v>357.7</v>
      </c>
      <c r="D50" s="96">
        <f t="shared" si="0"/>
        <v>381.2</v>
      </c>
    </row>
    <row r="51" spans="1:4">
      <c r="A51" s="94">
        <v>575.03</v>
      </c>
      <c r="B51" s="104">
        <v>20542.8287159192</v>
      </c>
      <c r="C51" s="95">
        <v>360.4</v>
      </c>
      <c r="D51" s="96">
        <f t="shared" si="0"/>
        <v>383.9</v>
      </c>
    </row>
    <row r="52" spans="1:4">
      <c r="A52" s="94">
        <v>578</v>
      </c>
      <c r="B52" s="104">
        <v>20760.952840115999</v>
      </c>
      <c r="C52" s="95">
        <v>350.1</v>
      </c>
      <c r="D52" s="96">
        <f t="shared" si="0"/>
        <v>373.6</v>
      </c>
    </row>
    <row r="53" spans="1:4">
      <c r="A53" s="94">
        <v>581.63</v>
      </c>
      <c r="B53" s="104">
        <v>21076.469906230301</v>
      </c>
      <c r="C53" s="95">
        <v>360.9</v>
      </c>
      <c r="D53" s="96">
        <f t="shared" si="0"/>
        <v>384.4</v>
      </c>
    </row>
    <row r="54" spans="1:4">
      <c r="A54" s="94">
        <v>584.13</v>
      </c>
      <c r="B54" s="104">
        <v>21276.6320004923</v>
      </c>
      <c r="C54" s="95">
        <v>370.5</v>
      </c>
      <c r="D54" s="96">
        <f t="shared" si="0"/>
        <v>394</v>
      </c>
    </row>
    <row r="55" spans="1:4">
      <c r="A55" s="94">
        <v>587.15</v>
      </c>
      <c r="B55" s="104">
        <v>21544.121725649598</v>
      </c>
      <c r="C55" s="95">
        <v>353.1</v>
      </c>
      <c r="D55" s="96">
        <f t="shared" si="0"/>
        <v>376.6</v>
      </c>
    </row>
    <row r="56" spans="1:4">
      <c r="A56" s="94">
        <v>590.73</v>
      </c>
      <c r="B56" s="104">
        <v>21818.363325312399</v>
      </c>
      <c r="C56" s="95">
        <v>356</v>
      </c>
      <c r="D56" s="96">
        <f t="shared" si="0"/>
        <v>379.5</v>
      </c>
    </row>
    <row r="57" spans="1:4">
      <c r="A57" s="94">
        <v>596.03</v>
      </c>
      <c r="B57" s="104">
        <v>22150.728383238598</v>
      </c>
      <c r="C57" s="95">
        <v>360.2</v>
      </c>
      <c r="D57" s="96">
        <f t="shared" si="0"/>
        <v>383.7</v>
      </c>
    </row>
    <row r="58" spans="1:4">
      <c r="A58" s="94">
        <v>599.55999999999995</v>
      </c>
      <c r="B58" s="104">
        <v>22415.776540485</v>
      </c>
      <c r="C58" s="95">
        <v>405.8</v>
      </c>
      <c r="D58" s="96">
        <f t="shared" si="0"/>
        <v>429.3</v>
      </c>
    </row>
    <row r="59" spans="1:4">
      <c r="A59" s="94">
        <v>603.05999999999995</v>
      </c>
      <c r="B59" s="104">
        <v>22680.1684445875</v>
      </c>
      <c r="C59" s="95">
        <v>382.3</v>
      </c>
      <c r="D59" s="96">
        <f t="shared" si="0"/>
        <v>405.8</v>
      </c>
    </row>
    <row r="60" spans="1:4">
      <c r="A60" s="94">
        <v>606.63</v>
      </c>
      <c r="B60" s="104">
        <v>22931.831696783302</v>
      </c>
      <c r="C60" s="95">
        <v>380.9</v>
      </c>
      <c r="D60" s="96">
        <f t="shared" si="0"/>
        <v>404.4</v>
      </c>
    </row>
    <row r="61" spans="1:4">
      <c r="A61" s="94">
        <v>608.69000000000005</v>
      </c>
      <c r="B61" s="104">
        <v>23056.771677191398</v>
      </c>
      <c r="C61" s="95">
        <v>378.2</v>
      </c>
      <c r="D61" s="96">
        <f t="shared" si="0"/>
        <v>401.7</v>
      </c>
    </row>
    <row r="62" spans="1:4">
      <c r="A62" s="94">
        <v>611.73</v>
      </c>
      <c r="B62" s="104">
        <v>23262.166658968599</v>
      </c>
      <c r="C62" s="95">
        <v>375.4</v>
      </c>
      <c r="D62" s="96">
        <f t="shared" si="0"/>
        <v>398.9</v>
      </c>
    </row>
    <row r="63" spans="1:4">
      <c r="A63" s="94">
        <v>614.29</v>
      </c>
      <c r="B63" s="104">
        <v>23437.962113378799</v>
      </c>
      <c r="C63" s="95">
        <v>377</v>
      </c>
      <c r="D63" s="96">
        <f t="shared" si="0"/>
        <v>400.5</v>
      </c>
    </row>
    <row r="64" spans="1:4">
      <c r="A64" s="94">
        <v>617.33000000000004</v>
      </c>
      <c r="B64" s="104">
        <v>23647.837837252599</v>
      </c>
      <c r="C64" s="95">
        <v>377.5</v>
      </c>
      <c r="D64" s="96">
        <f t="shared" si="0"/>
        <v>401</v>
      </c>
    </row>
    <row r="65" spans="1:4">
      <c r="A65" s="94">
        <v>620.71</v>
      </c>
      <c r="B65" s="104">
        <v>23906.9300871579</v>
      </c>
      <c r="C65" s="95">
        <v>368.7</v>
      </c>
      <c r="D65" s="96">
        <f t="shared" si="0"/>
        <v>392.2</v>
      </c>
    </row>
    <row r="66" spans="1:4">
      <c r="A66" s="94">
        <v>625.67999999999995</v>
      </c>
      <c r="B66" s="104">
        <v>24305.576774768801</v>
      </c>
      <c r="C66" s="95">
        <v>352.5</v>
      </c>
      <c r="D66" s="96">
        <f t="shared" si="0"/>
        <v>376</v>
      </c>
    </row>
    <row r="67" spans="1:4">
      <c r="A67" s="94">
        <v>628.26</v>
      </c>
      <c r="B67" s="104">
        <v>24539.570514192401</v>
      </c>
      <c r="C67" s="95">
        <v>354.6</v>
      </c>
      <c r="D67" s="96">
        <f t="shared" si="0"/>
        <v>378.1</v>
      </c>
    </row>
    <row r="68" spans="1:4">
      <c r="A68" s="94">
        <v>634.83000000000004</v>
      </c>
      <c r="B68" s="104">
        <v>25093.815195076098</v>
      </c>
      <c r="C68" s="95">
        <v>361.2</v>
      </c>
      <c r="D68" s="96">
        <f t="shared" si="0"/>
        <v>384.7</v>
      </c>
    </row>
    <row r="69" spans="1:4">
      <c r="A69" s="94">
        <v>638.33000000000004</v>
      </c>
      <c r="B69" s="104">
        <v>25401.025565508</v>
      </c>
      <c r="C69" s="95">
        <v>350.3</v>
      </c>
      <c r="D69" s="96">
        <f t="shared" si="0"/>
        <v>373.8</v>
      </c>
    </row>
    <row r="70" spans="1:4">
      <c r="A70" s="94">
        <v>640.79</v>
      </c>
      <c r="B70" s="104">
        <v>25620.333167713601</v>
      </c>
      <c r="C70" s="95">
        <v>345.8</v>
      </c>
      <c r="D70" s="96">
        <f t="shared" si="0"/>
        <v>369.3</v>
      </c>
    </row>
    <row r="71" spans="1:4">
      <c r="A71" s="94">
        <v>643.78</v>
      </c>
      <c r="B71" s="104">
        <v>25916.943245928302</v>
      </c>
      <c r="C71" s="95">
        <v>354.9</v>
      </c>
      <c r="D71" s="96">
        <f t="shared" si="0"/>
        <v>378.4</v>
      </c>
    </row>
    <row r="72" spans="1:4">
      <c r="A72" s="94">
        <v>646.33000000000004</v>
      </c>
      <c r="B72" s="104">
        <v>26164.487931727999</v>
      </c>
      <c r="C72" s="95">
        <v>352.3</v>
      </c>
      <c r="D72" s="96">
        <f t="shared" si="0"/>
        <v>375.8</v>
      </c>
    </row>
    <row r="73" spans="1:4">
      <c r="A73" s="94">
        <v>648.83000000000004</v>
      </c>
      <c r="B73" s="104">
        <v>26356.615863302199</v>
      </c>
      <c r="C73" s="95">
        <v>339.2</v>
      </c>
      <c r="D73" s="96">
        <f t="shared" si="0"/>
        <v>362.7</v>
      </c>
    </row>
    <row r="74" spans="1:4">
      <c r="A74" s="94">
        <v>652.82000000000005</v>
      </c>
      <c r="B74" s="104">
        <v>26648.13632419</v>
      </c>
      <c r="C74" s="95">
        <v>387.2</v>
      </c>
      <c r="D74" s="96">
        <f t="shared" si="0"/>
        <v>410.7</v>
      </c>
    </row>
    <row r="75" spans="1:4">
      <c r="A75" s="94">
        <v>655.68</v>
      </c>
      <c r="B75" s="104">
        <v>26893.413169006901</v>
      </c>
      <c r="C75" s="95">
        <v>375.9</v>
      </c>
      <c r="D75" s="96">
        <f t="shared" si="0"/>
        <v>399.4</v>
      </c>
    </row>
    <row r="76" spans="1:4">
      <c r="A76" s="94">
        <v>657.73</v>
      </c>
      <c r="B76" s="104">
        <v>27097.744252836001</v>
      </c>
      <c r="C76" s="95">
        <v>369.1</v>
      </c>
      <c r="D76" s="96">
        <f t="shared" si="0"/>
        <v>392.6</v>
      </c>
    </row>
    <row r="77" spans="1:4">
      <c r="A77" s="94">
        <v>661.23</v>
      </c>
      <c r="B77" s="104">
        <v>27431.115398989299</v>
      </c>
      <c r="C77" s="95">
        <v>397.8</v>
      </c>
      <c r="D77" s="96">
        <f t="shared" si="0"/>
        <v>421.3</v>
      </c>
    </row>
    <row r="78" spans="1:4">
      <c r="A78" s="94">
        <v>663.83</v>
      </c>
      <c r="B78" s="104">
        <v>27616.076739646302</v>
      </c>
      <c r="C78" s="95">
        <v>363.6</v>
      </c>
      <c r="D78" s="96">
        <f t="shared" si="0"/>
        <v>387.1</v>
      </c>
    </row>
    <row r="79" spans="1:4">
      <c r="A79" s="94">
        <v>667.35</v>
      </c>
      <c r="B79" s="104">
        <v>27849.891456548601</v>
      </c>
      <c r="C79" s="95">
        <v>366</v>
      </c>
      <c r="D79" s="96">
        <f t="shared" si="0"/>
        <v>389.5</v>
      </c>
    </row>
    <row r="80" spans="1:4">
      <c r="A80" s="94">
        <v>670.43</v>
      </c>
      <c r="B80" s="104">
        <v>28040.046437384699</v>
      </c>
      <c r="C80" s="95">
        <v>354</v>
      </c>
      <c r="D80" s="96">
        <f t="shared" si="0"/>
        <v>377.5</v>
      </c>
    </row>
    <row r="81" spans="1:4">
      <c r="A81" s="94">
        <v>672.93</v>
      </c>
      <c r="B81" s="104">
        <v>28201.959300189501</v>
      </c>
      <c r="C81" s="95">
        <v>367.4</v>
      </c>
      <c r="D81" s="96">
        <f t="shared" si="0"/>
        <v>390.9</v>
      </c>
    </row>
    <row r="82" spans="1:4">
      <c r="A82" s="94">
        <v>675.42</v>
      </c>
      <c r="B82" s="104">
        <v>28358.497662907899</v>
      </c>
      <c r="C82" s="95">
        <v>396.6</v>
      </c>
      <c r="D82" s="96">
        <f t="shared" si="0"/>
        <v>420.1</v>
      </c>
    </row>
    <row r="83" spans="1:4">
      <c r="A83" s="94">
        <v>678.38</v>
      </c>
      <c r="B83" s="104">
        <v>28588.330137986599</v>
      </c>
      <c r="C83" s="95">
        <v>437.1</v>
      </c>
      <c r="D83" s="96">
        <f t="shared" si="0"/>
        <v>460.6</v>
      </c>
    </row>
    <row r="84" spans="1:4">
      <c r="A84" s="94">
        <v>681.4</v>
      </c>
      <c r="B84" s="104">
        <v>28864.692652792201</v>
      </c>
      <c r="C84" s="95">
        <v>416.3</v>
      </c>
      <c r="D84" s="96">
        <f t="shared" si="0"/>
        <v>439.8</v>
      </c>
    </row>
    <row r="85" spans="1:4">
      <c r="A85" s="94">
        <v>684.63</v>
      </c>
      <c r="B85" s="104">
        <v>29137.4938835834</v>
      </c>
      <c r="C85" s="95">
        <v>377.5</v>
      </c>
      <c r="D85" s="96">
        <f t="shared" si="0"/>
        <v>401</v>
      </c>
    </row>
    <row r="86" spans="1:4">
      <c r="A86" s="94">
        <v>687.4</v>
      </c>
      <c r="B86" s="104">
        <v>29355.66104454</v>
      </c>
      <c r="C86" s="95">
        <v>364.1</v>
      </c>
      <c r="D86" s="96">
        <f t="shared" ref="D86:D149" si="1">C86+23.5</f>
        <v>387.6</v>
      </c>
    </row>
    <row r="87" spans="1:4">
      <c r="A87" s="94">
        <v>690.68</v>
      </c>
      <c r="B87" s="104">
        <v>29622.660551684799</v>
      </c>
      <c r="C87" s="95">
        <v>381.2</v>
      </c>
      <c r="D87" s="96">
        <f t="shared" si="1"/>
        <v>404.7</v>
      </c>
    </row>
    <row r="88" spans="1:4">
      <c r="A88" s="94">
        <v>693.88</v>
      </c>
      <c r="B88" s="104">
        <v>29891.5160740635</v>
      </c>
      <c r="C88" s="95">
        <v>393.5</v>
      </c>
      <c r="D88" s="96">
        <f t="shared" si="1"/>
        <v>417</v>
      </c>
    </row>
    <row r="89" spans="1:4">
      <c r="A89" s="94">
        <v>717.49</v>
      </c>
      <c r="B89" s="104">
        <v>31895.2489402799</v>
      </c>
      <c r="C89" s="95">
        <v>481.7</v>
      </c>
      <c r="D89" s="96">
        <f t="shared" si="1"/>
        <v>505.2</v>
      </c>
    </row>
    <row r="90" spans="1:4">
      <c r="A90" s="94">
        <v>720.53</v>
      </c>
      <c r="B90" s="104">
        <v>32168.695437021801</v>
      </c>
      <c r="C90" s="95">
        <v>446.4</v>
      </c>
      <c r="D90" s="96">
        <f t="shared" si="1"/>
        <v>469.9</v>
      </c>
    </row>
    <row r="91" spans="1:4">
      <c r="A91" s="94">
        <v>723.58</v>
      </c>
      <c r="B91" s="104">
        <v>32414.896596727001</v>
      </c>
      <c r="C91" s="95">
        <v>469.2</v>
      </c>
      <c r="D91" s="96">
        <f t="shared" si="1"/>
        <v>492.7</v>
      </c>
    </row>
    <row r="92" spans="1:4">
      <c r="A92" s="94">
        <v>726.58</v>
      </c>
      <c r="B92" s="104">
        <v>32659.5098037061</v>
      </c>
      <c r="C92" s="95">
        <v>392.1</v>
      </c>
      <c r="D92" s="96">
        <f t="shared" si="1"/>
        <v>415.6</v>
      </c>
    </row>
    <row r="93" spans="1:4">
      <c r="A93" s="94">
        <v>728.98</v>
      </c>
      <c r="B93" s="104">
        <v>32833.0094886445</v>
      </c>
      <c r="C93" s="95">
        <v>398.4</v>
      </c>
      <c r="D93" s="96">
        <f t="shared" si="1"/>
        <v>421.9</v>
      </c>
    </row>
    <row r="94" spans="1:4">
      <c r="A94" s="94">
        <v>731.53</v>
      </c>
      <c r="B94" s="104">
        <v>33015.890045059597</v>
      </c>
      <c r="C94" s="95">
        <v>399.5</v>
      </c>
      <c r="D94" s="96">
        <f t="shared" si="1"/>
        <v>423</v>
      </c>
    </row>
    <row r="95" spans="1:4">
      <c r="A95" s="94">
        <v>734.03</v>
      </c>
      <c r="B95" s="104">
        <v>33203.999963546303</v>
      </c>
      <c r="C95" s="95">
        <v>402.9</v>
      </c>
      <c r="D95" s="96">
        <f t="shared" si="1"/>
        <v>426.4</v>
      </c>
    </row>
    <row r="96" spans="1:4">
      <c r="A96" s="94">
        <v>737.03</v>
      </c>
      <c r="B96" s="104">
        <v>33430.589613093704</v>
      </c>
      <c r="C96" s="95">
        <v>445.4</v>
      </c>
      <c r="D96" s="96">
        <f t="shared" si="1"/>
        <v>468.9</v>
      </c>
    </row>
    <row r="97" spans="1:4">
      <c r="A97" s="94">
        <v>740.07</v>
      </c>
      <c r="B97" s="104">
        <v>33647.254883870097</v>
      </c>
      <c r="C97" s="95">
        <v>455.2</v>
      </c>
      <c r="D97" s="96">
        <f t="shared" si="1"/>
        <v>478.7</v>
      </c>
    </row>
    <row r="98" spans="1:4">
      <c r="A98" s="94">
        <v>741.55</v>
      </c>
      <c r="B98" s="104">
        <v>33747.895565699699</v>
      </c>
      <c r="C98" s="95">
        <v>442.2</v>
      </c>
      <c r="D98" s="96">
        <f t="shared" si="1"/>
        <v>465.7</v>
      </c>
    </row>
    <row r="99" spans="1:4">
      <c r="A99" s="94">
        <v>744.03</v>
      </c>
      <c r="B99" s="104">
        <v>33916.954712319101</v>
      </c>
      <c r="C99" s="95">
        <v>414.2</v>
      </c>
      <c r="D99" s="96">
        <f t="shared" si="1"/>
        <v>437.7</v>
      </c>
    </row>
    <row r="100" spans="1:4">
      <c r="A100" s="94">
        <v>747.58</v>
      </c>
      <c r="B100" s="104">
        <v>34199.067339954599</v>
      </c>
      <c r="C100" s="95">
        <v>416.5</v>
      </c>
      <c r="D100" s="96">
        <f t="shared" si="1"/>
        <v>440</v>
      </c>
    </row>
    <row r="101" spans="1:4">
      <c r="A101" s="94">
        <v>750.08</v>
      </c>
      <c r="B101" s="104">
        <v>34411.816568511596</v>
      </c>
      <c r="C101" s="95">
        <v>424.9</v>
      </c>
      <c r="D101" s="96">
        <f t="shared" si="1"/>
        <v>448.4</v>
      </c>
    </row>
    <row r="102" spans="1:4">
      <c r="A102" s="94">
        <v>752.83</v>
      </c>
      <c r="B102" s="104">
        <v>34657.296382590903</v>
      </c>
      <c r="C102" s="95">
        <v>440.6</v>
      </c>
      <c r="D102" s="96">
        <f t="shared" si="1"/>
        <v>464.1</v>
      </c>
    </row>
    <row r="103" spans="1:4">
      <c r="A103" s="94">
        <v>755.83</v>
      </c>
      <c r="B103" s="104">
        <v>34925.892702520097</v>
      </c>
      <c r="C103" s="95">
        <v>477.3</v>
      </c>
      <c r="D103" s="96">
        <f t="shared" si="1"/>
        <v>500.8</v>
      </c>
    </row>
    <row r="104" spans="1:4">
      <c r="A104" s="94">
        <v>758.78</v>
      </c>
      <c r="B104" s="104">
        <v>35196.820940504702</v>
      </c>
      <c r="C104" s="95">
        <v>489.2</v>
      </c>
      <c r="D104" s="96">
        <f t="shared" si="1"/>
        <v>512.70000000000005</v>
      </c>
    </row>
    <row r="105" spans="1:4">
      <c r="A105" s="94">
        <v>761.78</v>
      </c>
      <c r="B105" s="104">
        <v>35450.171506993604</v>
      </c>
      <c r="C105" s="95">
        <v>502.5</v>
      </c>
      <c r="D105" s="96">
        <f t="shared" si="1"/>
        <v>526</v>
      </c>
    </row>
    <row r="106" spans="1:4">
      <c r="A106" s="94">
        <v>765.33</v>
      </c>
      <c r="B106" s="104">
        <v>35735.712434392903</v>
      </c>
      <c r="C106" s="95">
        <v>406.8</v>
      </c>
      <c r="D106" s="96">
        <f t="shared" si="1"/>
        <v>430.3</v>
      </c>
    </row>
    <row r="107" spans="1:4">
      <c r="A107" s="94">
        <v>771.98</v>
      </c>
      <c r="B107" s="104">
        <v>36276.243570884602</v>
      </c>
      <c r="C107" s="95">
        <v>432.2</v>
      </c>
      <c r="D107" s="96">
        <f t="shared" si="1"/>
        <v>455.7</v>
      </c>
    </row>
    <row r="108" spans="1:4">
      <c r="A108" s="94">
        <v>774.38</v>
      </c>
      <c r="B108" s="104">
        <v>36477.980204015497</v>
      </c>
      <c r="C108" s="95">
        <v>448.3</v>
      </c>
      <c r="D108" s="96">
        <f t="shared" si="1"/>
        <v>471.8</v>
      </c>
    </row>
    <row r="109" spans="1:4">
      <c r="A109" s="94">
        <v>777.88</v>
      </c>
      <c r="B109" s="104">
        <v>36798.588659531903</v>
      </c>
      <c r="C109" s="95">
        <v>495.9</v>
      </c>
      <c r="D109" s="96">
        <f t="shared" si="1"/>
        <v>519.4</v>
      </c>
    </row>
    <row r="110" spans="1:4">
      <c r="A110" s="94">
        <v>780.38</v>
      </c>
      <c r="B110" s="104">
        <v>37033.545594672898</v>
      </c>
      <c r="C110" s="95">
        <v>499.1</v>
      </c>
      <c r="D110" s="96">
        <f t="shared" si="1"/>
        <v>522.6</v>
      </c>
    </row>
    <row r="111" spans="1:4">
      <c r="A111" s="94">
        <v>783.49</v>
      </c>
      <c r="B111" s="104">
        <v>37303.914342761498</v>
      </c>
      <c r="C111" s="95">
        <v>509.5</v>
      </c>
      <c r="D111" s="96">
        <f t="shared" si="1"/>
        <v>533</v>
      </c>
    </row>
    <row r="112" spans="1:4">
      <c r="A112" s="94">
        <v>787.01</v>
      </c>
      <c r="B112" s="104">
        <v>37565.8631630335</v>
      </c>
      <c r="C112" s="95">
        <v>546.1</v>
      </c>
      <c r="D112" s="96">
        <f t="shared" si="1"/>
        <v>569.6</v>
      </c>
    </row>
    <row r="113" spans="1:4">
      <c r="A113" s="94">
        <v>790.5</v>
      </c>
      <c r="B113" s="104">
        <v>37830.958728363497</v>
      </c>
      <c r="C113" s="95">
        <v>520.20000000000005</v>
      </c>
      <c r="D113" s="96">
        <f t="shared" si="1"/>
        <v>543.70000000000005</v>
      </c>
    </row>
    <row r="114" spans="1:4">
      <c r="A114" s="94">
        <v>793</v>
      </c>
      <c r="B114" s="104">
        <v>38004.522834003001</v>
      </c>
      <c r="C114" s="95">
        <v>541.5</v>
      </c>
      <c r="D114" s="96">
        <f t="shared" si="1"/>
        <v>565</v>
      </c>
    </row>
    <row r="115" spans="1:4">
      <c r="A115" s="94">
        <v>795.51</v>
      </c>
      <c r="B115" s="104">
        <v>38155.814403063203</v>
      </c>
      <c r="C115" s="95">
        <v>520.29999999999995</v>
      </c>
      <c r="D115" s="96">
        <f t="shared" si="1"/>
        <v>543.79999999999995</v>
      </c>
    </row>
    <row r="116" spans="1:4">
      <c r="A116" s="94">
        <v>798.53</v>
      </c>
      <c r="B116" s="104">
        <v>38328.778311285801</v>
      </c>
      <c r="C116" s="95">
        <v>480</v>
      </c>
      <c r="D116" s="96">
        <f t="shared" si="1"/>
        <v>503.5</v>
      </c>
    </row>
    <row r="117" spans="1:4">
      <c r="A117" s="94">
        <v>801.08</v>
      </c>
      <c r="B117" s="104">
        <v>38502.485188994899</v>
      </c>
      <c r="C117" s="95">
        <v>446.2</v>
      </c>
      <c r="D117" s="96">
        <f t="shared" si="1"/>
        <v>469.7</v>
      </c>
    </row>
    <row r="118" spans="1:4">
      <c r="A118" s="94">
        <v>804.08</v>
      </c>
      <c r="B118" s="104">
        <v>38723.599231480002</v>
      </c>
      <c r="C118" s="95">
        <v>421.4</v>
      </c>
      <c r="D118" s="96">
        <f t="shared" si="1"/>
        <v>444.9</v>
      </c>
    </row>
    <row r="119" spans="1:4">
      <c r="A119" s="94">
        <v>807.09</v>
      </c>
      <c r="B119" s="104">
        <v>38944.2997343471</v>
      </c>
      <c r="C119" s="95">
        <v>421.3</v>
      </c>
      <c r="D119" s="96">
        <f t="shared" si="1"/>
        <v>444.8</v>
      </c>
    </row>
    <row r="120" spans="1:4">
      <c r="A120" s="94">
        <v>814.03</v>
      </c>
      <c r="B120" s="104">
        <v>39397.024272554401</v>
      </c>
      <c r="C120" s="95">
        <v>423.9</v>
      </c>
      <c r="D120" s="96">
        <f t="shared" si="1"/>
        <v>447.4</v>
      </c>
    </row>
    <row r="121" spans="1:4">
      <c r="A121" s="94">
        <v>816.53</v>
      </c>
      <c r="B121" s="104">
        <v>39565.792934426398</v>
      </c>
      <c r="C121" s="95">
        <v>418.9</v>
      </c>
      <c r="D121" s="96">
        <f t="shared" si="1"/>
        <v>442.4</v>
      </c>
    </row>
    <row r="122" spans="1:4">
      <c r="A122" s="94">
        <v>819.48</v>
      </c>
      <c r="B122" s="104">
        <v>39772.068009492199</v>
      </c>
      <c r="C122" s="95">
        <v>404.9</v>
      </c>
      <c r="D122" s="96">
        <f t="shared" si="1"/>
        <v>428.4</v>
      </c>
    </row>
    <row r="123" spans="1:4">
      <c r="A123" s="94">
        <v>821.57</v>
      </c>
      <c r="B123" s="104">
        <v>39920.5016643868</v>
      </c>
      <c r="C123" s="95">
        <v>396.2</v>
      </c>
      <c r="D123" s="96">
        <f t="shared" si="1"/>
        <v>419.7</v>
      </c>
    </row>
    <row r="124" spans="1:4">
      <c r="A124" s="94">
        <v>824.53</v>
      </c>
      <c r="B124" s="104">
        <v>40120.627172672597</v>
      </c>
      <c r="C124" s="95">
        <v>409.5</v>
      </c>
      <c r="D124" s="96">
        <f t="shared" si="1"/>
        <v>433</v>
      </c>
    </row>
    <row r="125" spans="1:4">
      <c r="A125" s="94">
        <v>826.58</v>
      </c>
      <c r="B125" s="104">
        <v>40273.558940158597</v>
      </c>
      <c r="C125" s="95">
        <v>412.6</v>
      </c>
      <c r="D125" s="96">
        <f t="shared" si="1"/>
        <v>436.1</v>
      </c>
    </row>
    <row r="126" spans="1:4">
      <c r="A126" s="94">
        <v>829.08</v>
      </c>
      <c r="B126" s="104">
        <v>40487.523696324497</v>
      </c>
      <c r="C126" s="95">
        <v>404.8</v>
      </c>
      <c r="D126" s="96">
        <f t="shared" si="1"/>
        <v>428.3</v>
      </c>
    </row>
    <row r="127" spans="1:4">
      <c r="A127" s="94">
        <v>834.08</v>
      </c>
      <c r="B127" s="104">
        <v>40915.261902394101</v>
      </c>
      <c r="C127" s="95">
        <v>421.2</v>
      </c>
      <c r="D127" s="96">
        <f t="shared" si="1"/>
        <v>444.7</v>
      </c>
    </row>
    <row r="128" spans="1:4">
      <c r="A128" s="94">
        <v>836.58</v>
      </c>
      <c r="B128" s="104">
        <v>41116.483215676402</v>
      </c>
      <c r="C128" s="95">
        <v>419.8</v>
      </c>
      <c r="D128" s="96">
        <f t="shared" si="1"/>
        <v>443.3</v>
      </c>
    </row>
    <row r="129" spans="1:4">
      <c r="A129" s="94">
        <v>839.09</v>
      </c>
      <c r="B129" s="104">
        <v>41296.639933655897</v>
      </c>
      <c r="C129" s="95">
        <v>457.4</v>
      </c>
      <c r="D129" s="96">
        <f t="shared" si="1"/>
        <v>480.9</v>
      </c>
    </row>
    <row r="130" spans="1:4">
      <c r="A130" s="94">
        <v>842.04</v>
      </c>
      <c r="B130" s="104">
        <v>41505.6924125562</v>
      </c>
      <c r="C130" s="95">
        <v>436.8</v>
      </c>
      <c r="D130" s="96">
        <f t="shared" si="1"/>
        <v>460.3</v>
      </c>
    </row>
    <row r="131" spans="1:4">
      <c r="A131" s="94">
        <v>845.09</v>
      </c>
      <c r="B131" s="104">
        <v>41751.773057127597</v>
      </c>
      <c r="C131" s="95">
        <v>390</v>
      </c>
      <c r="D131" s="96">
        <f t="shared" si="1"/>
        <v>413.5</v>
      </c>
    </row>
    <row r="132" spans="1:4">
      <c r="A132" s="94">
        <v>847.59</v>
      </c>
      <c r="B132" s="104">
        <v>41964.450265190098</v>
      </c>
      <c r="C132" s="95">
        <v>434.4</v>
      </c>
      <c r="D132" s="96">
        <f t="shared" si="1"/>
        <v>457.9</v>
      </c>
    </row>
    <row r="133" spans="1:4">
      <c r="A133" s="94">
        <v>851.54</v>
      </c>
      <c r="B133" s="104">
        <v>42267.732195942197</v>
      </c>
      <c r="C133" s="95">
        <v>411.7</v>
      </c>
      <c r="D133" s="96">
        <f t="shared" si="1"/>
        <v>435.2</v>
      </c>
    </row>
    <row r="134" spans="1:4">
      <c r="A134" s="94">
        <v>853.54</v>
      </c>
      <c r="B134" s="104">
        <v>42425.553804691401</v>
      </c>
      <c r="C134" s="95">
        <v>432.6</v>
      </c>
      <c r="D134" s="96">
        <f t="shared" si="1"/>
        <v>456.1</v>
      </c>
    </row>
    <row r="135" spans="1:4">
      <c r="A135" s="94">
        <v>857.63</v>
      </c>
      <c r="B135" s="104">
        <v>42768.661570824697</v>
      </c>
      <c r="C135" s="95">
        <v>475</v>
      </c>
      <c r="D135" s="96">
        <f t="shared" si="1"/>
        <v>498.5</v>
      </c>
    </row>
    <row r="136" spans="1:4">
      <c r="A136" s="94">
        <v>860.05</v>
      </c>
      <c r="B136" s="104">
        <v>43019.034186185003</v>
      </c>
      <c r="C136" s="95">
        <v>463.7</v>
      </c>
      <c r="D136" s="96">
        <f t="shared" si="1"/>
        <v>487.2</v>
      </c>
    </row>
    <row r="137" spans="1:4">
      <c r="A137" s="94">
        <v>862.53</v>
      </c>
      <c r="B137" s="104">
        <v>43279.9744420321</v>
      </c>
      <c r="C137" s="95">
        <v>466.6</v>
      </c>
      <c r="D137" s="96">
        <f t="shared" si="1"/>
        <v>490.1</v>
      </c>
    </row>
    <row r="138" spans="1:4">
      <c r="A138" s="94">
        <v>865</v>
      </c>
      <c r="B138" s="104">
        <v>43516.904447620997</v>
      </c>
      <c r="C138" s="95">
        <v>435.4</v>
      </c>
      <c r="D138" s="96">
        <f t="shared" si="1"/>
        <v>458.9</v>
      </c>
    </row>
    <row r="139" spans="1:4">
      <c r="A139" s="94">
        <v>867.53</v>
      </c>
      <c r="B139" s="104">
        <v>43750.446822726102</v>
      </c>
      <c r="C139" s="95">
        <v>398.3</v>
      </c>
      <c r="D139" s="96">
        <f t="shared" si="1"/>
        <v>421.8</v>
      </c>
    </row>
    <row r="140" spans="1:4">
      <c r="A140" s="94">
        <v>870.03</v>
      </c>
      <c r="B140" s="104">
        <v>44005.5761764403</v>
      </c>
      <c r="C140" s="95">
        <v>440.5</v>
      </c>
      <c r="D140" s="96">
        <f t="shared" si="1"/>
        <v>464</v>
      </c>
    </row>
    <row r="141" spans="1:4">
      <c r="A141" s="94">
        <v>872.98</v>
      </c>
      <c r="B141" s="104">
        <v>44307.853499397097</v>
      </c>
      <c r="C141" s="95">
        <v>443.3</v>
      </c>
      <c r="D141" s="96">
        <f t="shared" si="1"/>
        <v>466.8</v>
      </c>
    </row>
    <row r="142" spans="1:4">
      <c r="A142" s="94">
        <v>875.53</v>
      </c>
      <c r="B142" s="104">
        <v>44542.719201702101</v>
      </c>
      <c r="C142" s="95">
        <v>408.2</v>
      </c>
      <c r="D142" s="96">
        <f t="shared" si="1"/>
        <v>431.7</v>
      </c>
    </row>
    <row r="143" spans="1:4">
      <c r="A143" s="94">
        <v>879.03</v>
      </c>
      <c r="B143" s="104">
        <v>44850.4762030005</v>
      </c>
      <c r="C143" s="95">
        <v>442.5</v>
      </c>
      <c r="D143" s="96">
        <f t="shared" si="1"/>
        <v>466</v>
      </c>
    </row>
    <row r="144" spans="1:4">
      <c r="A144" s="94">
        <v>881.53</v>
      </c>
      <c r="B144" s="104">
        <v>45101.336154350298</v>
      </c>
      <c r="C144" s="95">
        <v>439.7</v>
      </c>
      <c r="D144" s="96">
        <f t="shared" si="1"/>
        <v>463.2</v>
      </c>
    </row>
    <row r="145" spans="1:4">
      <c r="A145" s="94">
        <v>883.99</v>
      </c>
      <c r="B145" s="104">
        <v>45338.663638646598</v>
      </c>
      <c r="C145" s="95">
        <v>463.3</v>
      </c>
      <c r="D145" s="96">
        <f t="shared" si="1"/>
        <v>486.8</v>
      </c>
    </row>
    <row r="146" spans="1:4">
      <c r="A146" s="94">
        <v>886.53</v>
      </c>
      <c r="B146" s="104">
        <v>45536.9944463383</v>
      </c>
      <c r="C146" s="95">
        <v>469.4</v>
      </c>
      <c r="D146" s="96">
        <f t="shared" si="1"/>
        <v>492.9</v>
      </c>
    </row>
    <row r="147" spans="1:4">
      <c r="A147" s="94">
        <v>889.03</v>
      </c>
      <c r="B147" s="104">
        <v>45723.948123062699</v>
      </c>
      <c r="C147" s="95">
        <v>467.8</v>
      </c>
      <c r="D147" s="96">
        <f t="shared" si="1"/>
        <v>491.3</v>
      </c>
    </row>
    <row r="148" spans="1:4">
      <c r="A148" s="94">
        <v>891.53</v>
      </c>
      <c r="B148" s="104">
        <v>45897.222562738403</v>
      </c>
      <c r="C148" s="95">
        <v>473.7</v>
      </c>
      <c r="D148" s="96">
        <f t="shared" si="1"/>
        <v>497.2</v>
      </c>
    </row>
    <row r="149" spans="1:4">
      <c r="A149" s="94">
        <v>894.03</v>
      </c>
      <c r="B149" s="104">
        <v>46080.754749485997</v>
      </c>
      <c r="C149" s="95">
        <v>493.2</v>
      </c>
      <c r="D149" s="96">
        <f t="shared" si="1"/>
        <v>516.70000000000005</v>
      </c>
    </row>
    <row r="150" spans="1:4">
      <c r="A150" s="94">
        <v>899.06</v>
      </c>
      <c r="B150" s="104">
        <v>46454.894603875699</v>
      </c>
      <c r="C150" s="95">
        <v>483.9</v>
      </c>
      <c r="D150" s="96">
        <f t="shared" ref="D150:D165" si="2">C150+23.5</f>
        <v>507.4</v>
      </c>
    </row>
    <row r="151" spans="1:4">
      <c r="A151" s="94">
        <v>901.62</v>
      </c>
      <c r="B151" s="104">
        <v>46638.220984271997</v>
      </c>
      <c r="C151" s="95">
        <v>494</v>
      </c>
      <c r="D151" s="96">
        <f t="shared" si="2"/>
        <v>517.5</v>
      </c>
    </row>
    <row r="152" spans="1:4">
      <c r="A152" s="94">
        <v>904.58</v>
      </c>
      <c r="B152" s="104">
        <v>46832.070929595298</v>
      </c>
      <c r="C152" s="95">
        <v>481.4</v>
      </c>
      <c r="D152" s="96">
        <f t="shared" si="2"/>
        <v>504.9</v>
      </c>
    </row>
    <row r="153" spans="1:4">
      <c r="A153" s="94">
        <v>906.63</v>
      </c>
      <c r="B153" s="104">
        <v>46953.1537021205</v>
      </c>
      <c r="C153" s="95">
        <v>469.5</v>
      </c>
      <c r="D153" s="96">
        <f t="shared" si="2"/>
        <v>493</v>
      </c>
    </row>
    <row r="154" spans="1:4">
      <c r="A154" s="94">
        <v>909.13</v>
      </c>
      <c r="B154" s="104">
        <v>47103.362079235201</v>
      </c>
      <c r="C154" s="95">
        <v>432.8</v>
      </c>
      <c r="D154" s="96">
        <f t="shared" si="2"/>
        <v>456.3</v>
      </c>
    </row>
    <row r="155" spans="1:4">
      <c r="A155" s="94">
        <v>911.63</v>
      </c>
      <c r="B155" s="104">
        <v>47277.047123947203</v>
      </c>
      <c r="C155" s="95">
        <v>431.9</v>
      </c>
      <c r="D155" s="96">
        <f t="shared" si="2"/>
        <v>455.4</v>
      </c>
    </row>
    <row r="156" spans="1:4">
      <c r="A156" s="94">
        <v>914.13</v>
      </c>
      <c r="B156" s="104">
        <v>47470.913615121397</v>
      </c>
      <c r="C156" s="95">
        <v>447.2</v>
      </c>
      <c r="D156" s="96">
        <f t="shared" si="2"/>
        <v>470.7</v>
      </c>
    </row>
    <row r="157" spans="1:4">
      <c r="A157" s="94">
        <v>916.63</v>
      </c>
      <c r="B157" s="104">
        <v>47656.469999906098</v>
      </c>
      <c r="C157" s="95">
        <v>438.6</v>
      </c>
      <c r="D157" s="96">
        <f t="shared" si="2"/>
        <v>462.1</v>
      </c>
    </row>
    <row r="158" spans="1:4">
      <c r="A158" s="94">
        <v>919.58</v>
      </c>
      <c r="B158" s="104">
        <v>47864.108447327897</v>
      </c>
      <c r="C158" s="95">
        <v>429.5</v>
      </c>
      <c r="D158" s="96">
        <f t="shared" si="2"/>
        <v>453</v>
      </c>
    </row>
    <row r="159" spans="1:4">
      <c r="A159" s="94">
        <v>921.63</v>
      </c>
      <c r="B159" s="104">
        <v>48006.090170481999</v>
      </c>
      <c r="C159" s="95">
        <v>433.2</v>
      </c>
      <c r="D159" s="96">
        <f t="shared" si="2"/>
        <v>456.7</v>
      </c>
    </row>
    <row r="160" spans="1:4">
      <c r="A160" s="94">
        <v>924.13</v>
      </c>
      <c r="B160" s="104">
        <v>48199.132221927997</v>
      </c>
      <c r="C160" s="95">
        <v>415.4</v>
      </c>
      <c r="D160" s="96">
        <f t="shared" si="2"/>
        <v>438.9</v>
      </c>
    </row>
    <row r="161" spans="1:4">
      <c r="A161" s="94">
        <v>926.63</v>
      </c>
      <c r="B161" s="104">
        <v>48389.197096823002</v>
      </c>
      <c r="C161" s="95">
        <v>415.4</v>
      </c>
      <c r="D161" s="96">
        <f t="shared" si="2"/>
        <v>438.9</v>
      </c>
    </row>
    <row r="162" spans="1:4">
      <c r="A162" s="94">
        <v>929.11</v>
      </c>
      <c r="B162" s="104">
        <v>48573.866063777699</v>
      </c>
      <c r="C162" s="95">
        <v>416.6</v>
      </c>
      <c r="D162" s="96">
        <f t="shared" si="2"/>
        <v>440.1</v>
      </c>
    </row>
    <row r="163" spans="1:4">
      <c r="A163" s="94">
        <v>932.11</v>
      </c>
      <c r="B163" s="104">
        <v>48848.737650984403</v>
      </c>
      <c r="C163" s="95">
        <v>446.2</v>
      </c>
      <c r="D163" s="96">
        <f t="shared" si="2"/>
        <v>469.7</v>
      </c>
    </row>
    <row r="164" spans="1:4">
      <c r="A164" s="94">
        <v>934.58</v>
      </c>
      <c r="B164" s="104">
        <v>49099.635873862702</v>
      </c>
      <c r="C164" s="95">
        <v>427.6</v>
      </c>
      <c r="D164" s="96">
        <f t="shared" si="2"/>
        <v>451.1</v>
      </c>
    </row>
    <row r="165" spans="1:4">
      <c r="A165" s="94">
        <v>937.08</v>
      </c>
      <c r="B165" s="104">
        <v>49330.120339758003</v>
      </c>
      <c r="C165" s="95">
        <v>455.9</v>
      </c>
      <c r="D165" s="96">
        <f t="shared" si="2"/>
        <v>479.4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E75C-2474-7F4A-A819-B58916AA9735}">
  <dimension ref="A1:N1128"/>
  <sheetViews>
    <sheetView zoomScale="93" workbookViewId="0">
      <selection activeCell="B14" sqref="B14:B1124"/>
    </sheetView>
  </sheetViews>
  <sheetFormatPr baseColWidth="10" defaultRowHeight="20" customHeight="1"/>
  <cols>
    <col min="1" max="1" width="9.140625" style="31" bestFit="1" customWidth="1"/>
    <col min="2" max="2" width="12" style="31" bestFit="1" customWidth="1"/>
    <col min="3" max="3" width="11.85546875" style="31" bestFit="1" customWidth="1"/>
    <col min="4" max="4" width="8.85546875" style="124" bestFit="1" customWidth="1"/>
    <col min="5" max="5" width="12.5703125" style="31" bestFit="1" customWidth="1"/>
    <col min="6" max="6" width="12" style="31" bestFit="1" customWidth="1"/>
    <col min="7" max="7" width="11.85546875" style="31" bestFit="1" customWidth="1"/>
    <col min="8" max="8" width="8.85546875" style="124" bestFit="1" customWidth="1"/>
    <col min="9" max="9" width="10.7109375" style="31"/>
    <col min="10" max="11" width="11.28515625" style="125" customWidth="1"/>
    <col min="12" max="12" width="13" style="126" bestFit="1" customWidth="1"/>
    <col min="13" max="13" width="10.7109375" style="26"/>
    <col min="14" max="16384" width="10.7109375" style="89"/>
  </cols>
  <sheetData>
    <row r="1" spans="1:14" s="90" customFormat="1" ht="20" customHeight="1">
      <c r="A1" s="99" t="s">
        <v>1076</v>
      </c>
    </row>
    <row r="2" spans="1:14" s="90" customFormat="1" ht="20" customHeight="1"/>
    <row r="3" spans="1:14" s="90" customFormat="1" ht="20" customHeight="1">
      <c r="A3" s="90" t="s">
        <v>1121</v>
      </c>
    </row>
    <row r="4" spans="1:14" s="90" customFormat="1" ht="20" customHeight="1">
      <c r="A4" s="92" t="s">
        <v>1130</v>
      </c>
    </row>
    <row r="5" spans="1:14" s="90" customFormat="1" ht="20" customHeight="1"/>
    <row r="6" spans="1:14" s="90" customFormat="1" ht="20" customHeight="1">
      <c r="A6" s="91" t="s">
        <v>1070</v>
      </c>
    </row>
    <row r="7" spans="1:14" s="90" customFormat="1" ht="20" customHeight="1">
      <c r="A7" s="90" t="s">
        <v>1071</v>
      </c>
      <c r="B7" s="90" t="s">
        <v>1072</v>
      </c>
    </row>
    <row r="8" spans="1:14" s="90" customFormat="1" ht="20" customHeight="1">
      <c r="A8" s="90" t="s">
        <v>1073</v>
      </c>
      <c r="B8" s="90" t="s">
        <v>1127</v>
      </c>
    </row>
    <row r="9" spans="1:14" s="90" customFormat="1" ht="20" customHeight="1">
      <c r="A9" s="90" t="s">
        <v>1074</v>
      </c>
      <c r="B9" s="90" t="s">
        <v>1122</v>
      </c>
    </row>
    <row r="10" spans="1:14" s="90" customFormat="1" ht="20" customHeight="1">
      <c r="A10" s="90" t="s">
        <v>1075</v>
      </c>
      <c r="B10" s="90" t="s">
        <v>1125</v>
      </c>
    </row>
    <row r="11" spans="1:14" s="90" customFormat="1" ht="20" customHeight="1">
      <c r="A11" s="90" t="s">
        <v>1080</v>
      </c>
      <c r="B11" s="90" t="s">
        <v>1123</v>
      </c>
    </row>
    <row r="13" spans="1:14" ht="52" thickBot="1">
      <c r="A13" s="115" t="s">
        <v>8</v>
      </c>
      <c r="B13" s="115" t="s">
        <v>838</v>
      </c>
      <c r="C13" s="116" t="s">
        <v>1163</v>
      </c>
      <c r="D13" s="116" t="s">
        <v>1124</v>
      </c>
      <c r="E13" s="117" t="s">
        <v>1066</v>
      </c>
      <c r="F13" s="79"/>
      <c r="G13" s="79"/>
      <c r="H13" s="80"/>
      <c r="I13" s="118"/>
      <c r="J13" s="31"/>
      <c r="K13" s="119"/>
      <c r="L13" s="119"/>
      <c r="M13" s="120"/>
      <c r="N13" s="26"/>
    </row>
    <row r="14" spans="1:14" ht="20" customHeight="1" thickTop="1">
      <c r="A14" s="121">
        <v>112.985</v>
      </c>
      <c r="B14" s="122">
        <v>256.72762925842898</v>
      </c>
      <c r="C14" s="123">
        <v>697.58944810000003</v>
      </c>
      <c r="D14" s="122">
        <v>3</v>
      </c>
      <c r="E14" s="124" t="s">
        <v>1065</v>
      </c>
      <c r="F14" s="121"/>
      <c r="G14" s="122"/>
      <c r="H14" s="123"/>
      <c r="I14" s="124"/>
      <c r="J14" s="31"/>
      <c r="L14" s="125"/>
      <c r="M14" s="126"/>
      <c r="N14" s="26"/>
    </row>
    <row r="15" spans="1:14" ht="20" customHeight="1">
      <c r="A15" s="121">
        <v>113.65</v>
      </c>
      <c r="B15" s="122">
        <v>281.82167814019999</v>
      </c>
      <c r="C15" s="123">
        <v>689.35483980000004</v>
      </c>
      <c r="D15" s="122">
        <v>3</v>
      </c>
      <c r="E15" s="124" t="s">
        <v>1065</v>
      </c>
      <c r="F15" s="121"/>
      <c r="G15" s="122"/>
      <c r="H15" s="123"/>
      <c r="I15" s="124"/>
      <c r="J15" s="31"/>
      <c r="L15" s="125"/>
      <c r="M15" s="126"/>
      <c r="N15" s="26"/>
    </row>
    <row r="16" spans="1:14" ht="20" customHeight="1">
      <c r="A16" s="121">
        <v>114.375</v>
      </c>
      <c r="B16" s="122">
        <v>309.38197098419897</v>
      </c>
      <c r="C16" s="123">
        <v>692.43421279999995</v>
      </c>
      <c r="D16" s="122">
        <v>3</v>
      </c>
      <c r="E16" s="124" t="s">
        <v>1065</v>
      </c>
      <c r="F16" s="121"/>
      <c r="G16" s="122"/>
      <c r="H16" s="123"/>
      <c r="I16" s="124"/>
      <c r="J16" s="31"/>
      <c r="L16" s="125"/>
      <c r="M16" s="126"/>
      <c r="N16" s="26"/>
    </row>
    <row r="17" spans="1:14" ht="20" customHeight="1">
      <c r="A17" s="121">
        <v>115.15</v>
      </c>
      <c r="B17" s="122">
        <v>337.9476581742</v>
      </c>
      <c r="C17" s="123">
        <v>689.06586159999904</v>
      </c>
      <c r="D17" s="122">
        <v>3</v>
      </c>
      <c r="E17" s="124" t="s">
        <v>1065</v>
      </c>
      <c r="F17" s="121"/>
      <c r="G17" s="122"/>
      <c r="H17" s="123"/>
      <c r="I17" s="124"/>
      <c r="J17" s="31"/>
      <c r="L17" s="125"/>
      <c r="M17" s="126"/>
      <c r="N17" s="26"/>
    </row>
    <row r="18" spans="1:14" ht="20" customHeight="1">
      <c r="A18" s="121">
        <v>116.45</v>
      </c>
      <c r="B18" s="122">
        <v>383.29867417915</v>
      </c>
      <c r="C18" s="123">
        <v>696.16245700000002</v>
      </c>
      <c r="D18" s="122">
        <v>3</v>
      </c>
      <c r="E18" s="124" t="s">
        <v>1065</v>
      </c>
      <c r="F18" s="121"/>
      <c r="G18" s="122"/>
      <c r="H18" s="123"/>
      <c r="I18" s="124"/>
      <c r="J18" s="31"/>
      <c r="L18" s="125"/>
      <c r="M18" s="126"/>
      <c r="N18" s="26"/>
    </row>
    <row r="19" spans="1:14" ht="20" customHeight="1">
      <c r="A19" s="121">
        <v>118.69750000000001</v>
      </c>
      <c r="B19" s="122">
        <v>466.3878934544</v>
      </c>
      <c r="C19" s="123">
        <v>691.05790130000003</v>
      </c>
      <c r="D19" s="122">
        <v>3</v>
      </c>
      <c r="E19" s="124" t="s">
        <v>1065</v>
      </c>
      <c r="F19" s="121"/>
      <c r="G19" s="122"/>
      <c r="H19" s="123"/>
      <c r="I19" s="124"/>
      <c r="J19" s="31"/>
      <c r="L19" s="125"/>
      <c r="M19" s="126"/>
      <c r="N19" s="26"/>
    </row>
    <row r="20" spans="1:14" ht="20" customHeight="1">
      <c r="A20" s="121">
        <v>119.23</v>
      </c>
      <c r="B20" s="122">
        <v>490.78632868608003</v>
      </c>
      <c r="C20" s="123">
        <v>680.68328659999997</v>
      </c>
      <c r="D20" s="122">
        <v>3</v>
      </c>
      <c r="E20" s="124" t="s">
        <v>1065</v>
      </c>
      <c r="F20" s="121"/>
      <c r="G20" s="122"/>
      <c r="H20" s="123"/>
      <c r="I20" s="124"/>
      <c r="J20" s="31"/>
      <c r="L20" s="125"/>
      <c r="M20" s="126"/>
      <c r="N20" s="26"/>
    </row>
    <row r="21" spans="1:14" ht="20" customHeight="1">
      <c r="A21" s="125">
        <v>120.24</v>
      </c>
      <c r="B21" s="127">
        <v>542.70598131771897</v>
      </c>
      <c r="C21" s="128">
        <v>686.1</v>
      </c>
      <c r="D21" s="144">
        <v>6</v>
      </c>
      <c r="E21" s="124" t="s">
        <v>1067</v>
      </c>
      <c r="F21" s="125"/>
      <c r="G21" s="125"/>
      <c r="H21" s="128"/>
      <c r="I21" s="124"/>
      <c r="J21" s="31"/>
      <c r="L21" s="125"/>
      <c r="M21" s="126"/>
      <c r="N21" s="26"/>
    </row>
    <row r="22" spans="1:14" ht="20" customHeight="1">
      <c r="A22" s="121">
        <v>120.68</v>
      </c>
      <c r="B22" s="122">
        <v>558.90494822404003</v>
      </c>
      <c r="C22" s="123">
        <v>682.69059500000003</v>
      </c>
      <c r="D22" s="122">
        <v>3</v>
      </c>
      <c r="E22" s="124" t="s">
        <v>1065</v>
      </c>
      <c r="F22" s="121"/>
      <c r="G22" s="122"/>
      <c r="H22" s="123"/>
      <c r="I22" s="124"/>
      <c r="J22" s="31"/>
      <c r="L22" s="125"/>
      <c r="M22" s="126"/>
      <c r="N22" s="26"/>
    </row>
    <row r="23" spans="1:14" ht="20" customHeight="1">
      <c r="A23" s="121">
        <v>120.84</v>
      </c>
      <c r="B23" s="122">
        <v>564.79548164452001</v>
      </c>
      <c r="C23" s="123">
        <v>681.4773864</v>
      </c>
      <c r="D23" s="122">
        <v>3</v>
      </c>
      <c r="E23" s="124" t="s">
        <v>1065</v>
      </c>
      <c r="F23" s="121"/>
      <c r="G23" s="122"/>
      <c r="H23" s="123"/>
      <c r="I23" s="124"/>
      <c r="J23" s="31"/>
      <c r="L23" s="125"/>
      <c r="M23" s="126"/>
      <c r="N23" s="26"/>
    </row>
    <row r="24" spans="1:14" ht="20" customHeight="1">
      <c r="A24" s="121">
        <v>122.22</v>
      </c>
      <c r="B24" s="122">
        <v>612.35492370367899</v>
      </c>
      <c r="C24" s="123">
        <v>683.42393919999904</v>
      </c>
      <c r="D24" s="122">
        <v>3</v>
      </c>
      <c r="E24" s="124" t="s">
        <v>1065</v>
      </c>
      <c r="F24" s="121"/>
      <c r="G24" s="122"/>
      <c r="H24" s="123"/>
      <c r="I24" s="124"/>
      <c r="J24" s="31"/>
      <c r="L24" s="125"/>
      <c r="M24" s="126"/>
      <c r="N24" s="26"/>
    </row>
    <row r="25" spans="1:14" ht="20" customHeight="1">
      <c r="A25" s="121">
        <v>122.66499999999999</v>
      </c>
      <c r="B25" s="122">
        <v>628.11185727847999</v>
      </c>
      <c r="C25" s="123">
        <v>681.60056580000003</v>
      </c>
      <c r="D25" s="122">
        <v>3</v>
      </c>
      <c r="E25" s="124" t="s">
        <v>1065</v>
      </c>
      <c r="F25" s="121"/>
      <c r="G25" s="122"/>
      <c r="H25" s="123"/>
      <c r="I25" s="124"/>
      <c r="J25" s="31"/>
      <c r="L25" s="125"/>
      <c r="M25" s="126"/>
      <c r="N25" s="26"/>
    </row>
    <row r="26" spans="1:14" ht="20" customHeight="1">
      <c r="A26" s="121">
        <v>123.34</v>
      </c>
      <c r="B26" s="122">
        <v>652.16598489813998</v>
      </c>
      <c r="C26" s="123">
        <v>681.94701989999999</v>
      </c>
      <c r="D26" s="122">
        <v>3</v>
      </c>
      <c r="E26" s="124" t="s">
        <v>1065</v>
      </c>
      <c r="F26" s="121"/>
      <c r="G26" s="122"/>
      <c r="H26" s="123"/>
      <c r="I26" s="124"/>
      <c r="J26" s="31"/>
      <c r="L26" s="125"/>
      <c r="M26" s="126"/>
      <c r="N26" s="26"/>
    </row>
    <row r="27" spans="1:14" ht="20" customHeight="1">
      <c r="A27" s="121">
        <v>125.16499999999999</v>
      </c>
      <c r="B27" s="122">
        <v>718.65874135079002</v>
      </c>
      <c r="C27" s="123">
        <v>683.54994829999998</v>
      </c>
      <c r="D27" s="122">
        <v>3</v>
      </c>
      <c r="E27" s="124" t="s">
        <v>1065</v>
      </c>
      <c r="F27" s="121"/>
      <c r="G27" s="122"/>
      <c r="H27" s="123"/>
      <c r="I27" s="124"/>
      <c r="J27" s="31"/>
      <c r="L27" s="125"/>
      <c r="M27" s="126"/>
      <c r="N27" s="26"/>
    </row>
    <row r="28" spans="1:14" ht="20" customHeight="1">
      <c r="A28" s="125">
        <v>125.33499999999999</v>
      </c>
      <c r="B28" s="127">
        <v>724.24722417657995</v>
      </c>
      <c r="C28" s="128">
        <v>679.9</v>
      </c>
      <c r="D28" s="144">
        <v>6</v>
      </c>
      <c r="E28" s="124" t="s">
        <v>1067</v>
      </c>
      <c r="F28" s="125"/>
      <c r="G28" s="125"/>
      <c r="H28" s="128"/>
      <c r="I28" s="124"/>
      <c r="J28" s="31"/>
      <c r="L28" s="125"/>
      <c r="M28" s="126"/>
      <c r="N28" s="26"/>
    </row>
    <row r="29" spans="1:14" ht="20" customHeight="1">
      <c r="A29" s="121">
        <v>126.7</v>
      </c>
      <c r="B29" s="122">
        <v>770.43165356969996</v>
      </c>
      <c r="C29" s="123">
        <v>681.47289839999996</v>
      </c>
      <c r="D29" s="122">
        <v>3</v>
      </c>
      <c r="E29" s="124" t="s">
        <v>1065</v>
      </c>
      <c r="F29" s="121"/>
      <c r="G29" s="122"/>
      <c r="H29" s="123"/>
      <c r="I29" s="124"/>
      <c r="J29" s="31"/>
      <c r="L29" s="125"/>
      <c r="M29" s="126"/>
      <c r="N29" s="26"/>
    </row>
    <row r="30" spans="1:14" ht="20" customHeight="1">
      <c r="A30" s="121">
        <v>127.16249999999999</v>
      </c>
      <c r="B30" s="122">
        <v>788.846642001399</v>
      </c>
      <c r="C30" s="123">
        <v>683.68139010000004</v>
      </c>
      <c r="D30" s="122">
        <v>3</v>
      </c>
      <c r="E30" s="124" t="s">
        <v>1065</v>
      </c>
      <c r="F30" s="121"/>
      <c r="G30" s="122"/>
      <c r="H30" s="123"/>
      <c r="I30" s="124"/>
      <c r="J30" s="31"/>
      <c r="L30" s="125"/>
      <c r="M30" s="126"/>
      <c r="N30" s="26"/>
    </row>
    <row r="31" spans="1:14" ht="20" customHeight="1">
      <c r="A31" s="121">
        <v>127.78999999999999</v>
      </c>
      <c r="B31" s="122">
        <v>820.03221521634998</v>
      </c>
      <c r="C31" s="123">
        <v>683.1385712</v>
      </c>
      <c r="D31" s="122">
        <v>3</v>
      </c>
      <c r="E31" s="124" t="s">
        <v>1065</v>
      </c>
      <c r="F31" s="121"/>
      <c r="G31" s="122"/>
      <c r="H31" s="123"/>
      <c r="I31" s="124"/>
      <c r="J31" s="31"/>
      <c r="L31" s="125"/>
      <c r="M31" s="126"/>
      <c r="N31" s="26"/>
    </row>
    <row r="32" spans="1:14" ht="20" customHeight="1">
      <c r="A32" s="121">
        <v>129.1575</v>
      </c>
      <c r="B32" s="122">
        <v>879.69635501091898</v>
      </c>
      <c r="C32" s="123">
        <v>680.98306920000005</v>
      </c>
      <c r="D32" s="122">
        <v>3</v>
      </c>
      <c r="E32" s="124" t="s">
        <v>1065</v>
      </c>
      <c r="F32" s="121"/>
      <c r="G32" s="122"/>
      <c r="H32" s="123"/>
      <c r="I32" s="124"/>
      <c r="J32" s="31"/>
      <c r="L32" s="125"/>
      <c r="M32" s="126"/>
      <c r="N32" s="26"/>
    </row>
    <row r="33" spans="1:14" ht="20" customHeight="1">
      <c r="A33" s="121">
        <v>129.67000000000002</v>
      </c>
      <c r="B33" s="122">
        <v>899.67926579703897</v>
      </c>
      <c r="C33" s="123">
        <v>679.68266300000005</v>
      </c>
      <c r="D33" s="122">
        <v>3</v>
      </c>
      <c r="E33" s="124" t="s">
        <v>1065</v>
      </c>
      <c r="F33" s="121"/>
      <c r="G33" s="122"/>
      <c r="H33" s="123"/>
      <c r="I33" s="124"/>
      <c r="J33" s="31"/>
      <c r="L33" s="125"/>
      <c r="M33" s="126"/>
      <c r="N33" s="26"/>
    </row>
    <row r="34" spans="1:14" ht="20" customHeight="1">
      <c r="A34" s="121">
        <v>130.6575</v>
      </c>
      <c r="B34" s="122">
        <v>934.09759881093896</v>
      </c>
      <c r="C34" s="123">
        <v>672.85730809999995</v>
      </c>
      <c r="D34" s="122">
        <v>3</v>
      </c>
      <c r="E34" s="124" t="s">
        <v>1065</v>
      </c>
      <c r="F34" s="121"/>
      <c r="G34" s="122"/>
      <c r="H34" s="123"/>
      <c r="I34" s="124"/>
      <c r="J34" s="31"/>
      <c r="L34" s="125"/>
      <c r="M34" s="126"/>
      <c r="N34" s="26"/>
    </row>
    <row r="35" spans="1:14" ht="20" customHeight="1">
      <c r="A35" s="125">
        <v>130.80500000000001</v>
      </c>
      <c r="B35" s="127">
        <v>938.98128387228996</v>
      </c>
      <c r="C35" s="128">
        <v>673.2</v>
      </c>
      <c r="D35" s="144">
        <v>6</v>
      </c>
      <c r="E35" s="124" t="s">
        <v>1067</v>
      </c>
      <c r="F35" s="125"/>
      <c r="G35" s="125"/>
      <c r="H35" s="128"/>
      <c r="I35" s="124"/>
      <c r="J35" s="31"/>
      <c r="L35" s="125"/>
      <c r="M35" s="126"/>
      <c r="N35" s="26"/>
    </row>
    <row r="36" spans="1:14" ht="20" customHeight="1">
      <c r="A36" s="121">
        <v>131.29</v>
      </c>
      <c r="B36" s="122">
        <v>953.89303062248905</v>
      </c>
      <c r="C36" s="123">
        <v>661.48966419999999</v>
      </c>
      <c r="D36" s="122">
        <v>3</v>
      </c>
      <c r="E36" s="124" t="s">
        <v>1065</v>
      </c>
      <c r="F36" s="121"/>
      <c r="G36" s="122"/>
      <c r="H36" s="123"/>
      <c r="I36" s="124"/>
      <c r="J36" s="31"/>
      <c r="L36" s="125"/>
      <c r="M36" s="126"/>
      <c r="N36" s="26"/>
    </row>
    <row r="37" spans="1:14" ht="20" customHeight="1">
      <c r="A37" s="121">
        <v>132.79</v>
      </c>
      <c r="B37" s="122">
        <v>999.91853698564898</v>
      </c>
      <c r="C37" s="123">
        <v>662.44121829999904</v>
      </c>
      <c r="D37" s="122">
        <v>3</v>
      </c>
      <c r="E37" s="124" t="s">
        <v>1065</v>
      </c>
      <c r="F37" s="121"/>
      <c r="G37" s="122"/>
      <c r="H37" s="123"/>
      <c r="I37" s="124"/>
      <c r="J37" s="31"/>
      <c r="L37" s="125"/>
      <c r="M37" s="126"/>
      <c r="N37" s="26"/>
    </row>
    <row r="38" spans="1:14" ht="20" customHeight="1">
      <c r="A38" s="121">
        <v>133.62</v>
      </c>
      <c r="B38" s="122">
        <v>1028.6140970691199</v>
      </c>
      <c r="C38" s="123">
        <v>653.03472390000002</v>
      </c>
      <c r="D38" s="122">
        <v>3</v>
      </c>
      <c r="E38" s="124" t="s">
        <v>1065</v>
      </c>
      <c r="F38" s="121"/>
      <c r="G38" s="122"/>
      <c r="H38" s="123"/>
      <c r="I38" s="124"/>
      <c r="J38" s="31"/>
      <c r="L38" s="125"/>
      <c r="M38" s="126"/>
      <c r="N38" s="26"/>
    </row>
    <row r="39" spans="1:14" ht="20" customHeight="1">
      <c r="A39" s="121">
        <v>134.17000000000002</v>
      </c>
      <c r="B39" s="122">
        <v>1047.9050738830899</v>
      </c>
      <c r="C39" s="123">
        <v>647.9593357</v>
      </c>
      <c r="D39" s="122">
        <v>3</v>
      </c>
      <c r="E39" s="124" t="s">
        <v>1065</v>
      </c>
      <c r="F39" s="121"/>
      <c r="G39" s="122"/>
      <c r="H39" s="123"/>
      <c r="I39" s="124"/>
      <c r="J39" s="31"/>
      <c r="L39" s="125"/>
      <c r="M39" s="126"/>
      <c r="N39" s="26"/>
    </row>
    <row r="40" spans="1:14" ht="20" customHeight="1">
      <c r="A40" s="121">
        <v>135.19999999999999</v>
      </c>
      <c r="B40" s="122">
        <v>1082.2757105092001</v>
      </c>
      <c r="C40" s="123">
        <v>653.39561630000003</v>
      </c>
      <c r="D40" s="122">
        <v>3</v>
      </c>
      <c r="E40" s="124" t="s">
        <v>1065</v>
      </c>
      <c r="F40" s="121"/>
      <c r="G40" s="122"/>
      <c r="H40" s="123"/>
      <c r="I40" s="124"/>
      <c r="J40" s="31"/>
      <c r="L40" s="125"/>
      <c r="M40" s="126"/>
      <c r="N40" s="26"/>
    </row>
    <row r="41" spans="1:14" ht="20" customHeight="1">
      <c r="A41" s="121">
        <v>135.32</v>
      </c>
      <c r="B41" s="122">
        <v>1086.13753472332</v>
      </c>
      <c r="C41" s="123">
        <v>652.79337229999999</v>
      </c>
      <c r="D41" s="122">
        <v>3</v>
      </c>
      <c r="E41" s="124" t="s">
        <v>1065</v>
      </c>
      <c r="F41" s="121"/>
      <c r="G41" s="122"/>
      <c r="H41" s="123"/>
      <c r="I41" s="124"/>
      <c r="J41" s="31"/>
      <c r="L41" s="125"/>
      <c r="M41" s="126"/>
      <c r="N41" s="26"/>
    </row>
    <row r="42" spans="1:14" ht="20" customHeight="1">
      <c r="A42" s="121">
        <v>136.34</v>
      </c>
      <c r="B42" s="122">
        <v>1118.8080797735399</v>
      </c>
      <c r="C42" s="123">
        <v>649.90377890000002</v>
      </c>
      <c r="D42" s="122">
        <v>3</v>
      </c>
      <c r="E42" s="124" t="s">
        <v>1065</v>
      </c>
      <c r="F42" s="121"/>
      <c r="G42" s="122"/>
      <c r="H42" s="123"/>
      <c r="I42" s="124"/>
      <c r="J42" s="31"/>
      <c r="L42" s="125"/>
      <c r="M42" s="126"/>
      <c r="N42" s="26"/>
    </row>
    <row r="43" spans="1:14" ht="20" customHeight="1">
      <c r="A43" s="121">
        <v>137.22</v>
      </c>
      <c r="B43" s="122">
        <v>1147.6246874599999</v>
      </c>
      <c r="C43" s="123">
        <v>652.45241380000004</v>
      </c>
      <c r="D43" s="122">
        <v>3</v>
      </c>
      <c r="E43" s="124" t="s">
        <v>1065</v>
      </c>
      <c r="F43" s="121"/>
      <c r="G43" s="122"/>
      <c r="H43" s="123"/>
      <c r="I43" s="124"/>
      <c r="J43" s="31"/>
      <c r="L43" s="125"/>
      <c r="M43" s="126"/>
      <c r="N43" s="26"/>
    </row>
    <row r="44" spans="1:14" ht="20" customHeight="1">
      <c r="A44" s="121">
        <v>137.84</v>
      </c>
      <c r="B44" s="122">
        <v>1169.8245785490001</v>
      </c>
      <c r="C44" s="123">
        <v>642.87559480000004</v>
      </c>
      <c r="D44" s="122">
        <v>3</v>
      </c>
      <c r="E44" s="124" t="s">
        <v>1065</v>
      </c>
      <c r="F44" s="121"/>
      <c r="G44" s="122"/>
      <c r="H44" s="123"/>
      <c r="I44" s="124"/>
      <c r="J44" s="31"/>
      <c r="L44" s="125"/>
      <c r="M44" s="126"/>
      <c r="N44" s="26"/>
    </row>
    <row r="45" spans="1:14" ht="20" customHeight="1">
      <c r="A45" s="121">
        <v>138.72</v>
      </c>
      <c r="B45" s="122">
        <v>1201.64125800956</v>
      </c>
      <c r="C45" s="123">
        <v>646.26967850000005</v>
      </c>
      <c r="D45" s="122">
        <v>3</v>
      </c>
      <c r="E45" s="124" t="s">
        <v>1065</v>
      </c>
      <c r="F45" s="121"/>
      <c r="G45" s="122"/>
      <c r="H45" s="123"/>
      <c r="I45" s="124"/>
      <c r="J45" s="31"/>
      <c r="L45" s="125"/>
      <c r="M45" s="126"/>
      <c r="N45" s="26"/>
    </row>
    <row r="46" spans="1:14" ht="20" customHeight="1">
      <c r="A46" s="121">
        <v>139.38</v>
      </c>
      <c r="B46" s="122">
        <v>1224.8605717408</v>
      </c>
      <c r="C46" s="123">
        <v>642.12536069999999</v>
      </c>
      <c r="D46" s="122">
        <v>3</v>
      </c>
      <c r="E46" s="124" t="s">
        <v>1065</v>
      </c>
      <c r="F46" s="121"/>
      <c r="G46" s="122"/>
      <c r="H46" s="123"/>
      <c r="I46" s="124"/>
      <c r="J46" s="31"/>
      <c r="L46" s="125"/>
      <c r="M46" s="126"/>
      <c r="N46" s="26"/>
    </row>
    <row r="47" spans="1:14" ht="20" customHeight="1">
      <c r="A47" s="121">
        <v>140.26</v>
      </c>
      <c r="B47" s="122">
        <v>1252.74144474432</v>
      </c>
      <c r="C47" s="123">
        <v>646.13096299999995</v>
      </c>
      <c r="D47" s="122">
        <v>3</v>
      </c>
      <c r="E47" s="124" t="s">
        <v>1065</v>
      </c>
      <c r="F47" s="121"/>
      <c r="G47" s="122"/>
      <c r="H47" s="123"/>
      <c r="I47" s="124"/>
      <c r="J47" s="31"/>
      <c r="L47" s="125"/>
      <c r="M47" s="126"/>
      <c r="N47" s="26"/>
    </row>
    <row r="48" spans="1:14" ht="20" customHeight="1">
      <c r="A48" s="125">
        <v>140.37</v>
      </c>
      <c r="B48" s="127">
        <v>1255.5123598948401</v>
      </c>
      <c r="C48" s="128">
        <v>639.1</v>
      </c>
      <c r="D48" s="144">
        <v>6</v>
      </c>
      <c r="E48" s="124" t="s">
        <v>1067</v>
      </c>
      <c r="F48" s="125"/>
      <c r="G48" s="125"/>
      <c r="H48" s="128"/>
      <c r="I48" s="124"/>
      <c r="J48" s="31"/>
      <c r="L48" s="125"/>
      <c r="M48" s="126"/>
      <c r="N48" s="26"/>
    </row>
    <row r="49" spans="1:14" ht="20" customHeight="1">
      <c r="A49" s="121">
        <v>140.88</v>
      </c>
      <c r="B49" s="122">
        <v>1268.35933013816</v>
      </c>
      <c r="C49" s="123">
        <v>640.66370589999997</v>
      </c>
      <c r="D49" s="122">
        <v>3</v>
      </c>
      <c r="E49" s="124" t="s">
        <v>1065</v>
      </c>
      <c r="F49" s="121"/>
      <c r="G49" s="122"/>
      <c r="H49" s="123"/>
      <c r="I49" s="124"/>
      <c r="J49" s="31"/>
      <c r="L49" s="125"/>
      <c r="M49" s="126"/>
      <c r="N49" s="26"/>
    </row>
    <row r="50" spans="1:14" ht="20" customHeight="1">
      <c r="A50" s="121">
        <v>142.26</v>
      </c>
      <c r="B50" s="122">
        <v>1308.35312275454</v>
      </c>
      <c r="C50" s="123">
        <v>651.44288310000002</v>
      </c>
      <c r="D50" s="122">
        <v>3</v>
      </c>
      <c r="E50" s="124" t="s">
        <v>1065</v>
      </c>
      <c r="F50" s="121"/>
      <c r="G50" s="122"/>
      <c r="H50" s="123"/>
      <c r="I50" s="124"/>
      <c r="J50" s="31"/>
      <c r="L50" s="125"/>
      <c r="M50" s="126"/>
      <c r="N50" s="26"/>
    </row>
    <row r="51" spans="1:14" ht="20" customHeight="1">
      <c r="A51" s="121">
        <v>142.71249999999998</v>
      </c>
      <c r="B51" s="122">
        <v>1321.88660398259</v>
      </c>
      <c r="C51" s="123">
        <v>645.17020339999999</v>
      </c>
      <c r="D51" s="122">
        <v>3</v>
      </c>
      <c r="E51" s="124" t="s">
        <v>1065</v>
      </c>
      <c r="F51" s="121"/>
      <c r="G51" s="122"/>
      <c r="H51" s="123"/>
      <c r="I51" s="124"/>
      <c r="J51" s="31"/>
      <c r="L51" s="125"/>
      <c r="M51" s="126"/>
      <c r="N51" s="26"/>
    </row>
    <row r="52" spans="1:14" ht="20" customHeight="1">
      <c r="A52" s="121">
        <v>142.88</v>
      </c>
      <c r="B52" s="122">
        <v>1326.9992524465199</v>
      </c>
      <c r="C52" s="123">
        <v>645.67476469999997</v>
      </c>
      <c r="D52" s="122">
        <v>3</v>
      </c>
      <c r="E52" s="124" t="s">
        <v>1065</v>
      </c>
      <c r="F52" s="121"/>
      <c r="G52" s="122"/>
      <c r="H52" s="123"/>
      <c r="I52" s="124"/>
      <c r="J52" s="31"/>
      <c r="L52" s="125"/>
      <c r="M52" s="126"/>
      <c r="N52" s="26"/>
    </row>
    <row r="53" spans="1:14" ht="20" customHeight="1">
      <c r="A53" s="121">
        <v>144.60250000000002</v>
      </c>
      <c r="B53" s="122">
        <v>1390.259865941</v>
      </c>
      <c r="C53" s="123">
        <v>650.03925240000001</v>
      </c>
      <c r="D53" s="122">
        <v>3</v>
      </c>
      <c r="E53" s="124" t="s">
        <v>1065</v>
      </c>
      <c r="F53" s="121"/>
      <c r="G53" s="122"/>
      <c r="H53" s="123"/>
      <c r="I53" s="124"/>
      <c r="J53" s="31"/>
      <c r="L53" s="125"/>
      <c r="M53" s="126"/>
      <c r="N53" s="26"/>
    </row>
    <row r="54" spans="1:14" ht="20" customHeight="1">
      <c r="A54" s="121">
        <v>145.67000000000002</v>
      </c>
      <c r="B54" s="122">
        <v>1430.6270812959101</v>
      </c>
      <c r="C54" s="123">
        <v>640.23463819999904</v>
      </c>
      <c r="D54" s="122">
        <v>3</v>
      </c>
      <c r="E54" s="124" t="s">
        <v>1065</v>
      </c>
      <c r="F54" s="121"/>
      <c r="G54" s="122"/>
      <c r="H54" s="123"/>
      <c r="I54" s="124"/>
      <c r="J54" s="31"/>
      <c r="L54" s="125"/>
      <c r="M54" s="126"/>
      <c r="N54" s="26"/>
    </row>
    <row r="55" spans="1:14" ht="20" customHeight="1">
      <c r="A55" s="121">
        <v>145.83000000000001</v>
      </c>
      <c r="B55" s="122">
        <v>1436.6134355480799</v>
      </c>
      <c r="C55" s="123">
        <v>642.75803770000005</v>
      </c>
      <c r="D55" s="122">
        <v>3</v>
      </c>
      <c r="E55" s="124" t="s">
        <v>1065</v>
      </c>
      <c r="F55" s="121"/>
      <c r="G55" s="122"/>
      <c r="H55" s="123"/>
      <c r="I55" s="124"/>
      <c r="J55" s="31"/>
      <c r="L55" s="125"/>
      <c r="M55" s="126"/>
      <c r="N55" s="26"/>
    </row>
    <row r="56" spans="1:14" ht="20" customHeight="1">
      <c r="A56" s="121">
        <v>147.32999999999998</v>
      </c>
      <c r="B56" s="122">
        <v>1494.6624995463601</v>
      </c>
      <c r="C56" s="123">
        <v>636.27572599999996</v>
      </c>
      <c r="D56" s="122">
        <v>3</v>
      </c>
      <c r="E56" s="124" t="s">
        <v>1065</v>
      </c>
      <c r="F56" s="121"/>
      <c r="G56" s="122"/>
      <c r="H56" s="123"/>
      <c r="I56" s="124"/>
      <c r="J56" s="31"/>
      <c r="L56" s="125"/>
      <c r="M56" s="126"/>
      <c r="N56" s="26"/>
    </row>
    <row r="57" spans="1:14" ht="20" customHeight="1">
      <c r="A57" s="121">
        <v>148.65</v>
      </c>
      <c r="B57" s="122">
        <v>1551.51312994465</v>
      </c>
      <c r="C57" s="123">
        <v>635.88318330000004</v>
      </c>
      <c r="D57" s="122">
        <v>3</v>
      </c>
      <c r="E57" s="124" t="s">
        <v>1065</v>
      </c>
      <c r="F57" s="121"/>
      <c r="G57" s="122"/>
      <c r="H57" s="123"/>
      <c r="I57" s="124"/>
      <c r="J57" s="31"/>
      <c r="L57" s="125"/>
      <c r="M57" s="126"/>
      <c r="N57" s="26"/>
    </row>
    <row r="58" spans="1:14" ht="20" customHeight="1">
      <c r="A58" s="121">
        <v>149.66</v>
      </c>
      <c r="B58" s="122">
        <v>1591.52121023008</v>
      </c>
      <c r="C58" s="123">
        <v>642.09029269999996</v>
      </c>
      <c r="D58" s="122">
        <v>3</v>
      </c>
      <c r="E58" s="124" t="s">
        <v>1065</v>
      </c>
      <c r="F58" s="121"/>
      <c r="G58" s="122"/>
      <c r="H58" s="123"/>
      <c r="I58" s="124"/>
      <c r="J58" s="31"/>
      <c r="L58" s="125"/>
      <c r="M58" s="126"/>
      <c r="N58" s="26"/>
    </row>
    <row r="59" spans="1:14" ht="20" customHeight="1">
      <c r="A59" s="125">
        <v>149.78</v>
      </c>
      <c r="B59" s="127">
        <v>1596.1436544426399</v>
      </c>
      <c r="C59" s="128">
        <v>637</v>
      </c>
      <c r="D59" s="144">
        <v>6</v>
      </c>
      <c r="E59" s="124" t="s">
        <v>1067</v>
      </c>
      <c r="F59" s="125"/>
      <c r="G59" s="125"/>
      <c r="H59" s="128"/>
      <c r="I59" s="124"/>
      <c r="J59" s="31"/>
      <c r="L59" s="125"/>
      <c r="M59" s="126"/>
      <c r="N59" s="26"/>
    </row>
    <row r="60" spans="1:14" ht="20" customHeight="1">
      <c r="A60" s="121">
        <v>150.85124999999999</v>
      </c>
      <c r="B60" s="122">
        <v>1636.5871911321001</v>
      </c>
      <c r="C60" s="123">
        <v>636.52712429999997</v>
      </c>
      <c r="D60" s="122">
        <v>3</v>
      </c>
      <c r="E60" s="124" t="s">
        <v>1065</v>
      </c>
      <c r="F60" s="121"/>
      <c r="G60" s="122"/>
      <c r="H60" s="123"/>
      <c r="I60" s="124"/>
      <c r="J60" s="31"/>
      <c r="L60" s="125"/>
      <c r="M60" s="126"/>
      <c r="N60" s="26"/>
    </row>
    <row r="61" spans="1:14" ht="20" customHeight="1">
      <c r="A61" s="121">
        <v>152.66</v>
      </c>
      <c r="B61" s="122">
        <v>1697.7312601153999</v>
      </c>
      <c r="C61" s="123">
        <v>637.23128159999999</v>
      </c>
      <c r="D61" s="122">
        <v>3</v>
      </c>
      <c r="E61" s="124" t="s">
        <v>1065</v>
      </c>
      <c r="F61" s="121"/>
      <c r="G61" s="122"/>
      <c r="H61" s="123"/>
      <c r="I61" s="124"/>
      <c r="J61" s="31"/>
      <c r="L61" s="125"/>
      <c r="M61" s="126"/>
      <c r="N61" s="26"/>
    </row>
    <row r="62" spans="1:14" ht="20" customHeight="1">
      <c r="A62" s="121">
        <v>155.28</v>
      </c>
      <c r="B62" s="122">
        <v>1809.79650336488</v>
      </c>
      <c r="C62" s="123">
        <v>635.02741260000005</v>
      </c>
      <c r="D62" s="122">
        <v>3</v>
      </c>
      <c r="E62" s="124" t="s">
        <v>1065</v>
      </c>
      <c r="F62" s="121"/>
      <c r="G62" s="122"/>
      <c r="H62" s="123"/>
      <c r="I62" s="124"/>
      <c r="J62" s="31"/>
      <c r="L62" s="125"/>
      <c r="M62" s="126"/>
      <c r="N62" s="26"/>
    </row>
    <row r="63" spans="1:14" ht="20" customHeight="1">
      <c r="A63" s="121">
        <v>157.75</v>
      </c>
      <c r="B63" s="122">
        <v>1917.5146462754999</v>
      </c>
      <c r="C63" s="123">
        <v>617.50795419999997</v>
      </c>
      <c r="D63" s="122">
        <v>3</v>
      </c>
      <c r="E63" s="124" t="s">
        <v>1065</v>
      </c>
      <c r="F63" s="121"/>
      <c r="G63" s="122"/>
      <c r="H63" s="123"/>
      <c r="I63" s="124"/>
      <c r="J63" s="31"/>
      <c r="L63" s="125"/>
      <c r="M63" s="126"/>
      <c r="N63" s="26"/>
    </row>
    <row r="64" spans="1:14" ht="20" customHeight="1">
      <c r="A64" s="121">
        <v>158.27000000000001</v>
      </c>
      <c r="B64" s="122">
        <v>1938.1725870069299</v>
      </c>
      <c r="C64" s="123">
        <v>623.18025809999904</v>
      </c>
      <c r="D64" s="122">
        <v>3</v>
      </c>
      <c r="E64" s="124" t="s">
        <v>1065</v>
      </c>
      <c r="F64" s="121"/>
      <c r="G64" s="122"/>
      <c r="H64" s="123"/>
      <c r="I64" s="124"/>
      <c r="J64" s="31"/>
      <c r="L64" s="125"/>
      <c r="M64" s="126"/>
      <c r="N64" s="26"/>
    </row>
    <row r="65" spans="1:14" ht="20" customHeight="1">
      <c r="A65" s="121">
        <v>158.38999999999999</v>
      </c>
      <c r="B65" s="122">
        <v>1942.84400028201</v>
      </c>
      <c r="C65" s="123">
        <v>625.81012599999997</v>
      </c>
      <c r="D65" s="122">
        <v>3</v>
      </c>
      <c r="E65" s="124" t="s">
        <v>1065</v>
      </c>
      <c r="F65" s="121"/>
      <c r="G65" s="122"/>
      <c r="H65" s="123"/>
      <c r="I65" s="124"/>
      <c r="J65" s="31"/>
      <c r="L65" s="125"/>
      <c r="M65" s="126"/>
      <c r="N65" s="26"/>
    </row>
    <row r="66" spans="1:14" ht="20" customHeight="1">
      <c r="A66" s="121">
        <v>159.655</v>
      </c>
      <c r="B66" s="122">
        <v>1987.0913785001201</v>
      </c>
      <c r="C66" s="123">
        <v>616.09198419999996</v>
      </c>
      <c r="D66" s="122">
        <v>3</v>
      </c>
      <c r="E66" s="124" t="s">
        <v>1065</v>
      </c>
      <c r="F66" s="121"/>
      <c r="G66" s="122"/>
      <c r="H66" s="123"/>
      <c r="I66" s="124"/>
      <c r="J66" s="31"/>
      <c r="L66" s="125"/>
      <c r="M66" s="126"/>
      <c r="N66" s="26"/>
    </row>
    <row r="67" spans="1:14" ht="20" customHeight="1">
      <c r="A67" s="121">
        <v>160.61000000000001</v>
      </c>
      <c r="B67" s="122">
        <v>2016.91189346705</v>
      </c>
      <c r="C67" s="123">
        <v>617.1522281</v>
      </c>
      <c r="D67" s="122">
        <v>3</v>
      </c>
      <c r="E67" s="124" t="s">
        <v>1065</v>
      </c>
      <c r="F67" s="121"/>
      <c r="G67" s="122"/>
      <c r="H67" s="123"/>
      <c r="I67" s="124"/>
      <c r="J67" s="31"/>
      <c r="L67" s="125"/>
      <c r="M67" s="126"/>
      <c r="N67" s="26"/>
    </row>
    <row r="68" spans="1:14" ht="20" customHeight="1">
      <c r="A68" s="121">
        <v>161.745</v>
      </c>
      <c r="B68" s="122">
        <v>2055.15348989525</v>
      </c>
      <c r="C68" s="123">
        <v>616.96249739999996</v>
      </c>
      <c r="D68" s="122">
        <v>3</v>
      </c>
      <c r="E68" s="124" t="s">
        <v>1065</v>
      </c>
      <c r="F68" s="121"/>
      <c r="G68" s="122"/>
      <c r="H68" s="123"/>
      <c r="I68" s="124"/>
      <c r="J68" s="31"/>
      <c r="L68" s="125"/>
      <c r="M68" s="126"/>
      <c r="N68" s="26"/>
    </row>
    <row r="69" spans="1:14" ht="20" customHeight="1">
      <c r="A69" s="121">
        <v>162.6225</v>
      </c>
      <c r="B69" s="122">
        <v>2084.8599824641801</v>
      </c>
      <c r="C69" s="123">
        <v>612.23742719999996</v>
      </c>
      <c r="D69" s="122">
        <v>3</v>
      </c>
      <c r="E69" s="124" t="s">
        <v>1065</v>
      </c>
      <c r="F69" s="121"/>
      <c r="G69" s="122"/>
      <c r="H69" s="123"/>
      <c r="I69" s="124"/>
      <c r="J69" s="31"/>
      <c r="L69" s="125"/>
      <c r="M69" s="126"/>
      <c r="N69" s="26"/>
    </row>
    <row r="70" spans="1:14" ht="20" customHeight="1">
      <c r="A70" s="121">
        <v>163.63</v>
      </c>
      <c r="B70" s="122">
        <v>2116.02316183634</v>
      </c>
      <c r="C70" s="123">
        <v>616.54295930000001</v>
      </c>
      <c r="D70" s="122">
        <v>3</v>
      </c>
      <c r="E70" s="124" t="s">
        <v>1065</v>
      </c>
      <c r="F70" s="121"/>
      <c r="G70" s="122"/>
      <c r="H70" s="123"/>
      <c r="I70" s="124"/>
      <c r="J70" s="31"/>
      <c r="L70" s="125"/>
      <c r="M70" s="126"/>
      <c r="N70" s="26"/>
    </row>
    <row r="71" spans="1:14" ht="20" customHeight="1">
      <c r="A71" s="121">
        <v>164.07749999999999</v>
      </c>
      <c r="B71" s="122">
        <v>2128.9587784812002</v>
      </c>
      <c r="C71" s="123">
        <v>611.24080670000001</v>
      </c>
      <c r="D71" s="122">
        <v>3</v>
      </c>
      <c r="E71" s="124" t="s">
        <v>1065</v>
      </c>
      <c r="F71" s="121"/>
      <c r="G71" s="122"/>
      <c r="H71" s="123"/>
      <c r="I71" s="124"/>
      <c r="J71" s="31"/>
      <c r="L71" s="125"/>
      <c r="M71" s="126"/>
      <c r="N71" s="26"/>
    </row>
    <row r="72" spans="1:14" ht="20" customHeight="1">
      <c r="A72" s="121">
        <v>164.63</v>
      </c>
      <c r="B72" s="122">
        <v>2144.1904765919498</v>
      </c>
      <c r="C72" s="123">
        <v>615.2336626</v>
      </c>
      <c r="D72" s="122">
        <v>3</v>
      </c>
      <c r="E72" s="124" t="s">
        <v>1065</v>
      </c>
      <c r="F72" s="121"/>
      <c r="G72" s="122"/>
      <c r="H72" s="123"/>
      <c r="I72" s="124"/>
      <c r="J72" s="31"/>
      <c r="L72" s="125"/>
      <c r="M72" s="126"/>
      <c r="N72" s="26"/>
    </row>
    <row r="73" spans="1:14" ht="20" customHeight="1">
      <c r="A73" s="125">
        <v>165.14</v>
      </c>
      <c r="B73" s="127">
        <v>2158.0391833406202</v>
      </c>
      <c r="C73" s="128">
        <v>610.29999999999995</v>
      </c>
      <c r="D73" s="144">
        <v>6</v>
      </c>
      <c r="E73" s="124" t="s">
        <v>1067</v>
      </c>
      <c r="F73" s="125"/>
      <c r="G73" s="125"/>
      <c r="H73" s="128"/>
      <c r="I73" s="124"/>
      <c r="J73" s="31"/>
      <c r="L73" s="125"/>
      <c r="M73" s="126"/>
      <c r="N73" s="26"/>
    </row>
    <row r="74" spans="1:14" ht="20" customHeight="1">
      <c r="A74" s="121">
        <v>165.75</v>
      </c>
      <c r="B74" s="122">
        <v>2173.73329828325</v>
      </c>
      <c r="C74" s="123">
        <v>610.54227560000004</v>
      </c>
      <c r="D74" s="122">
        <v>3</v>
      </c>
      <c r="E74" s="124" t="s">
        <v>1065</v>
      </c>
      <c r="F74" s="121"/>
      <c r="G74" s="122"/>
      <c r="H74" s="123"/>
      <c r="I74" s="124"/>
      <c r="J74" s="31"/>
      <c r="L74" s="125"/>
      <c r="M74" s="126"/>
      <c r="N74" s="26"/>
    </row>
    <row r="75" spans="1:14" ht="20" customHeight="1">
      <c r="A75" s="121">
        <v>166.63124999999999</v>
      </c>
      <c r="B75" s="122">
        <v>2202.9956877846898</v>
      </c>
      <c r="C75" s="123">
        <v>610.19587999999999</v>
      </c>
      <c r="D75" s="122">
        <v>3</v>
      </c>
      <c r="E75" s="124" t="s">
        <v>1065</v>
      </c>
      <c r="F75" s="121"/>
      <c r="G75" s="122"/>
      <c r="H75" s="123"/>
      <c r="I75" s="124"/>
      <c r="J75" s="31"/>
      <c r="L75" s="125"/>
      <c r="M75" s="126"/>
      <c r="N75" s="26"/>
    </row>
    <row r="76" spans="1:14" ht="20" customHeight="1">
      <c r="A76" s="121">
        <v>166.75</v>
      </c>
      <c r="B76" s="122">
        <v>2207.3443306762501</v>
      </c>
      <c r="C76" s="123">
        <v>612.92735300000004</v>
      </c>
      <c r="D76" s="122">
        <v>3</v>
      </c>
      <c r="E76" s="124" t="s">
        <v>1065</v>
      </c>
      <c r="F76" s="121"/>
      <c r="G76" s="122"/>
      <c r="H76" s="123"/>
      <c r="I76" s="124"/>
      <c r="J76" s="31"/>
      <c r="L76" s="125"/>
      <c r="M76" s="126"/>
      <c r="N76" s="26"/>
    </row>
    <row r="77" spans="1:14" ht="20" customHeight="1">
      <c r="A77" s="121">
        <v>167.71</v>
      </c>
      <c r="B77" s="122">
        <v>2242.4181289725898</v>
      </c>
      <c r="C77" s="123">
        <v>612.24917059999996</v>
      </c>
      <c r="D77" s="122">
        <v>3</v>
      </c>
      <c r="E77" s="124" t="s">
        <v>1065</v>
      </c>
      <c r="F77" s="121"/>
      <c r="G77" s="122"/>
      <c r="H77" s="123"/>
      <c r="I77" s="124"/>
      <c r="J77" s="31"/>
      <c r="L77" s="125"/>
      <c r="M77" s="126"/>
      <c r="N77" s="26"/>
    </row>
    <row r="78" spans="1:14" ht="20" customHeight="1">
      <c r="A78" s="121">
        <v>168.60000000000002</v>
      </c>
      <c r="B78" s="122">
        <v>2274.1140725536002</v>
      </c>
      <c r="C78" s="123">
        <v>613.98422540000001</v>
      </c>
      <c r="D78" s="122">
        <v>3</v>
      </c>
      <c r="E78" s="124" t="s">
        <v>1065</v>
      </c>
      <c r="F78" s="121"/>
      <c r="G78" s="122"/>
      <c r="H78" s="123"/>
      <c r="I78" s="124"/>
      <c r="J78" s="31"/>
      <c r="L78" s="125"/>
      <c r="M78" s="126"/>
      <c r="N78" s="26"/>
    </row>
    <row r="79" spans="1:14" ht="20" customHeight="1">
      <c r="A79" s="121">
        <v>168.71</v>
      </c>
      <c r="B79" s="122">
        <v>2277.9769894241599</v>
      </c>
      <c r="C79" s="123">
        <v>610.96542629999999</v>
      </c>
      <c r="D79" s="122">
        <v>3</v>
      </c>
      <c r="E79" s="124" t="s">
        <v>1065</v>
      </c>
      <c r="F79" s="121"/>
      <c r="G79" s="122"/>
      <c r="H79" s="123"/>
      <c r="I79" s="124"/>
      <c r="J79" s="31"/>
      <c r="L79" s="125"/>
      <c r="M79" s="126"/>
      <c r="N79" s="26"/>
    </row>
    <row r="80" spans="1:14" ht="20" customHeight="1">
      <c r="A80" s="121">
        <v>169.71</v>
      </c>
      <c r="B80" s="122">
        <v>2311.98834205495</v>
      </c>
      <c r="C80" s="123">
        <v>610.75377920000005</v>
      </c>
      <c r="D80" s="122">
        <v>3</v>
      </c>
      <c r="E80" s="124" t="s">
        <v>1065</v>
      </c>
      <c r="F80" s="121"/>
      <c r="G80" s="122"/>
      <c r="H80" s="123"/>
      <c r="I80" s="124"/>
      <c r="J80" s="31"/>
      <c r="L80" s="125"/>
      <c r="M80" s="126"/>
      <c r="N80" s="26"/>
    </row>
    <row r="81" spans="1:14" ht="20" customHeight="1">
      <c r="A81" s="121">
        <v>170.55500000000001</v>
      </c>
      <c r="B81" s="122">
        <v>2338.9023938119599</v>
      </c>
      <c r="C81" s="123">
        <v>606.57592439999996</v>
      </c>
      <c r="D81" s="122">
        <v>3</v>
      </c>
      <c r="E81" s="124" t="s">
        <v>1065</v>
      </c>
      <c r="F81" s="121"/>
      <c r="G81" s="122"/>
      <c r="H81" s="123"/>
      <c r="I81" s="124"/>
      <c r="J81" s="31"/>
      <c r="L81" s="125"/>
      <c r="M81" s="126"/>
      <c r="N81" s="26"/>
    </row>
    <row r="82" spans="1:14" ht="20" customHeight="1">
      <c r="A82" s="121">
        <v>171.21</v>
      </c>
      <c r="B82" s="122">
        <v>2359.4988309292198</v>
      </c>
      <c r="C82" s="123">
        <v>609.64229250000005</v>
      </c>
      <c r="D82" s="122">
        <v>3</v>
      </c>
      <c r="E82" s="124" t="s">
        <v>1065</v>
      </c>
      <c r="F82" s="121"/>
      <c r="G82" s="122"/>
      <c r="H82" s="123"/>
      <c r="I82" s="124"/>
      <c r="J82" s="31"/>
      <c r="L82" s="125"/>
      <c r="M82" s="126"/>
      <c r="N82" s="26"/>
    </row>
    <row r="83" spans="1:14" ht="20" customHeight="1">
      <c r="A83" s="121">
        <v>173.04000000000002</v>
      </c>
      <c r="B83" s="122">
        <v>2425.5953007904</v>
      </c>
      <c r="C83" s="123">
        <v>605.18090540000003</v>
      </c>
      <c r="D83" s="122">
        <v>3</v>
      </c>
      <c r="E83" s="124" t="s">
        <v>1065</v>
      </c>
      <c r="F83" s="121"/>
      <c r="G83" s="122"/>
      <c r="H83" s="123"/>
      <c r="I83" s="124"/>
      <c r="J83" s="31"/>
      <c r="L83" s="125"/>
      <c r="M83" s="126"/>
      <c r="N83" s="26"/>
    </row>
    <row r="84" spans="1:14" ht="20" customHeight="1">
      <c r="A84" s="121">
        <v>173.68</v>
      </c>
      <c r="B84" s="122">
        <v>2443.3178499967999</v>
      </c>
      <c r="C84" s="123">
        <v>600.59790780000003</v>
      </c>
      <c r="D84" s="122">
        <v>3</v>
      </c>
      <c r="E84" s="124" t="s">
        <v>1065</v>
      </c>
      <c r="F84" s="121"/>
      <c r="G84" s="122"/>
      <c r="H84" s="123"/>
      <c r="I84" s="124"/>
      <c r="J84" s="31"/>
      <c r="L84" s="125"/>
      <c r="M84" s="126"/>
      <c r="N84" s="26"/>
    </row>
    <row r="85" spans="1:14" ht="20" customHeight="1">
      <c r="A85" s="121">
        <v>174.53</v>
      </c>
      <c r="B85" s="122">
        <v>2466.78299539812</v>
      </c>
      <c r="C85" s="123">
        <v>601.59854910000001</v>
      </c>
      <c r="D85" s="122">
        <v>3</v>
      </c>
      <c r="E85" s="124" t="s">
        <v>1065</v>
      </c>
      <c r="F85" s="121"/>
      <c r="G85" s="122"/>
      <c r="H85" s="123"/>
      <c r="I85" s="124"/>
      <c r="J85" s="31"/>
      <c r="L85" s="125"/>
      <c r="M85" s="126"/>
      <c r="N85" s="26"/>
    </row>
    <row r="86" spans="1:14" ht="20" customHeight="1">
      <c r="A86" s="121">
        <v>174.68</v>
      </c>
      <c r="B86" s="122">
        <v>2470.9161663787199</v>
      </c>
      <c r="C86" s="123">
        <v>595.77302180000004</v>
      </c>
      <c r="D86" s="122">
        <v>3</v>
      </c>
      <c r="E86" s="124" t="s">
        <v>1065</v>
      </c>
      <c r="F86" s="121"/>
      <c r="G86" s="122"/>
      <c r="H86" s="123"/>
      <c r="I86" s="124"/>
      <c r="J86" s="31"/>
      <c r="L86" s="125"/>
      <c r="M86" s="126"/>
      <c r="N86" s="26"/>
    </row>
    <row r="87" spans="1:14" ht="20" customHeight="1">
      <c r="A87" s="121">
        <v>175.98500000000001</v>
      </c>
      <c r="B87" s="122">
        <v>2508.7004271967098</v>
      </c>
      <c r="C87" s="123">
        <v>605.03220350000004</v>
      </c>
      <c r="D87" s="122">
        <v>3</v>
      </c>
      <c r="E87" s="124" t="s">
        <v>1065</v>
      </c>
      <c r="F87" s="121"/>
      <c r="G87" s="122"/>
      <c r="H87" s="123"/>
      <c r="I87" s="124"/>
      <c r="J87" s="31"/>
      <c r="L87" s="125"/>
      <c r="M87" s="126"/>
      <c r="N87" s="26"/>
    </row>
    <row r="88" spans="1:14" ht="20" customHeight="1">
      <c r="A88" s="121">
        <v>177.11</v>
      </c>
      <c r="B88" s="122">
        <v>2542.6913996425101</v>
      </c>
      <c r="C88" s="123">
        <v>597.75207590000002</v>
      </c>
      <c r="D88" s="122">
        <v>3</v>
      </c>
      <c r="E88" s="124" t="s">
        <v>1065</v>
      </c>
      <c r="F88" s="121"/>
      <c r="G88" s="122"/>
      <c r="H88" s="123"/>
      <c r="I88" s="124"/>
      <c r="J88" s="31"/>
      <c r="L88" s="125"/>
      <c r="M88" s="126"/>
      <c r="N88" s="26"/>
    </row>
    <row r="89" spans="1:14" ht="20" customHeight="1">
      <c r="A89" s="121">
        <v>177.95749999999998</v>
      </c>
      <c r="B89" s="122">
        <v>2574.5267226123601</v>
      </c>
      <c r="C89" s="123">
        <v>599.8447678</v>
      </c>
      <c r="D89" s="122">
        <v>3</v>
      </c>
      <c r="E89" s="124" t="s">
        <v>1065</v>
      </c>
      <c r="F89" s="121"/>
      <c r="G89" s="122"/>
      <c r="H89" s="123"/>
      <c r="I89" s="124"/>
      <c r="J89" s="31"/>
      <c r="L89" s="125"/>
      <c r="M89" s="126"/>
      <c r="N89" s="26"/>
    </row>
    <row r="90" spans="1:14" ht="20" customHeight="1">
      <c r="A90" s="121">
        <v>178.61500000000001</v>
      </c>
      <c r="B90" s="122">
        <v>2603.4995367035799</v>
      </c>
      <c r="C90" s="123">
        <v>600.79944639999997</v>
      </c>
      <c r="D90" s="122">
        <v>3</v>
      </c>
      <c r="E90" s="124" t="s">
        <v>1065</v>
      </c>
      <c r="F90" s="121"/>
      <c r="G90" s="122"/>
      <c r="H90" s="123"/>
      <c r="I90" s="124"/>
      <c r="J90" s="31"/>
      <c r="L90" s="125"/>
      <c r="M90" s="126"/>
      <c r="N90" s="26"/>
    </row>
    <row r="91" spans="1:14" ht="20" customHeight="1">
      <c r="A91" s="121">
        <v>179.25</v>
      </c>
      <c r="B91" s="122">
        <v>2632.3419773022501</v>
      </c>
      <c r="C91" s="123">
        <v>601.19571840000003</v>
      </c>
      <c r="D91" s="122">
        <v>3</v>
      </c>
      <c r="E91" s="124" t="s">
        <v>1065</v>
      </c>
      <c r="F91" s="121"/>
      <c r="G91" s="122"/>
      <c r="H91" s="123"/>
      <c r="I91" s="124"/>
      <c r="J91" s="31"/>
      <c r="L91" s="125"/>
      <c r="M91" s="126"/>
      <c r="N91" s="26"/>
    </row>
    <row r="92" spans="1:14" ht="20" customHeight="1">
      <c r="A92" s="125">
        <v>180.01499999999999</v>
      </c>
      <c r="B92" s="127">
        <v>2669.2321644170202</v>
      </c>
      <c r="C92" s="128">
        <v>604.79999999999995</v>
      </c>
      <c r="D92" s="144">
        <v>6</v>
      </c>
      <c r="E92" s="124" t="s">
        <v>1067</v>
      </c>
      <c r="F92" s="125"/>
      <c r="G92" s="125"/>
      <c r="H92" s="128"/>
      <c r="I92" s="124"/>
      <c r="J92" s="31"/>
      <c r="L92" s="125"/>
      <c r="M92" s="126"/>
      <c r="N92" s="26"/>
    </row>
    <row r="93" spans="1:14" ht="20" customHeight="1">
      <c r="A93" s="121">
        <v>180.63</v>
      </c>
      <c r="B93" s="122">
        <v>2696.0974064921302</v>
      </c>
      <c r="C93" s="123">
        <v>599.02190499999904</v>
      </c>
      <c r="D93" s="122">
        <v>3</v>
      </c>
      <c r="E93" s="124" t="s">
        <v>1065</v>
      </c>
      <c r="F93" s="121"/>
      <c r="G93" s="122"/>
      <c r="H93" s="123"/>
      <c r="I93" s="124"/>
      <c r="J93" s="31"/>
      <c r="L93" s="125"/>
      <c r="M93" s="126"/>
      <c r="N93" s="26"/>
    </row>
    <row r="94" spans="1:14" ht="20" customHeight="1">
      <c r="A94" s="121">
        <v>181.94749999999999</v>
      </c>
      <c r="B94" s="122">
        <v>2746.7866710041499</v>
      </c>
      <c r="C94" s="123">
        <v>595.53896280000004</v>
      </c>
      <c r="D94" s="122">
        <v>3</v>
      </c>
      <c r="E94" s="124" t="s">
        <v>1065</v>
      </c>
      <c r="F94" s="121"/>
      <c r="G94" s="122"/>
      <c r="H94" s="123"/>
      <c r="I94" s="124"/>
      <c r="J94" s="31"/>
      <c r="L94" s="125"/>
      <c r="M94" s="126"/>
      <c r="N94" s="26"/>
    </row>
    <row r="95" spans="1:14" ht="20" customHeight="1">
      <c r="A95" s="121">
        <v>182.39</v>
      </c>
      <c r="B95" s="122">
        <v>2760.4523378727099</v>
      </c>
      <c r="C95" s="123">
        <v>598.52487180000003</v>
      </c>
      <c r="D95" s="122">
        <v>3</v>
      </c>
      <c r="E95" s="124" t="s">
        <v>1065</v>
      </c>
      <c r="F95" s="121"/>
      <c r="G95" s="122"/>
      <c r="H95" s="123"/>
      <c r="I95" s="124"/>
      <c r="J95" s="31"/>
      <c r="L95" s="125"/>
      <c r="M95" s="126"/>
      <c r="N95" s="26"/>
    </row>
    <row r="96" spans="1:14" ht="20" customHeight="1">
      <c r="A96" s="121">
        <v>183.13</v>
      </c>
      <c r="B96" s="122">
        <v>2782.7701076878102</v>
      </c>
      <c r="C96" s="123">
        <v>597.71542460000001</v>
      </c>
      <c r="D96" s="122">
        <v>3</v>
      </c>
      <c r="E96" s="124" t="s">
        <v>1065</v>
      </c>
      <c r="F96" s="121"/>
      <c r="G96" s="122"/>
      <c r="H96" s="123"/>
      <c r="I96" s="124"/>
      <c r="J96" s="31"/>
      <c r="L96" s="125"/>
      <c r="M96" s="126"/>
      <c r="N96" s="26"/>
    </row>
    <row r="97" spans="1:14" ht="20" customHeight="1">
      <c r="A97" s="121">
        <v>184.51125000000002</v>
      </c>
      <c r="B97" s="122">
        <v>2823.5624776193899</v>
      </c>
      <c r="C97" s="123">
        <v>594.67555349999998</v>
      </c>
      <c r="D97" s="122">
        <v>3</v>
      </c>
      <c r="E97" s="124" t="s">
        <v>1065</v>
      </c>
      <c r="F97" s="121"/>
      <c r="G97" s="122"/>
      <c r="H97" s="123"/>
      <c r="I97" s="124"/>
      <c r="J97" s="31"/>
      <c r="L97" s="125"/>
      <c r="M97" s="126"/>
      <c r="N97" s="26"/>
    </row>
    <row r="98" spans="1:14" ht="20" customHeight="1">
      <c r="A98" s="121">
        <v>185.01</v>
      </c>
      <c r="B98" s="122">
        <v>2838.80483257069</v>
      </c>
      <c r="C98" s="123">
        <v>591.07975939999903</v>
      </c>
      <c r="D98" s="122">
        <v>3</v>
      </c>
      <c r="E98" s="124" t="s">
        <v>1065</v>
      </c>
      <c r="F98" s="121"/>
      <c r="G98" s="122"/>
      <c r="H98" s="123"/>
      <c r="I98" s="124"/>
      <c r="J98" s="31"/>
      <c r="L98" s="125"/>
      <c r="M98" s="126"/>
      <c r="N98" s="26"/>
    </row>
    <row r="99" spans="1:14" ht="20" customHeight="1">
      <c r="A99" s="121">
        <v>185.75</v>
      </c>
      <c r="B99" s="122">
        <v>2862.4816136217501</v>
      </c>
      <c r="C99" s="123">
        <v>588.45979009999996</v>
      </c>
      <c r="D99" s="122">
        <v>3</v>
      </c>
      <c r="E99" s="124" t="s">
        <v>1065</v>
      </c>
      <c r="F99" s="121"/>
      <c r="G99" s="122"/>
      <c r="H99" s="123"/>
      <c r="I99" s="124"/>
      <c r="J99" s="31"/>
      <c r="L99" s="125"/>
      <c r="M99" s="126"/>
      <c r="N99" s="26"/>
    </row>
    <row r="100" spans="1:14" ht="20" customHeight="1">
      <c r="A100" s="121">
        <v>186.42750000000001</v>
      </c>
      <c r="B100" s="122">
        <v>2884.3224948950201</v>
      </c>
      <c r="C100" s="123">
        <v>588.54416749999996</v>
      </c>
      <c r="D100" s="122">
        <v>3</v>
      </c>
      <c r="E100" s="124" t="s">
        <v>1065</v>
      </c>
      <c r="F100" s="121"/>
      <c r="G100" s="122"/>
      <c r="H100" s="123"/>
      <c r="I100" s="124"/>
      <c r="J100" s="31"/>
      <c r="L100" s="125"/>
      <c r="M100" s="126"/>
      <c r="N100" s="26"/>
    </row>
    <row r="101" spans="1:14" ht="20" customHeight="1">
      <c r="A101" s="121">
        <v>187.1</v>
      </c>
      <c r="B101" s="122">
        <v>2906.2177558445001</v>
      </c>
      <c r="C101" s="123">
        <v>592.03333669999904</v>
      </c>
      <c r="D101" s="122">
        <v>3</v>
      </c>
      <c r="E101" s="124" t="s">
        <v>1065</v>
      </c>
      <c r="F101" s="121"/>
      <c r="G101" s="122"/>
      <c r="H101" s="123"/>
      <c r="I101" s="124"/>
      <c r="J101" s="31"/>
      <c r="L101" s="125"/>
      <c r="M101" s="126"/>
      <c r="N101" s="26"/>
    </row>
    <row r="102" spans="1:14" ht="20" customHeight="1">
      <c r="A102" s="121">
        <v>188.51999999999998</v>
      </c>
      <c r="B102" s="122">
        <v>2958.6415422634</v>
      </c>
      <c r="C102" s="123">
        <v>595.15877869999997</v>
      </c>
      <c r="D102" s="122">
        <v>3</v>
      </c>
      <c r="E102" s="124" t="s">
        <v>1065</v>
      </c>
      <c r="F102" s="121"/>
      <c r="G102" s="122"/>
      <c r="H102" s="123"/>
      <c r="I102" s="124"/>
      <c r="J102" s="31"/>
      <c r="L102" s="125"/>
      <c r="M102" s="126"/>
      <c r="N102" s="26"/>
    </row>
    <row r="103" spans="1:14" ht="20" customHeight="1">
      <c r="A103" s="121">
        <v>188.62</v>
      </c>
      <c r="B103" s="122">
        <v>2962.5846853778999</v>
      </c>
      <c r="C103" s="123">
        <v>591.90305890000002</v>
      </c>
      <c r="D103" s="122">
        <v>3</v>
      </c>
      <c r="E103" s="124" t="s">
        <v>1065</v>
      </c>
      <c r="F103" s="121"/>
      <c r="G103" s="122"/>
      <c r="H103" s="123"/>
      <c r="I103" s="124"/>
      <c r="J103" s="31"/>
      <c r="L103" s="125"/>
      <c r="M103" s="126"/>
      <c r="N103" s="26"/>
    </row>
    <row r="104" spans="1:14" ht="20" customHeight="1">
      <c r="A104" s="121">
        <v>189.61500000000001</v>
      </c>
      <c r="B104" s="122">
        <v>3001.7165737138398</v>
      </c>
      <c r="C104" s="123">
        <v>594.93892229999904</v>
      </c>
      <c r="D104" s="122">
        <v>3</v>
      </c>
      <c r="E104" s="124" t="s">
        <v>1065</v>
      </c>
      <c r="F104" s="121"/>
      <c r="G104" s="122"/>
      <c r="H104" s="123"/>
      <c r="I104" s="124"/>
      <c r="J104" s="31"/>
      <c r="L104" s="125"/>
      <c r="M104" s="126"/>
      <c r="N104" s="26"/>
    </row>
    <row r="105" spans="1:14" ht="20" customHeight="1">
      <c r="A105" s="121">
        <v>190.49250000000001</v>
      </c>
      <c r="B105" s="122">
        <v>3034.34978069218</v>
      </c>
      <c r="C105" s="123">
        <v>588.25267980000001</v>
      </c>
      <c r="D105" s="122">
        <v>3</v>
      </c>
      <c r="E105" s="124" t="s">
        <v>1065</v>
      </c>
      <c r="F105" s="121"/>
      <c r="G105" s="122"/>
      <c r="H105" s="123"/>
      <c r="I105" s="124"/>
      <c r="J105" s="31"/>
      <c r="L105" s="125"/>
      <c r="M105" s="126"/>
      <c r="N105" s="26"/>
    </row>
    <row r="106" spans="1:14" ht="20" customHeight="1">
      <c r="A106" s="121">
        <v>190.62</v>
      </c>
      <c r="B106" s="122">
        <v>3039.0809460118398</v>
      </c>
      <c r="C106" s="123">
        <v>589.44441110000002</v>
      </c>
      <c r="D106" s="122">
        <v>3</v>
      </c>
      <c r="E106" s="124" t="s">
        <v>1065</v>
      </c>
      <c r="F106" s="121"/>
      <c r="G106" s="122"/>
      <c r="H106" s="123"/>
      <c r="I106" s="124"/>
      <c r="J106" s="31"/>
      <c r="L106" s="125"/>
      <c r="M106" s="126"/>
      <c r="N106" s="26"/>
    </row>
    <row r="107" spans="1:14" ht="20" customHeight="1">
      <c r="A107" s="121">
        <v>191.98</v>
      </c>
      <c r="B107" s="122">
        <v>3080.2921912956199</v>
      </c>
      <c r="C107" s="123">
        <v>592.17800869999996</v>
      </c>
      <c r="D107" s="122">
        <v>3</v>
      </c>
      <c r="E107" s="124" t="s">
        <v>1065</v>
      </c>
      <c r="F107" s="121"/>
      <c r="G107" s="122"/>
      <c r="H107" s="123"/>
      <c r="I107" s="124"/>
      <c r="J107" s="31"/>
      <c r="L107" s="125"/>
      <c r="M107" s="126"/>
      <c r="N107" s="26"/>
    </row>
    <row r="108" spans="1:14" ht="20" customHeight="1">
      <c r="A108" s="121">
        <v>192.43</v>
      </c>
      <c r="B108" s="122">
        <v>3094.6931360661802</v>
      </c>
      <c r="C108" s="123">
        <v>594.50200129999996</v>
      </c>
      <c r="D108" s="122">
        <v>3</v>
      </c>
      <c r="E108" s="124" t="s">
        <v>1065</v>
      </c>
      <c r="F108" s="121"/>
      <c r="G108" s="122"/>
      <c r="H108" s="123"/>
      <c r="I108" s="124"/>
      <c r="J108" s="31"/>
      <c r="L108" s="125"/>
      <c r="M108" s="126"/>
      <c r="N108" s="26"/>
    </row>
    <row r="109" spans="1:14" ht="20" customHeight="1">
      <c r="A109" s="121">
        <v>193.48</v>
      </c>
      <c r="B109" s="122">
        <v>3129.3190680356001</v>
      </c>
      <c r="C109" s="123">
        <v>594.03116939999995</v>
      </c>
      <c r="D109" s="122">
        <v>3</v>
      </c>
      <c r="E109" s="124" t="s">
        <v>1065</v>
      </c>
      <c r="F109" s="121"/>
      <c r="G109" s="122"/>
      <c r="H109" s="123"/>
      <c r="I109" s="124"/>
      <c r="J109" s="31"/>
      <c r="L109" s="125"/>
      <c r="M109" s="126"/>
      <c r="N109" s="26"/>
    </row>
    <row r="110" spans="1:14" ht="20" customHeight="1">
      <c r="A110" s="121">
        <v>194.44499999999999</v>
      </c>
      <c r="B110" s="122">
        <v>3164.1707905252501</v>
      </c>
      <c r="C110" s="123">
        <v>592.06862769999998</v>
      </c>
      <c r="D110" s="122">
        <v>3</v>
      </c>
      <c r="E110" s="124" t="s">
        <v>1065</v>
      </c>
      <c r="F110" s="121"/>
      <c r="G110" s="122"/>
      <c r="H110" s="123"/>
      <c r="I110" s="124"/>
      <c r="J110" s="31"/>
      <c r="L110" s="125"/>
      <c r="M110" s="126"/>
      <c r="N110" s="26"/>
    </row>
    <row r="111" spans="1:14" ht="20" customHeight="1">
      <c r="A111" s="125">
        <v>194.99</v>
      </c>
      <c r="B111" s="127">
        <v>3184.8326853451499</v>
      </c>
      <c r="C111" s="128">
        <v>589.79999999999995</v>
      </c>
      <c r="D111" s="144">
        <v>6</v>
      </c>
      <c r="E111" s="124" t="s">
        <v>1067</v>
      </c>
      <c r="F111" s="125"/>
      <c r="G111" s="125"/>
      <c r="H111" s="128"/>
      <c r="I111" s="124"/>
      <c r="J111" s="31"/>
      <c r="L111" s="125"/>
      <c r="M111" s="126"/>
      <c r="N111" s="26"/>
    </row>
    <row r="112" spans="1:14" ht="20" customHeight="1">
      <c r="A112" s="121">
        <v>195.22</v>
      </c>
      <c r="B112" s="122">
        <v>3193.1664301204801</v>
      </c>
      <c r="C112" s="123">
        <v>589.5952317</v>
      </c>
      <c r="D112" s="122">
        <v>3</v>
      </c>
      <c r="E112" s="124" t="s">
        <v>1065</v>
      </c>
      <c r="F112" s="121"/>
      <c r="G112" s="122"/>
      <c r="H112" s="123"/>
      <c r="I112" s="124"/>
      <c r="J112" s="31"/>
      <c r="L112" s="125"/>
      <c r="M112" s="126"/>
      <c r="N112" s="26"/>
    </row>
    <row r="113" spans="1:14" ht="20" customHeight="1">
      <c r="A113" s="121">
        <v>195.6</v>
      </c>
      <c r="B113" s="122">
        <v>3206.9001778274001</v>
      </c>
      <c r="C113" s="123">
        <v>587.82724819999999</v>
      </c>
      <c r="D113" s="122">
        <v>3</v>
      </c>
      <c r="E113" s="124" t="s">
        <v>1065</v>
      </c>
      <c r="F113" s="121"/>
      <c r="G113" s="122"/>
      <c r="H113" s="123"/>
      <c r="I113" s="124"/>
      <c r="J113" s="31"/>
      <c r="L113" s="125"/>
      <c r="M113" s="126"/>
      <c r="N113" s="26"/>
    </row>
    <row r="114" spans="1:14" ht="20" customHeight="1">
      <c r="A114" s="121">
        <v>196.48500000000001</v>
      </c>
      <c r="B114" s="122">
        <v>3237.6245937326298</v>
      </c>
      <c r="C114" s="123">
        <v>592.36873119999996</v>
      </c>
      <c r="D114" s="122">
        <v>3</v>
      </c>
      <c r="E114" s="124" t="s">
        <v>1065</v>
      </c>
      <c r="F114" s="121"/>
      <c r="G114" s="122"/>
      <c r="H114" s="123"/>
      <c r="I114" s="124"/>
      <c r="J114" s="31"/>
      <c r="L114" s="125"/>
      <c r="M114" s="126"/>
      <c r="N114" s="26"/>
    </row>
    <row r="115" spans="1:14" ht="20" customHeight="1">
      <c r="A115" s="121">
        <v>196.64</v>
      </c>
      <c r="B115" s="122">
        <v>3242.6045445606801</v>
      </c>
      <c r="C115" s="123">
        <v>588.35737400000005</v>
      </c>
      <c r="D115" s="122">
        <v>3</v>
      </c>
      <c r="E115" s="124" t="s">
        <v>1065</v>
      </c>
      <c r="F115" s="121"/>
      <c r="G115" s="122"/>
      <c r="H115" s="123"/>
      <c r="I115" s="124"/>
      <c r="J115" s="31"/>
      <c r="L115" s="125"/>
      <c r="M115" s="126"/>
      <c r="N115" s="26"/>
    </row>
    <row r="116" spans="1:14" ht="20" customHeight="1">
      <c r="A116" s="121">
        <v>197.64</v>
      </c>
      <c r="B116" s="122">
        <v>3277.1419920929602</v>
      </c>
      <c r="C116" s="123">
        <v>590.54478270000004</v>
      </c>
      <c r="D116" s="122">
        <v>3</v>
      </c>
      <c r="E116" s="124" t="s">
        <v>1065</v>
      </c>
      <c r="F116" s="121"/>
      <c r="G116" s="122"/>
      <c r="H116" s="123"/>
      <c r="I116" s="124"/>
      <c r="J116" s="31"/>
      <c r="L116" s="125"/>
      <c r="M116" s="126"/>
      <c r="N116" s="26"/>
    </row>
    <row r="117" spans="1:14" ht="20" customHeight="1">
      <c r="A117" s="121">
        <v>198.4975</v>
      </c>
      <c r="B117" s="122">
        <v>3308.6768326285001</v>
      </c>
      <c r="C117" s="123">
        <v>591.53294249999999</v>
      </c>
      <c r="D117" s="122">
        <v>3</v>
      </c>
      <c r="E117" s="124" t="s">
        <v>1065</v>
      </c>
      <c r="F117" s="121"/>
      <c r="G117" s="122"/>
      <c r="H117" s="123"/>
      <c r="I117" s="124"/>
      <c r="J117" s="31"/>
      <c r="L117" s="125"/>
      <c r="M117" s="126"/>
      <c r="N117" s="26"/>
    </row>
    <row r="118" spans="1:14" ht="20" customHeight="1">
      <c r="A118" s="121">
        <v>198.64</v>
      </c>
      <c r="B118" s="122">
        <v>3313.9493614051098</v>
      </c>
      <c r="C118" s="123">
        <v>588.66590570000005</v>
      </c>
      <c r="D118" s="122">
        <v>3</v>
      </c>
      <c r="E118" s="124" t="s">
        <v>1065</v>
      </c>
      <c r="F118" s="121"/>
      <c r="G118" s="122"/>
      <c r="H118" s="123"/>
      <c r="I118" s="124"/>
      <c r="J118" s="31"/>
      <c r="L118" s="125"/>
      <c r="M118" s="126"/>
      <c r="N118" s="26"/>
    </row>
    <row r="119" spans="1:14" ht="20" customHeight="1">
      <c r="A119" s="121">
        <v>200.02</v>
      </c>
      <c r="B119" s="122">
        <v>3367.1646386318998</v>
      </c>
      <c r="C119" s="123">
        <v>591.44446830000004</v>
      </c>
      <c r="D119" s="122">
        <v>3</v>
      </c>
      <c r="E119" s="124" t="s">
        <v>1065</v>
      </c>
      <c r="F119" s="121"/>
      <c r="G119" s="122"/>
      <c r="H119" s="123"/>
      <c r="I119" s="124"/>
      <c r="J119" s="31"/>
      <c r="L119" s="125"/>
      <c r="M119" s="126"/>
      <c r="N119" s="26"/>
    </row>
    <row r="120" spans="1:14" ht="20" customHeight="1">
      <c r="A120" s="121">
        <v>200.4675</v>
      </c>
      <c r="B120" s="122">
        <v>3385.4390883646502</v>
      </c>
      <c r="C120" s="123">
        <v>593.33532649999995</v>
      </c>
      <c r="D120" s="122">
        <v>3</v>
      </c>
      <c r="E120" s="124" t="s">
        <v>1065</v>
      </c>
      <c r="F120" s="121"/>
      <c r="G120" s="122"/>
      <c r="H120" s="123"/>
      <c r="I120" s="124"/>
      <c r="J120" s="31"/>
      <c r="L120" s="125"/>
      <c r="M120" s="126"/>
      <c r="N120" s="26"/>
    </row>
    <row r="121" spans="1:14" ht="20" customHeight="1">
      <c r="A121" s="121">
        <v>200.905</v>
      </c>
      <c r="B121" s="122">
        <v>3403.3074392144499</v>
      </c>
      <c r="C121" s="123">
        <v>589.22484669999903</v>
      </c>
      <c r="D121" s="122">
        <v>3</v>
      </c>
      <c r="E121" s="124" t="s">
        <v>1065</v>
      </c>
      <c r="F121" s="121"/>
      <c r="G121" s="122"/>
      <c r="H121" s="123"/>
      <c r="I121" s="124"/>
      <c r="J121" s="31"/>
      <c r="L121" s="125"/>
      <c r="M121" s="126"/>
      <c r="N121" s="26"/>
    </row>
    <row r="122" spans="1:14" ht="20" customHeight="1">
      <c r="A122" s="121">
        <v>202.02</v>
      </c>
      <c r="B122" s="122">
        <v>3452.21536074496</v>
      </c>
      <c r="C122" s="123">
        <v>581.4874092</v>
      </c>
      <c r="D122" s="122">
        <v>3</v>
      </c>
      <c r="E122" s="124" t="s">
        <v>1065</v>
      </c>
      <c r="F122" s="121"/>
      <c r="G122" s="122"/>
      <c r="H122" s="123"/>
      <c r="I122" s="124"/>
      <c r="J122" s="31"/>
      <c r="L122" s="125"/>
      <c r="M122" s="126"/>
      <c r="N122" s="26"/>
    </row>
    <row r="123" spans="1:14" ht="20" customHeight="1">
      <c r="A123" s="121">
        <v>202.48250000000002</v>
      </c>
      <c r="B123" s="122">
        <v>3471.73407782304</v>
      </c>
      <c r="C123" s="123">
        <v>587.12799629999904</v>
      </c>
      <c r="D123" s="122">
        <v>3</v>
      </c>
      <c r="E123" s="124" t="s">
        <v>1065</v>
      </c>
      <c r="F123" s="121"/>
      <c r="G123" s="122"/>
      <c r="H123" s="123"/>
      <c r="I123" s="124"/>
      <c r="J123" s="31"/>
      <c r="L123" s="125"/>
      <c r="M123" s="126"/>
      <c r="N123" s="26"/>
    </row>
    <row r="124" spans="1:14" ht="20" customHeight="1">
      <c r="A124" s="121">
        <v>203.14</v>
      </c>
      <c r="B124" s="122">
        <v>3498.9465504515601</v>
      </c>
      <c r="C124" s="123">
        <v>586.45521470000006</v>
      </c>
      <c r="D124" s="122">
        <v>3</v>
      </c>
      <c r="E124" s="124" t="s">
        <v>1065</v>
      </c>
      <c r="F124" s="121"/>
      <c r="G124" s="122"/>
      <c r="H124" s="123"/>
      <c r="I124" s="124"/>
      <c r="J124" s="31"/>
      <c r="L124" s="125"/>
      <c r="M124" s="126"/>
      <c r="N124" s="26"/>
    </row>
    <row r="125" spans="1:14" ht="20" customHeight="1">
      <c r="A125" s="121">
        <v>204.48000000000002</v>
      </c>
      <c r="B125" s="122">
        <v>3547.1041120632799</v>
      </c>
      <c r="C125" s="123">
        <v>587.2558358</v>
      </c>
      <c r="D125" s="122">
        <v>3</v>
      </c>
      <c r="E125" s="124" t="s">
        <v>1065</v>
      </c>
      <c r="F125" s="121"/>
      <c r="G125" s="122"/>
      <c r="H125" s="123"/>
      <c r="I125" s="124"/>
      <c r="J125" s="31"/>
      <c r="L125" s="125"/>
      <c r="M125" s="126"/>
      <c r="N125" s="26"/>
    </row>
    <row r="126" spans="1:14" ht="20" customHeight="1">
      <c r="A126" s="121">
        <v>205.97</v>
      </c>
      <c r="B126" s="122">
        <v>3599.41750213049</v>
      </c>
      <c r="C126" s="123">
        <v>589.1908684</v>
      </c>
      <c r="D126" s="122">
        <v>3</v>
      </c>
      <c r="E126" s="124" t="s">
        <v>1065</v>
      </c>
      <c r="F126" s="121"/>
      <c r="G126" s="122"/>
      <c r="H126" s="123"/>
      <c r="I126" s="124"/>
      <c r="J126" s="31"/>
      <c r="L126" s="125"/>
      <c r="M126" s="126"/>
      <c r="N126" s="26"/>
    </row>
    <row r="127" spans="1:14" ht="20" customHeight="1">
      <c r="A127" s="121">
        <v>206.41</v>
      </c>
      <c r="B127" s="122">
        <v>3615.8151015856101</v>
      </c>
      <c r="C127" s="123">
        <v>594.47165740000003</v>
      </c>
      <c r="D127" s="122">
        <v>3</v>
      </c>
      <c r="E127" s="124" t="s">
        <v>1065</v>
      </c>
      <c r="F127" s="121"/>
      <c r="G127" s="122"/>
      <c r="H127" s="123"/>
      <c r="I127" s="124"/>
      <c r="J127" s="31"/>
      <c r="L127" s="125"/>
      <c r="M127" s="126"/>
      <c r="N127" s="26"/>
    </row>
    <row r="128" spans="1:14" ht="20" customHeight="1">
      <c r="A128" s="121">
        <v>206.57499999999999</v>
      </c>
      <c r="B128" s="122">
        <v>3622.17296558918</v>
      </c>
      <c r="C128" s="123">
        <v>591.80483030000005</v>
      </c>
      <c r="D128" s="122">
        <v>3</v>
      </c>
      <c r="E128" s="124" t="s">
        <v>1065</v>
      </c>
      <c r="F128" s="121"/>
      <c r="G128" s="122"/>
      <c r="H128" s="123"/>
      <c r="I128" s="124"/>
      <c r="J128" s="31"/>
      <c r="L128" s="125"/>
      <c r="M128" s="126"/>
      <c r="N128" s="26"/>
    </row>
    <row r="129" spans="1:14" ht="20" customHeight="1">
      <c r="A129" s="121">
        <v>207.59</v>
      </c>
      <c r="B129" s="122">
        <v>3660.6936333427798</v>
      </c>
      <c r="C129" s="123">
        <v>592.42819559999998</v>
      </c>
      <c r="D129" s="122">
        <v>3</v>
      </c>
      <c r="E129" s="124" t="s">
        <v>1065</v>
      </c>
      <c r="F129" s="121"/>
      <c r="G129" s="122"/>
      <c r="H129" s="123"/>
      <c r="I129" s="124"/>
      <c r="J129" s="31"/>
      <c r="L129" s="125"/>
      <c r="M129" s="126"/>
      <c r="N129" s="26"/>
    </row>
    <row r="130" spans="1:14" ht="20" customHeight="1">
      <c r="A130" s="121">
        <v>208.42500000000001</v>
      </c>
      <c r="B130" s="122">
        <v>3692.82931711528</v>
      </c>
      <c r="C130" s="123">
        <v>596.41487289999998</v>
      </c>
      <c r="D130" s="122">
        <v>3</v>
      </c>
      <c r="E130" s="124" t="s">
        <v>1065</v>
      </c>
      <c r="F130" s="121"/>
      <c r="G130" s="122"/>
      <c r="H130" s="123"/>
      <c r="I130" s="124"/>
      <c r="J130" s="31"/>
      <c r="L130" s="125"/>
      <c r="M130" s="126"/>
      <c r="N130" s="26"/>
    </row>
    <row r="131" spans="1:14" ht="20" customHeight="1">
      <c r="A131" s="121">
        <v>209.09</v>
      </c>
      <c r="B131" s="122">
        <v>3717.5209478588199</v>
      </c>
      <c r="C131" s="123">
        <v>586.70792029999996</v>
      </c>
      <c r="D131" s="122">
        <v>3</v>
      </c>
      <c r="E131" s="124" t="s">
        <v>1065</v>
      </c>
      <c r="F131" s="121"/>
      <c r="G131" s="122"/>
      <c r="H131" s="123"/>
      <c r="I131" s="124"/>
      <c r="J131" s="31"/>
      <c r="L131" s="125"/>
      <c r="M131" s="126"/>
      <c r="N131" s="26"/>
    </row>
    <row r="132" spans="1:14" ht="20" customHeight="1">
      <c r="A132" s="125">
        <v>209.98</v>
      </c>
      <c r="B132" s="127">
        <v>3748.2531059400399</v>
      </c>
      <c r="C132" s="128">
        <v>587</v>
      </c>
      <c r="D132" s="144">
        <v>6</v>
      </c>
      <c r="E132" s="124" t="s">
        <v>1067</v>
      </c>
      <c r="F132" s="125"/>
      <c r="G132" s="125"/>
      <c r="H132" s="128"/>
      <c r="I132" s="124"/>
      <c r="J132" s="31"/>
      <c r="L132" s="125"/>
      <c r="M132" s="126"/>
      <c r="N132" s="26"/>
    </row>
    <row r="133" spans="1:14" ht="20" customHeight="1">
      <c r="A133" s="121">
        <v>210.36250000000001</v>
      </c>
      <c r="B133" s="122">
        <v>3761.8623233616399</v>
      </c>
      <c r="C133" s="123">
        <v>591.16583189999903</v>
      </c>
      <c r="D133" s="122">
        <v>3</v>
      </c>
      <c r="E133" s="124" t="s">
        <v>1065</v>
      </c>
      <c r="F133" s="121"/>
      <c r="G133" s="122"/>
      <c r="H133" s="123"/>
      <c r="I133" s="124"/>
      <c r="J133" s="31"/>
      <c r="L133" s="125"/>
      <c r="M133" s="126"/>
      <c r="N133" s="26"/>
    </row>
    <row r="134" spans="1:14" ht="20" customHeight="1">
      <c r="A134" s="121">
        <v>211.97</v>
      </c>
      <c r="B134" s="122">
        <v>3822.3812779158802</v>
      </c>
      <c r="C134" s="123">
        <v>601.08504400000004</v>
      </c>
      <c r="D134" s="122">
        <v>3</v>
      </c>
      <c r="E134" s="124" t="s">
        <v>1065</v>
      </c>
      <c r="F134" s="121"/>
      <c r="G134" s="122"/>
      <c r="H134" s="123"/>
      <c r="I134" s="124"/>
      <c r="J134" s="31"/>
      <c r="L134" s="125"/>
      <c r="M134" s="126"/>
      <c r="N134" s="26"/>
    </row>
    <row r="135" spans="1:14" ht="20" customHeight="1">
      <c r="A135" s="121">
        <v>212.59</v>
      </c>
      <c r="B135" s="122">
        <v>3846.8726983522101</v>
      </c>
      <c r="C135" s="123">
        <v>594.67403750000005</v>
      </c>
      <c r="D135" s="122">
        <v>3</v>
      </c>
      <c r="E135" s="124" t="s">
        <v>1065</v>
      </c>
      <c r="F135" s="121"/>
      <c r="G135" s="122"/>
      <c r="H135" s="123"/>
      <c r="I135" s="124"/>
      <c r="J135" s="31"/>
      <c r="L135" s="125"/>
      <c r="M135" s="126"/>
      <c r="N135" s="26"/>
    </row>
    <row r="136" spans="1:14" ht="20" customHeight="1">
      <c r="A136" s="121">
        <v>213.97</v>
      </c>
      <c r="B136" s="122">
        <v>3901.6250366552599</v>
      </c>
      <c r="C136" s="123">
        <v>590.24787800000001</v>
      </c>
      <c r="D136" s="122">
        <v>3</v>
      </c>
      <c r="E136" s="124" t="s">
        <v>1065</v>
      </c>
      <c r="F136" s="121"/>
      <c r="G136" s="122"/>
      <c r="H136" s="123"/>
      <c r="I136" s="124"/>
      <c r="J136" s="31"/>
      <c r="L136" s="125"/>
      <c r="M136" s="126"/>
      <c r="N136" s="26"/>
    </row>
    <row r="137" spans="1:14" ht="20" customHeight="1">
      <c r="A137" s="121">
        <v>215.09</v>
      </c>
      <c r="B137" s="122">
        <v>3945.4016403217202</v>
      </c>
      <c r="C137" s="123">
        <v>591.30786069999999</v>
      </c>
      <c r="D137" s="122">
        <v>3</v>
      </c>
      <c r="E137" s="124" t="s">
        <v>1065</v>
      </c>
      <c r="F137" s="121"/>
      <c r="G137" s="122"/>
      <c r="H137" s="123"/>
      <c r="I137" s="124"/>
      <c r="J137" s="31"/>
      <c r="L137" s="125"/>
      <c r="M137" s="126"/>
      <c r="N137" s="26"/>
    </row>
    <row r="138" spans="1:14" ht="20" customHeight="1">
      <c r="A138" s="121">
        <v>216.59</v>
      </c>
      <c r="B138" s="122">
        <v>4008.5102186763802</v>
      </c>
      <c r="C138" s="123">
        <v>581.09910019999995</v>
      </c>
      <c r="D138" s="122">
        <v>3</v>
      </c>
      <c r="E138" s="124" t="s">
        <v>1065</v>
      </c>
      <c r="F138" s="121"/>
      <c r="G138" s="122"/>
      <c r="H138" s="123"/>
      <c r="I138" s="124"/>
      <c r="J138" s="31"/>
      <c r="L138" s="125"/>
      <c r="M138" s="126"/>
      <c r="N138" s="26"/>
    </row>
    <row r="139" spans="1:14" ht="20" customHeight="1">
      <c r="A139" s="121">
        <v>217.59</v>
      </c>
      <c r="B139" s="122">
        <v>4048.3181348235398</v>
      </c>
      <c r="C139" s="123">
        <v>579.59324379999998</v>
      </c>
      <c r="D139" s="122">
        <v>3</v>
      </c>
      <c r="E139" s="124" t="s">
        <v>1065</v>
      </c>
      <c r="F139" s="121"/>
      <c r="G139" s="122"/>
      <c r="H139" s="123"/>
      <c r="I139" s="124"/>
      <c r="J139" s="31"/>
      <c r="L139" s="125"/>
      <c r="M139" s="126"/>
      <c r="N139" s="26"/>
    </row>
    <row r="140" spans="1:14" ht="20" customHeight="1">
      <c r="A140" s="121">
        <v>219.09</v>
      </c>
      <c r="B140" s="122">
        <v>4104.1991050917204</v>
      </c>
      <c r="C140" s="123">
        <v>581.87406639999904</v>
      </c>
      <c r="D140" s="122">
        <v>3</v>
      </c>
      <c r="E140" s="124" t="s">
        <v>1065</v>
      </c>
      <c r="F140" s="121"/>
      <c r="G140" s="122"/>
      <c r="H140" s="123"/>
      <c r="I140" s="124"/>
      <c r="J140" s="31"/>
      <c r="L140" s="125"/>
      <c r="M140" s="126"/>
      <c r="N140" s="26"/>
    </row>
    <row r="141" spans="1:14" ht="20" customHeight="1">
      <c r="A141" s="125">
        <v>219.56</v>
      </c>
      <c r="B141" s="127">
        <v>4122.0089089544799</v>
      </c>
      <c r="C141" s="128">
        <v>585.29999999999995</v>
      </c>
      <c r="D141" s="144">
        <v>6</v>
      </c>
      <c r="E141" s="124" t="s">
        <v>1067</v>
      </c>
      <c r="F141" s="125"/>
      <c r="G141" s="125"/>
      <c r="H141" s="128"/>
      <c r="I141" s="124"/>
      <c r="J141" s="31"/>
      <c r="L141" s="125"/>
      <c r="M141" s="126"/>
      <c r="N141" s="26"/>
    </row>
    <row r="142" spans="1:14" ht="20" customHeight="1">
      <c r="A142" s="121">
        <v>220.57</v>
      </c>
      <c r="B142" s="122">
        <v>4159.0911417429297</v>
      </c>
      <c r="C142" s="123">
        <v>576.65490030000001</v>
      </c>
      <c r="D142" s="122">
        <v>3</v>
      </c>
      <c r="E142" s="124" t="s">
        <v>1065</v>
      </c>
      <c r="F142" s="121"/>
      <c r="G142" s="122"/>
      <c r="H142" s="123"/>
      <c r="I142" s="124"/>
      <c r="J142" s="31"/>
      <c r="L142" s="125"/>
      <c r="M142" s="126"/>
      <c r="N142" s="26"/>
    </row>
    <row r="143" spans="1:14" ht="20" customHeight="1">
      <c r="A143" s="121">
        <v>221.57</v>
      </c>
      <c r="B143" s="122">
        <v>4194.0938941334898</v>
      </c>
      <c r="C143" s="123">
        <v>583.04862439999999</v>
      </c>
      <c r="D143" s="122">
        <v>3</v>
      </c>
      <c r="E143" s="124" t="s">
        <v>1065</v>
      </c>
      <c r="F143" s="121"/>
      <c r="G143" s="122"/>
      <c r="H143" s="123"/>
      <c r="I143" s="124"/>
      <c r="J143" s="31"/>
      <c r="L143" s="125"/>
      <c r="M143" s="126"/>
      <c r="N143" s="26"/>
    </row>
    <row r="144" spans="1:14" ht="20" customHeight="1">
      <c r="A144" s="121">
        <v>223.07</v>
      </c>
      <c r="B144" s="122">
        <v>4242.2804340584198</v>
      </c>
      <c r="C144" s="123">
        <v>581.07785760000002</v>
      </c>
      <c r="D144" s="122">
        <v>3</v>
      </c>
      <c r="E144" s="124" t="s">
        <v>1065</v>
      </c>
      <c r="F144" s="121"/>
      <c r="G144" s="122"/>
      <c r="H144" s="123"/>
      <c r="I144" s="124"/>
      <c r="J144" s="31"/>
      <c r="L144" s="125"/>
      <c r="M144" s="126"/>
      <c r="N144" s="26"/>
    </row>
    <row r="145" spans="1:14" ht="20" customHeight="1">
      <c r="A145" s="121">
        <v>224.57</v>
      </c>
      <c r="B145" s="122">
        <v>4294.3297969650002</v>
      </c>
      <c r="C145" s="123">
        <v>584.0818898</v>
      </c>
      <c r="D145" s="122">
        <v>3</v>
      </c>
      <c r="E145" s="124" t="s">
        <v>1065</v>
      </c>
      <c r="F145" s="121"/>
      <c r="G145" s="122"/>
      <c r="H145" s="123"/>
      <c r="I145" s="124"/>
      <c r="J145" s="31"/>
      <c r="L145" s="125"/>
      <c r="M145" s="126"/>
      <c r="N145" s="26"/>
    </row>
    <row r="146" spans="1:14" ht="20" customHeight="1">
      <c r="A146" s="121">
        <v>226.07</v>
      </c>
      <c r="B146" s="122">
        <v>4353.1198166687</v>
      </c>
      <c r="C146" s="123">
        <v>586.59562740000001</v>
      </c>
      <c r="D146" s="122">
        <v>3</v>
      </c>
      <c r="E146" s="124" t="s">
        <v>1065</v>
      </c>
      <c r="F146" s="121"/>
      <c r="G146" s="122"/>
      <c r="H146" s="123"/>
      <c r="I146" s="124"/>
      <c r="J146" s="31"/>
      <c r="L146" s="125"/>
      <c r="M146" s="126"/>
      <c r="N146" s="26"/>
    </row>
    <row r="147" spans="1:14" ht="20" customHeight="1">
      <c r="A147" s="121">
        <v>227.57</v>
      </c>
      <c r="B147" s="122">
        <v>4412.2110370588998</v>
      </c>
      <c r="C147" s="123">
        <v>587.60691589999999</v>
      </c>
      <c r="D147" s="122">
        <v>3</v>
      </c>
      <c r="E147" s="124" t="s">
        <v>1065</v>
      </c>
      <c r="F147" s="121"/>
      <c r="G147" s="122"/>
      <c r="H147" s="123"/>
      <c r="I147" s="124"/>
      <c r="J147" s="31"/>
      <c r="L147" s="125"/>
      <c r="M147" s="126"/>
      <c r="N147" s="26"/>
    </row>
    <row r="148" spans="1:14" ht="20" customHeight="1">
      <c r="A148" s="121">
        <v>229.07</v>
      </c>
      <c r="B148" s="122">
        <v>4468.41703458759</v>
      </c>
      <c r="C148" s="123">
        <v>581.71298750000005</v>
      </c>
      <c r="D148" s="122">
        <v>3</v>
      </c>
      <c r="E148" s="124" t="s">
        <v>1065</v>
      </c>
      <c r="F148" s="121"/>
      <c r="G148" s="122"/>
      <c r="H148" s="123"/>
      <c r="I148" s="124"/>
      <c r="J148" s="31"/>
      <c r="L148" s="125"/>
      <c r="M148" s="126"/>
      <c r="N148" s="26"/>
    </row>
    <row r="149" spans="1:14" ht="20" customHeight="1">
      <c r="A149" s="121">
        <v>230.07</v>
      </c>
      <c r="B149" s="122">
        <v>4504.9646269063096</v>
      </c>
      <c r="C149" s="123">
        <v>578.96895849999999</v>
      </c>
      <c r="D149" s="122">
        <v>3</v>
      </c>
      <c r="E149" s="124" t="s">
        <v>1065</v>
      </c>
      <c r="F149" s="121"/>
      <c r="G149" s="122"/>
      <c r="H149" s="123"/>
      <c r="I149" s="124"/>
      <c r="J149" s="31"/>
      <c r="L149" s="125"/>
      <c r="M149" s="126"/>
      <c r="N149" s="26"/>
    </row>
    <row r="150" spans="1:14" ht="20" customHeight="1">
      <c r="A150" s="121">
        <v>231.57</v>
      </c>
      <c r="B150" s="122">
        <v>4558.9949779401504</v>
      </c>
      <c r="C150" s="123">
        <v>575.89814520000004</v>
      </c>
      <c r="D150" s="122">
        <v>3</v>
      </c>
      <c r="E150" s="124" t="s">
        <v>1065</v>
      </c>
      <c r="F150" s="121"/>
      <c r="G150" s="122"/>
      <c r="H150" s="123"/>
      <c r="I150" s="124"/>
      <c r="J150" s="31"/>
      <c r="L150" s="125"/>
      <c r="M150" s="126"/>
      <c r="N150" s="26"/>
    </row>
    <row r="151" spans="1:14" ht="20" customHeight="1">
      <c r="A151" s="121">
        <v>233.45</v>
      </c>
      <c r="B151" s="122">
        <v>4626.0864429032999</v>
      </c>
      <c r="C151" s="123">
        <v>575.06698140000003</v>
      </c>
      <c r="D151" s="122">
        <v>3</v>
      </c>
      <c r="E151" s="124" t="s">
        <v>1065</v>
      </c>
      <c r="F151" s="121"/>
      <c r="G151" s="122"/>
      <c r="H151" s="123"/>
      <c r="I151" s="124"/>
      <c r="J151" s="31"/>
      <c r="L151" s="125"/>
      <c r="M151" s="126"/>
      <c r="N151" s="26"/>
    </row>
    <row r="152" spans="1:14" ht="20" customHeight="1">
      <c r="A152" s="121">
        <v>234.07</v>
      </c>
      <c r="B152" s="122">
        <v>4648.6120409914702</v>
      </c>
      <c r="C152" s="123">
        <v>574.53107509999995</v>
      </c>
      <c r="D152" s="122">
        <v>3</v>
      </c>
      <c r="E152" s="124" t="s">
        <v>1065</v>
      </c>
      <c r="F152" s="121"/>
      <c r="G152" s="122"/>
      <c r="H152" s="123"/>
      <c r="I152" s="124"/>
      <c r="J152" s="31"/>
      <c r="L152" s="125"/>
      <c r="M152" s="126"/>
      <c r="N152" s="26"/>
    </row>
    <row r="153" spans="1:14" ht="20" customHeight="1">
      <c r="A153" s="121">
        <v>235.57</v>
      </c>
      <c r="B153" s="122">
        <v>4709.2647741622404</v>
      </c>
      <c r="C153" s="123">
        <v>577.98527300000001</v>
      </c>
      <c r="D153" s="122">
        <v>3</v>
      </c>
      <c r="E153" s="124" t="s">
        <v>1065</v>
      </c>
      <c r="F153" s="121"/>
      <c r="G153" s="122"/>
      <c r="H153" s="123"/>
      <c r="I153" s="124"/>
      <c r="J153" s="31"/>
      <c r="L153" s="125"/>
      <c r="M153" s="126"/>
      <c r="N153" s="26"/>
    </row>
    <row r="154" spans="1:14" ht="20" customHeight="1">
      <c r="A154" s="121">
        <v>237.07</v>
      </c>
      <c r="B154" s="122">
        <v>4762.0823226886696</v>
      </c>
      <c r="C154" s="123">
        <v>574.00995220000004</v>
      </c>
      <c r="D154" s="122">
        <v>3</v>
      </c>
      <c r="E154" s="124" t="s">
        <v>1065</v>
      </c>
      <c r="F154" s="121"/>
      <c r="G154" s="122"/>
      <c r="H154" s="123"/>
      <c r="I154" s="124"/>
      <c r="J154" s="31"/>
      <c r="L154" s="125"/>
      <c r="M154" s="126"/>
      <c r="N154" s="26"/>
    </row>
    <row r="155" spans="1:14" ht="20" customHeight="1">
      <c r="A155" s="121">
        <v>238.95</v>
      </c>
      <c r="B155" s="122">
        <v>4826.4656869505998</v>
      </c>
      <c r="C155" s="123">
        <v>575.19062840000004</v>
      </c>
      <c r="D155" s="122">
        <v>3</v>
      </c>
      <c r="E155" s="124" t="s">
        <v>1065</v>
      </c>
      <c r="F155" s="121"/>
      <c r="G155" s="122"/>
      <c r="H155" s="123"/>
      <c r="I155" s="124"/>
      <c r="J155" s="31"/>
      <c r="L155" s="125"/>
      <c r="M155" s="126"/>
      <c r="N155" s="26"/>
    </row>
    <row r="156" spans="1:14" ht="20" customHeight="1">
      <c r="A156" s="125">
        <v>239.56</v>
      </c>
      <c r="B156" s="127">
        <v>4847.2089920678</v>
      </c>
      <c r="C156" s="128">
        <v>573.5</v>
      </c>
      <c r="D156" s="144">
        <v>6</v>
      </c>
      <c r="E156" s="124" t="s">
        <v>1067</v>
      </c>
      <c r="F156" s="125"/>
      <c r="G156" s="125"/>
      <c r="H156" s="128"/>
      <c r="I156" s="124"/>
      <c r="J156" s="31"/>
      <c r="L156" s="125"/>
      <c r="M156" s="126"/>
      <c r="N156" s="26"/>
    </row>
    <row r="157" spans="1:14" ht="20" customHeight="1">
      <c r="A157" s="121">
        <v>240.45</v>
      </c>
      <c r="B157" s="122">
        <v>4877.8178491895997</v>
      </c>
      <c r="C157" s="123">
        <v>578.51264079999999</v>
      </c>
      <c r="D157" s="122">
        <v>3</v>
      </c>
      <c r="E157" s="124" t="s">
        <v>1065</v>
      </c>
      <c r="F157" s="121"/>
      <c r="G157" s="122"/>
      <c r="H157" s="123"/>
      <c r="I157" s="124"/>
      <c r="J157" s="31"/>
      <c r="L157" s="125"/>
      <c r="M157" s="126"/>
      <c r="N157" s="26"/>
    </row>
    <row r="158" spans="1:14" ht="20" customHeight="1">
      <c r="A158" s="121">
        <v>241.45</v>
      </c>
      <c r="B158" s="122">
        <v>4915.8405318936402</v>
      </c>
      <c r="C158" s="123">
        <v>577.74203290000003</v>
      </c>
      <c r="D158" s="122">
        <v>3</v>
      </c>
      <c r="E158" s="124" t="s">
        <v>1065</v>
      </c>
      <c r="F158" s="121"/>
      <c r="G158" s="122"/>
      <c r="H158" s="123"/>
      <c r="I158" s="124"/>
      <c r="J158" s="31"/>
      <c r="L158" s="125"/>
      <c r="M158" s="126"/>
      <c r="N158" s="26"/>
    </row>
    <row r="159" spans="1:14" ht="20" customHeight="1">
      <c r="A159" s="121">
        <v>242.57</v>
      </c>
      <c r="B159" s="122">
        <v>4962.22096070513</v>
      </c>
      <c r="C159" s="123">
        <v>572.64719700000001</v>
      </c>
      <c r="D159" s="122">
        <v>3</v>
      </c>
      <c r="E159" s="124" t="s">
        <v>1065</v>
      </c>
      <c r="F159" s="121"/>
      <c r="G159" s="122"/>
      <c r="H159" s="123"/>
      <c r="I159" s="124"/>
      <c r="J159" s="31"/>
      <c r="L159" s="125"/>
      <c r="M159" s="126"/>
      <c r="N159" s="26"/>
    </row>
    <row r="160" spans="1:14" ht="20" customHeight="1">
      <c r="A160" s="121">
        <v>244.07</v>
      </c>
      <c r="B160" s="122">
        <v>5011.0304520648297</v>
      </c>
      <c r="C160" s="123">
        <v>574.74355230000003</v>
      </c>
      <c r="D160" s="122">
        <v>3</v>
      </c>
      <c r="E160" s="124" t="s">
        <v>1065</v>
      </c>
      <c r="F160" s="121"/>
      <c r="G160" s="122"/>
      <c r="H160" s="123"/>
      <c r="I160" s="124"/>
      <c r="J160" s="31"/>
      <c r="L160" s="125"/>
      <c r="M160" s="126"/>
      <c r="N160" s="26"/>
    </row>
    <row r="161" spans="1:14" ht="20" customHeight="1">
      <c r="A161" s="121">
        <v>245.57</v>
      </c>
      <c r="B161" s="122">
        <v>5060.4037479848103</v>
      </c>
      <c r="C161" s="123">
        <v>573.05131440000002</v>
      </c>
      <c r="D161" s="122">
        <v>3</v>
      </c>
      <c r="E161" s="124" t="s">
        <v>1065</v>
      </c>
      <c r="F161" s="121"/>
      <c r="G161" s="122"/>
      <c r="H161" s="123"/>
      <c r="I161" s="124"/>
      <c r="J161" s="31"/>
      <c r="L161" s="125"/>
      <c r="M161" s="126"/>
      <c r="N161" s="26"/>
    </row>
    <row r="162" spans="1:14" ht="20" customHeight="1">
      <c r="A162" s="121">
        <v>246.57</v>
      </c>
      <c r="B162" s="122">
        <v>5097.9301090198096</v>
      </c>
      <c r="C162" s="123">
        <v>570.95209</v>
      </c>
      <c r="D162" s="122">
        <v>3</v>
      </c>
      <c r="E162" s="124" t="s">
        <v>1065</v>
      </c>
      <c r="F162" s="121"/>
      <c r="G162" s="122"/>
      <c r="H162" s="123"/>
      <c r="I162" s="124"/>
      <c r="J162" s="31"/>
      <c r="L162" s="125"/>
      <c r="M162" s="126"/>
      <c r="N162" s="26"/>
    </row>
    <row r="163" spans="1:14" ht="20" customHeight="1">
      <c r="A163" s="121">
        <v>248.08</v>
      </c>
      <c r="B163" s="122">
        <v>5156.2311847793599</v>
      </c>
      <c r="C163" s="123">
        <v>569.00393099999997</v>
      </c>
      <c r="D163" s="122">
        <v>3</v>
      </c>
      <c r="E163" s="124" t="s">
        <v>1065</v>
      </c>
      <c r="F163" s="121"/>
      <c r="G163" s="122"/>
      <c r="H163" s="123"/>
      <c r="I163" s="124"/>
      <c r="J163" s="31"/>
      <c r="L163" s="125"/>
      <c r="M163" s="126"/>
      <c r="N163" s="26"/>
    </row>
    <row r="164" spans="1:14" ht="20" customHeight="1">
      <c r="A164" s="121">
        <v>249.46</v>
      </c>
      <c r="B164" s="122">
        <v>5210.9215668673996</v>
      </c>
      <c r="C164" s="123">
        <v>563.3787221</v>
      </c>
      <c r="D164" s="122">
        <v>3</v>
      </c>
      <c r="E164" s="124" t="s">
        <v>1065</v>
      </c>
      <c r="F164" s="121"/>
      <c r="G164" s="122"/>
      <c r="H164" s="123"/>
      <c r="I164" s="124"/>
      <c r="J164" s="31"/>
      <c r="L164" s="125"/>
      <c r="M164" s="126"/>
      <c r="N164" s="26"/>
    </row>
    <row r="165" spans="1:14" ht="20" customHeight="1">
      <c r="A165" s="121">
        <v>250.96</v>
      </c>
      <c r="B165" s="122">
        <v>5267.8486669720396</v>
      </c>
      <c r="C165" s="123">
        <v>566.03368609999995</v>
      </c>
      <c r="D165" s="122">
        <v>3</v>
      </c>
      <c r="E165" s="124" t="s">
        <v>1065</v>
      </c>
      <c r="F165" s="121"/>
      <c r="G165" s="122"/>
      <c r="H165" s="123"/>
      <c r="I165" s="124"/>
      <c r="J165" s="31"/>
      <c r="L165" s="125"/>
      <c r="M165" s="126"/>
      <c r="N165" s="26"/>
    </row>
    <row r="166" spans="1:14" ht="20" customHeight="1">
      <c r="A166" s="121">
        <v>251.57999999999998</v>
      </c>
      <c r="B166" s="122">
        <v>5290.6266956446198</v>
      </c>
      <c r="C166" s="123">
        <v>563.14875110000003</v>
      </c>
      <c r="D166" s="122">
        <v>3</v>
      </c>
      <c r="E166" s="124" t="s">
        <v>1065</v>
      </c>
      <c r="F166" s="121"/>
      <c r="G166" s="122"/>
      <c r="H166" s="123"/>
      <c r="I166" s="124"/>
      <c r="J166" s="31"/>
      <c r="L166" s="125"/>
      <c r="M166" s="126"/>
      <c r="N166" s="26"/>
    </row>
    <row r="167" spans="1:14" ht="20" customHeight="1">
      <c r="A167" s="121">
        <v>253.07999999999998</v>
      </c>
      <c r="B167" s="122">
        <v>5345.0288317445202</v>
      </c>
      <c r="C167" s="123">
        <v>564.15891509999904</v>
      </c>
      <c r="D167" s="122">
        <v>3</v>
      </c>
      <c r="E167" s="124" t="s">
        <v>1065</v>
      </c>
      <c r="F167" s="121"/>
      <c r="G167" s="122"/>
      <c r="H167" s="123"/>
      <c r="I167" s="124"/>
      <c r="J167" s="31"/>
      <c r="L167" s="125"/>
      <c r="M167" s="126"/>
      <c r="N167" s="26"/>
    </row>
    <row r="168" spans="1:14" ht="20" customHeight="1">
      <c r="A168" s="121">
        <v>254.0625</v>
      </c>
      <c r="B168" s="122">
        <v>5380.4387266821996</v>
      </c>
      <c r="C168" s="123">
        <v>565.96987200000001</v>
      </c>
      <c r="D168" s="122">
        <v>3</v>
      </c>
      <c r="E168" s="124" t="s">
        <v>1065</v>
      </c>
      <c r="F168" s="121"/>
      <c r="G168" s="122"/>
      <c r="H168" s="123"/>
      <c r="I168" s="124"/>
      <c r="J168" s="31"/>
      <c r="L168" s="125"/>
      <c r="M168" s="126"/>
      <c r="N168" s="26"/>
    </row>
    <row r="169" spans="1:14" ht="20" customHeight="1">
      <c r="A169" s="121">
        <v>255.46</v>
      </c>
      <c r="B169" s="122">
        <v>5435.6342391309199</v>
      </c>
      <c r="C169" s="123">
        <v>564.69502520000003</v>
      </c>
      <c r="D169" s="122">
        <v>3</v>
      </c>
      <c r="E169" s="124" t="s">
        <v>1065</v>
      </c>
      <c r="F169" s="121"/>
      <c r="G169" s="122"/>
      <c r="H169" s="123"/>
      <c r="I169" s="124"/>
      <c r="J169" s="31"/>
      <c r="L169" s="125"/>
      <c r="M169" s="126"/>
      <c r="N169" s="26"/>
    </row>
    <row r="170" spans="1:14" ht="20" customHeight="1">
      <c r="A170" s="121">
        <v>256.55</v>
      </c>
      <c r="B170" s="122">
        <v>5480.225295878</v>
      </c>
      <c r="C170" s="123">
        <v>574.76536899999996</v>
      </c>
      <c r="D170" s="122">
        <v>3</v>
      </c>
      <c r="E170" s="124" t="s">
        <v>1065</v>
      </c>
      <c r="F170" s="121"/>
      <c r="G170" s="122"/>
      <c r="H170" s="123"/>
      <c r="I170" s="124"/>
      <c r="J170" s="31"/>
      <c r="L170" s="125"/>
      <c r="M170" s="126"/>
      <c r="N170" s="26"/>
    </row>
    <row r="171" spans="1:14" ht="20" customHeight="1">
      <c r="A171" s="121">
        <v>257.55</v>
      </c>
      <c r="B171" s="122">
        <v>5516.0706841179999</v>
      </c>
      <c r="C171" s="123">
        <v>565.92792959999997</v>
      </c>
      <c r="D171" s="122">
        <v>3</v>
      </c>
      <c r="E171" s="124" t="s">
        <v>1065</v>
      </c>
      <c r="F171" s="121"/>
      <c r="G171" s="122"/>
      <c r="H171" s="123"/>
      <c r="I171" s="124"/>
      <c r="J171" s="31"/>
      <c r="L171" s="125"/>
      <c r="M171" s="126"/>
      <c r="N171" s="26"/>
    </row>
    <row r="172" spans="1:14" ht="20" customHeight="1">
      <c r="A172" s="121">
        <v>258.55</v>
      </c>
      <c r="B172" s="122">
        <v>5549.9764357512504</v>
      </c>
      <c r="C172" s="123">
        <v>578.04279110000004</v>
      </c>
      <c r="D172" s="122">
        <v>3</v>
      </c>
      <c r="E172" s="124" t="s">
        <v>1065</v>
      </c>
      <c r="F172" s="121"/>
      <c r="G172" s="122"/>
      <c r="H172" s="123"/>
      <c r="I172" s="124"/>
      <c r="J172" s="31"/>
      <c r="L172" s="125"/>
      <c r="M172" s="126"/>
      <c r="N172" s="26"/>
    </row>
    <row r="173" spans="1:14" ht="20" customHeight="1">
      <c r="A173" s="121">
        <v>260.05</v>
      </c>
      <c r="B173" s="122">
        <v>5603.80427434595</v>
      </c>
      <c r="C173" s="123">
        <v>580.24705129999995</v>
      </c>
      <c r="D173" s="122">
        <v>3</v>
      </c>
      <c r="E173" s="124" t="s">
        <v>1065</v>
      </c>
      <c r="F173" s="121"/>
      <c r="G173" s="122"/>
      <c r="H173" s="123"/>
      <c r="I173" s="124"/>
      <c r="J173" s="31"/>
      <c r="L173" s="125"/>
      <c r="M173" s="126"/>
      <c r="N173" s="26"/>
    </row>
    <row r="174" spans="1:14" ht="20" customHeight="1">
      <c r="A174" s="121">
        <v>261.55</v>
      </c>
      <c r="B174" s="122">
        <v>5654.8479647759996</v>
      </c>
      <c r="C174" s="123">
        <v>578.32336090000001</v>
      </c>
      <c r="D174" s="122">
        <v>3</v>
      </c>
      <c r="E174" s="124" t="s">
        <v>1065</v>
      </c>
      <c r="F174" s="121"/>
      <c r="G174" s="122"/>
      <c r="H174" s="123"/>
      <c r="I174" s="124"/>
      <c r="J174" s="31"/>
      <c r="L174" s="125"/>
      <c r="M174" s="126"/>
      <c r="N174" s="26"/>
    </row>
    <row r="175" spans="1:14" ht="20" customHeight="1">
      <c r="A175" s="125">
        <v>262.04000000000002</v>
      </c>
      <c r="B175" s="127">
        <v>5670.5666451181996</v>
      </c>
      <c r="C175" s="128">
        <v>585.20000000000005</v>
      </c>
      <c r="D175" s="144">
        <v>6</v>
      </c>
      <c r="E175" s="124" t="s">
        <v>1067</v>
      </c>
      <c r="F175" s="125"/>
      <c r="G175" s="125"/>
      <c r="H175" s="128"/>
      <c r="I175" s="124"/>
      <c r="J175" s="31"/>
      <c r="L175" s="125"/>
      <c r="M175" s="126"/>
      <c r="N175" s="26"/>
    </row>
    <row r="176" spans="1:14" ht="20" customHeight="1">
      <c r="A176" s="121">
        <v>262.55</v>
      </c>
      <c r="B176" s="122">
        <v>5686.1480665887502</v>
      </c>
      <c r="C176" s="123">
        <v>585.00315039999998</v>
      </c>
      <c r="D176" s="122">
        <v>3</v>
      </c>
      <c r="E176" s="124" t="s">
        <v>1065</v>
      </c>
      <c r="F176" s="121"/>
      <c r="G176" s="122"/>
      <c r="H176" s="123"/>
      <c r="I176" s="124"/>
      <c r="J176" s="31"/>
      <c r="L176" s="125"/>
      <c r="M176" s="126"/>
      <c r="N176" s="26"/>
    </row>
    <row r="177" spans="1:14" ht="20" customHeight="1">
      <c r="A177" s="121">
        <v>264.05</v>
      </c>
      <c r="B177" s="122">
        <v>5732.5353509424503</v>
      </c>
      <c r="C177" s="123">
        <v>584.97949919999996</v>
      </c>
      <c r="D177" s="122">
        <v>3</v>
      </c>
      <c r="E177" s="124" t="s">
        <v>1065</v>
      </c>
      <c r="F177" s="121"/>
      <c r="G177" s="122"/>
      <c r="H177" s="123"/>
      <c r="I177" s="124"/>
      <c r="J177" s="31"/>
      <c r="L177" s="125"/>
      <c r="M177" s="126"/>
      <c r="N177" s="26"/>
    </row>
    <row r="178" spans="1:14" ht="20" customHeight="1">
      <c r="A178" s="121">
        <v>265</v>
      </c>
      <c r="B178" s="122">
        <v>5764.374628216</v>
      </c>
      <c r="C178" s="123">
        <v>589.21836699999903</v>
      </c>
      <c r="D178" s="122">
        <v>3</v>
      </c>
      <c r="E178" s="124" t="s">
        <v>1065</v>
      </c>
      <c r="F178" s="121"/>
      <c r="G178" s="122"/>
      <c r="H178" s="123"/>
      <c r="I178" s="124"/>
      <c r="J178" s="31"/>
      <c r="L178" s="125"/>
      <c r="M178" s="126"/>
      <c r="N178" s="26"/>
    </row>
    <row r="179" spans="1:14" ht="20" customHeight="1">
      <c r="A179" s="121">
        <v>266.89</v>
      </c>
      <c r="B179" s="122">
        <v>5833.9617651014296</v>
      </c>
      <c r="C179" s="123">
        <v>590.63856239999996</v>
      </c>
      <c r="D179" s="122">
        <v>3</v>
      </c>
      <c r="E179" s="124" t="s">
        <v>1065</v>
      </c>
      <c r="F179" s="121"/>
      <c r="G179" s="122"/>
      <c r="H179" s="123"/>
      <c r="I179" s="124"/>
      <c r="J179" s="31"/>
      <c r="L179" s="125"/>
      <c r="M179" s="126"/>
      <c r="N179" s="26"/>
    </row>
    <row r="180" spans="1:14" ht="20" customHeight="1">
      <c r="A180" s="121">
        <v>268.01</v>
      </c>
      <c r="B180" s="122">
        <v>5869.6697786136201</v>
      </c>
      <c r="C180" s="123">
        <v>583.47145149999903</v>
      </c>
      <c r="D180" s="122">
        <v>3</v>
      </c>
      <c r="E180" s="124" t="s">
        <v>1065</v>
      </c>
      <c r="F180" s="121"/>
      <c r="G180" s="122"/>
      <c r="H180" s="123"/>
      <c r="I180" s="124"/>
      <c r="J180" s="31"/>
      <c r="L180" s="125"/>
      <c r="M180" s="126"/>
      <c r="N180" s="26"/>
    </row>
    <row r="181" spans="1:14" ht="20" customHeight="1">
      <c r="A181" s="121">
        <v>269.51</v>
      </c>
      <c r="B181" s="122">
        <v>5922.2103410776999</v>
      </c>
      <c r="C181" s="123">
        <v>579.50825569999904</v>
      </c>
      <c r="D181" s="122">
        <v>3</v>
      </c>
      <c r="E181" s="124" t="s">
        <v>1065</v>
      </c>
      <c r="F181" s="121"/>
      <c r="G181" s="122"/>
      <c r="H181" s="123"/>
      <c r="I181" s="124"/>
      <c r="J181" s="31"/>
      <c r="L181" s="125"/>
      <c r="M181" s="126"/>
      <c r="N181" s="26"/>
    </row>
    <row r="182" spans="1:14" ht="20" customHeight="1">
      <c r="A182" s="121">
        <v>271.01</v>
      </c>
      <c r="B182" s="122">
        <v>5973.3225848843804</v>
      </c>
      <c r="C182" s="123">
        <v>582.84773800000005</v>
      </c>
      <c r="D182" s="122">
        <v>3</v>
      </c>
      <c r="E182" s="124" t="s">
        <v>1065</v>
      </c>
      <c r="F182" s="121"/>
      <c r="G182" s="122"/>
      <c r="H182" s="123"/>
      <c r="I182" s="124"/>
      <c r="J182" s="31"/>
      <c r="L182" s="125"/>
      <c r="M182" s="126"/>
      <c r="N182" s="26"/>
    </row>
    <row r="183" spans="1:14" ht="20" customHeight="1">
      <c r="A183" s="121">
        <v>272.39</v>
      </c>
      <c r="B183" s="122">
        <v>6024.8908711551703</v>
      </c>
      <c r="C183" s="123">
        <v>595.68402079999998</v>
      </c>
      <c r="D183" s="122">
        <v>3</v>
      </c>
      <c r="E183" s="124" t="s">
        <v>1065</v>
      </c>
      <c r="F183" s="121"/>
      <c r="G183" s="122"/>
      <c r="H183" s="123"/>
      <c r="I183" s="124"/>
      <c r="J183" s="31"/>
      <c r="L183" s="125"/>
      <c r="M183" s="126"/>
      <c r="N183" s="26"/>
    </row>
    <row r="184" spans="1:14" ht="20" customHeight="1">
      <c r="A184" s="121">
        <v>273.53250000000003</v>
      </c>
      <c r="B184" s="122">
        <v>6070.4428256826204</v>
      </c>
      <c r="C184" s="123">
        <v>598.84656500000006</v>
      </c>
      <c r="D184" s="122">
        <v>3</v>
      </c>
      <c r="E184" s="124" t="s">
        <v>1065</v>
      </c>
      <c r="F184" s="121"/>
      <c r="G184" s="122"/>
      <c r="H184" s="123"/>
      <c r="I184" s="124"/>
      <c r="J184" s="31"/>
      <c r="L184" s="125"/>
      <c r="M184" s="126"/>
      <c r="N184" s="26"/>
    </row>
    <row r="185" spans="1:14" ht="20" customHeight="1">
      <c r="A185" s="121">
        <v>274.89</v>
      </c>
      <c r="B185" s="122">
        <v>6125.3157999737496</v>
      </c>
      <c r="C185" s="123">
        <v>602.10197570000003</v>
      </c>
      <c r="D185" s="122">
        <v>3</v>
      </c>
      <c r="E185" s="124" t="s">
        <v>1065</v>
      </c>
      <c r="F185" s="121"/>
      <c r="G185" s="122"/>
      <c r="H185" s="123"/>
      <c r="I185" s="124"/>
      <c r="J185" s="31"/>
      <c r="L185" s="125"/>
      <c r="M185" s="126"/>
      <c r="N185" s="26"/>
    </row>
    <row r="186" spans="1:14" ht="20" customHeight="1">
      <c r="A186" s="125">
        <v>275.005</v>
      </c>
      <c r="B186" s="127">
        <v>6130.1650882526101</v>
      </c>
      <c r="C186" s="128">
        <v>602.29999999999995</v>
      </c>
      <c r="D186" s="144">
        <v>6</v>
      </c>
      <c r="E186" s="124" t="s">
        <v>1067</v>
      </c>
      <c r="F186" s="125"/>
      <c r="G186" s="125"/>
      <c r="H186" s="128"/>
      <c r="I186" s="124"/>
      <c r="J186" s="31"/>
      <c r="L186" s="125"/>
      <c r="M186" s="126"/>
      <c r="N186" s="26"/>
    </row>
    <row r="187" spans="1:14" ht="20" customHeight="1">
      <c r="A187" s="121">
        <v>276.01</v>
      </c>
      <c r="B187" s="122">
        <v>6171.1981237336404</v>
      </c>
      <c r="C187" s="123">
        <v>596.64138969999999</v>
      </c>
      <c r="D187" s="122">
        <v>3</v>
      </c>
      <c r="E187" s="124" t="s">
        <v>1065</v>
      </c>
      <c r="F187" s="121"/>
      <c r="G187" s="122"/>
      <c r="H187" s="123"/>
      <c r="I187" s="124"/>
      <c r="J187" s="31"/>
      <c r="L187" s="125"/>
      <c r="M187" s="126"/>
      <c r="N187" s="26"/>
    </row>
    <row r="188" spans="1:14" ht="20" customHeight="1">
      <c r="A188" s="121">
        <v>279.02</v>
      </c>
      <c r="B188" s="122">
        <v>6292.6297909508703</v>
      </c>
      <c r="C188" s="123">
        <v>607.14962109999999</v>
      </c>
      <c r="D188" s="122">
        <v>3</v>
      </c>
      <c r="E188" s="124" t="s">
        <v>1065</v>
      </c>
      <c r="F188" s="121"/>
      <c r="G188" s="122"/>
      <c r="H188" s="123"/>
      <c r="I188" s="124"/>
      <c r="J188" s="31"/>
      <c r="L188" s="125"/>
      <c r="M188" s="126"/>
      <c r="N188" s="26"/>
    </row>
    <row r="189" spans="1:14" ht="20" customHeight="1">
      <c r="A189" s="121">
        <v>280.52</v>
      </c>
      <c r="B189" s="122">
        <v>6350.75210783487</v>
      </c>
      <c r="C189" s="123">
        <v>607.34828259999904</v>
      </c>
      <c r="D189" s="122">
        <v>3</v>
      </c>
      <c r="E189" s="124" t="s">
        <v>1065</v>
      </c>
      <c r="F189" s="121"/>
      <c r="G189" s="122"/>
      <c r="H189" s="123"/>
      <c r="I189" s="124"/>
      <c r="J189" s="31"/>
      <c r="L189" s="125"/>
      <c r="M189" s="126"/>
      <c r="N189" s="26"/>
    </row>
    <row r="190" spans="1:14" ht="20" customHeight="1">
      <c r="A190" s="121">
        <v>281.52</v>
      </c>
      <c r="B190" s="122">
        <v>6393.1942543592804</v>
      </c>
      <c r="C190" s="123">
        <v>605.19391299999995</v>
      </c>
      <c r="D190" s="122">
        <v>3</v>
      </c>
      <c r="E190" s="124" t="s">
        <v>1065</v>
      </c>
      <c r="F190" s="121"/>
      <c r="G190" s="122"/>
      <c r="H190" s="123"/>
      <c r="I190" s="124"/>
      <c r="J190" s="31"/>
      <c r="L190" s="125"/>
      <c r="M190" s="126"/>
      <c r="N190" s="26"/>
    </row>
    <row r="191" spans="1:14" ht="20" customHeight="1">
      <c r="A191" s="121">
        <v>283.02</v>
      </c>
      <c r="B191" s="122">
        <v>6455.8236323681704</v>
      </c>
      <c r="C191" s="123">
        <v>603.75315160000002</v>
      </c>
      <c r="D191" s="122">
        <v>3</v>
      </c>
      <c r="E191" s="124" t="s">
        <v>1065</v>
      </c>
      <c r="F191" s="121"/>
      <c r="G191" s="122"/>
      <c r="H191" s="123"/>
      <c r="I191" s="124"/>
      <c r="J191" s="31"/>
      <c r="L191" s="125"/>
      <c r="M191" s="126"/>
      <c r="N191" s="26"/>
    </row>
    <row r="192" spans="1:14" ht="20" customHeight="1">
      <c r="A192" s="121">
        <v>284.52</v>
      </c>
      <c r="B192" s="122">
        <v>6507.3804876527902</v>
      </c>
      <c r="C192" s="123">
        <v>593.29853709999998</v>
      </c>
      <c r="D192" s="122">
        <v>3</v>
      </c>
      <c r="E192" s="124" t="s">
        <v>1065</v>
      </c>
      <c r="F192" s="121"/>
      <c r="G192" s="122"/>
      <c r="H192" s="123"/>
      <c r="I192" s="124"/>
      <c r="J192" s="31"/>
      <c r="L192" s="125"/>
      <c r="M192" s="126"/>
      <c r="N192" s="26"/>
    </row>
    <row r="193" spans="1:14" ht="20" customHeight="1">
      <c r="A193" s="121">
        <v>285.52</v>
      </c>
      <c r="B193" s="122">
        <v>6541.7168014004301</v>
      </c>
      <c r="C193" s="123">
        <v>596.2783968</v>
      </c>
      <c r="D193" s="122">
        <v>3</v>
      </c>
      <c r="E193" s="124" t="s">
        <v>1065</v>
      </c>
      <c r="F193" s="121"/>
      <c r="G193" s="122"/>
      <c r="H193" s="123"/>
      <c r="I193" s="124"/>
      <c r="J193" s="31"/>
      <c r="L193" s="125"/>
      <c r="M193" s="126"/>
      <c r="N193" s="26"/>
    </row>
    <row r="194" spans="1:14" ht="20" customHeight="1">
      <c r="A194" s="121">
        <v>287.02</v>
      </c>
      <c r="B194" s="122">
        <v>6595.9610575208799</v>
      </c>
      <c r="C194" s="123">
        <v>607.10308450000002</v>
      </c>
      <c r="D194" s="122">
        <v>3</v>
      </c>
      <c r="E194" s="124" t="s">
        <v>1065</v>
      </c>
      <c r="F194" s="121"/>
      <c r="G194" s="122"/>
      <c r="H194" s="123"/>
      <c r="I194" s="124"/>
      <c r="J194" s="31"/>
      <c r="L194" s="125"/>
      <c r="M194" s="126"/>
      <c r="N194" s="26"/>
    </row>
    <row r="195" spans="1:14" ht="20" customHeight="1">
      <c r="A195" s="121">
        <v>288.01599999999996</v>
      </c>
      <c r="B195" s="122">
        <v>6632.3066633849703</v>
      </c>
      <c r="C195" s="123">
        <v>606.22954560000005</v>
      </c>
      <c r="D195" s="122">
        <v>3</v>
      </c>
      <c r="E195" s="124" t="s">
        <v>1065</v>
      </c>
      <c r="F195" s="121"/>
      <c r="G195" s="122"/>
      <c r="H195" s="123"/>
      <c r="I195" s="124"/>
      <c r="J195" s="31"/>
      <c r="L195" s="125"/>
      <c r="M195" s="126"/>
      <c r="N195" s="26"/>
    </row>
    <row r="196" spans="1:14" ht="20" customHeight="1">
      <c r="A196" s="121">
        <v>289.52</v>
      </c>
      <c r="B196" s="122">
        <v>6684.7711296818798</v>
      </c>
      <c r="C196" s="123">
        <v>602.10610629999996</v>
      </c>
      <c r="D196" s="122">
        <v>3</v>
      </c>
      <c r="E196" s="124" t="s">
        <v>1065</v>
      </c>
      <c r="F196" s="121"/>
      <c r="G196" s="122"/>
      <c r="H196" s="123"/>
      <c r="I196" s="124"/>
      <c r="J196" s="31"/>
      <c r="L196" s="125"/>
      <c r="M196" s="126"/>
      <c r="N196" s="26"/>
    </row>
    <row r="197" spans="1:14" ht="20" customHeight="1">
      <c r="A197" s="121">
        <v>290.52</v>
      </c>
      <c r="B197" s="122">
        <v>6720.2873355431102</v>
      </c>
      <c r="C197" s="123">
        <v>602.8494445</v>
      </c>
      <c r="D197" s="122">
        <v>3</v>
      </c>
      <c r="E197" s="124" t="s">
        <v>1065</v>
      </c>
      <c r="F197" s="121"/>
      <c r="G197" s="122"/>
      <c r="H197" s="123"/>
      <c r="I197" s="124"/>
      <c r="J197" s="31"/>
      <c r="L197" s="125"/>
      <c r="M197" s="126"/>
      <c r="N197" s="26"/>
    </row>
    <row r="198" spans="1:14" ht="20" customHeight="1">
      <c r="A198" s="121">
        <v>291.89999999999998</v>
      </c>
      <c r="B198" s="122">
        <v>6771.2693630142903</v>
      </c>
      <c r="C198" s="123">
        <v>610.09495260000006</v>
      </c>
      <c r="D198" s="122">
        <v>3</v>
      </c>
      <c r="E198" s="124" t="s">
        <v>1065</v>
      </c>
      <c r="F198" s="121"/>
      <c r="G198" s="122"/>
      <c r="H198" s="123"/>
      <c r="I198" s="124"/>
      <c r="J198" s="31"/>
      <c r="L198" s="125"/>
      <c r="M198" s="126"/>
      <c r="N198" s="26"/>
    </row>
    <row r="199" spans="1:14" ht="20" customHeight="1">
      <c r="A199" s="125">
        <v>292.51</v>
      </c>
      <c r="B199" s="127">
        <v>6796.4775841565897</v>
      </c>
      <c r="C199" s="128">
        <v>608.29999999999995</v>
      </c>
      <c r="D199" s="144">
        <v>6</v>
      </c>
      <c r="E199" s="124" t="s">
        <v>1067</v>
      </c>
      <c r="F199" s="125"/>
      <c r="G199" s="125"/>
      <c r="H199" s="128"/>
      <c r="I199" s="124"/>
      <c r="J199" s="31"/>
      <c r="L199" s="125"/>
      <c r="M199" s="126"/>
      <c r="N199" s="26"/>
    </row>
    <row r="200" spans="1:14" ht="20" customHeight="1">
      <c r="A200" s="121">
        <v>293.02</v>
      </c>
      <c r="B200" s="122">
        <v>6817.9330512881697</v>
      </c>
      <c r="C200" s="123">
        <v>608.6305476</v>
      </c>
      <c r="D200" s="122">
        <v>3</v>
      </c>
      <c r="E200" s="124" t="s">
        <v>1065</v>
      </c>
      <c r="F200" s="121"/>
      <c r="G200" s="122"/>
      <c r="H200" s="123"/>
      <c r="I200" s="124"/>
      <c r="J200" s="31"/>
      <c r="L200" s="125"/>
      <c r="M200" s="126"/>
      <c r="N200" s="26"/>
    </row>
    <row r="201" spans="1:14" ht="20" customHeight="1">
      <c r="A201" s="121">
        <v>294.39999999999998</v>
      </c>
      <c r="B201" s="122">
        <v>6874.28292659619</v>
      </c>
      <c r="C201" s="123">
        <v>617.33115239999995</v>
      </c>
      <c r="D201" s="122">
        <v>3</v>
      </c>
      <c r="E201" s="124" t="s">
        <v>1065</v>
      </c>
      <c r="F201" s="121"/>
      <c r="G201" s="122"/>
      <c r="H201" s="123"/>
      <c r="I201" s="124"/>
      <c r="J201" s="31"/>
      <c r="L201" s="125"/>
      <c r="M201" s="126"/>
      <c r="N201" s="26"/>
    </row>
    <row r="202" spans="1:14" ht="20" customHeight="1">
      <c r="A202" s="121">
        <v>295.52</v>
      </c>
      <c r="B202" s="122">
        <v>6921.1962880537903</v>
      </c>
      <c r="C202" s="123">
        <v>621.06064919999903</v>
      </c>
      <c r="D202" s="122">
        <v>3</v>
      </c>
      <c r="E202" s="124" t="s">
        <v>1065</v>
      </c>
      <c r="F202" s="121"/>
      <c r="G202" s="122"/>
      <c r="H202" s="123"/>
      <c r="I202" s="124"/>
      <c r="J202" s="31"/>
      <c r="L202" s="125"/>
      <c r="M202" s="126"/>
      <c r="N202" s="26"/>
    </row>
    <row r="203" spans="1:14" ht="20" customHeight="1">
      <c r="A203" s="121">
        <v>297.02</v>
      </c>
      <c r="B203" s="122">
        <v>6983.68743359361</v>
      </c>
      <c r="C203" s="123">
        <v>624.54976839999904</v>
      </c>
      <c r="D203" s="122">
        <v>3</v>
      </c>
      <c r="E203" s="124" t="s">
        <v>1065</v>
      </c>
      <c r="F203" s="121"/>
      <c r="G203" s="122"/>
      <c r="H203" s="123"/>
      <c r="I203" s="124"/>
      <c r="J203" s="31"/>
      <c r="L203" s="125"/>
      <c r="M203" s="126"/>
      <c r="N203" s="26"/>
    </row>
    <row r="204" spans="1:14" ht="20" customHeight="1">
      <c r="A204" s="121">
        <v>297.95999999999998</v>
      </c>
      <c r="B204" s="122">
        <v>7019.2595144237503</v>
      </c>
      <c r="C204" s="123">
        <v>621.74826610000002</v>
      </c>
      <c r="D204" s="122">
        <v>3</v>
      </c>
      <c r="E204" s="124" t="s">
        <v>1065</v>
      </c>
      <c r="F204" s="121"/>
      <c r="G204" s="122"/>
      <c r="H204" s="123"/>
      <c r="I204" s="124"/>
      <c r="J204" s="31"/>
      <c r="L204" s="125"/>
      <c r="M204" s="126"/>
      <c r="N204" s="26"/>
    </row>
    <row r="205" spans="1:14" ht="20" customHeight="1">
      <c r="A205" s="121">
        <v>299.83999999999997</v>
      </c>
      <c r="B205" s="122">
        <v>7088.6094017923497</v>
      </c>
      <c r="C205" s="123">
        <v>625.42733650000002</v>
      </c>
      <c r="D205" s="122">
        <v>3</v>
      </c>
      <c r="E205" s="124" t="s">
        <v>1065</v>
      </c>
      <c r="F205" s="121"/>
      <c r="G205" s="122"/>
      <c r="H205" s="123"/>
      <c r="I205" s="124"/>
      <c r="J205" s="31"/>
      <c r="L205" s="125"/>
      <c r="M205" s="126"/>
      <c r="N205" s="26"/>
    </row>
    <row r="206" spans="1:14" ht="20" customHeight="1">
      <c r="A206" s="121">
        <v>300.83999999999997</v>
      </c>
      <c r="B206" s="122">
        <v>7122.8888690280301</v>
      </c>
      <c r="C206" s="123">
        <v>623.81753609999998</v>
      </c>
      <c r="D206" s="122">
        <v>3</v>
      </c>
      <c r="E206" s="124" t="s">
        <v>1065</v>
      </c>
      <c r="F206" s="121"/>
      <c r="G206" s="122"/>
      <c r="H206" s="123"/>
      <c r="I206" s="124"/>
      <c r="J206" s="31"/>
      <c r="L206" s="125"/>
      <c r="M206" s="126"/>
      <c r="N206" s="26"/>
    </row>
    <row r="207" spans="1:14" ht="20" customHeight="1">
      <c r="A207" s="121">
        <v>302.83999999999997</v>
      </c>
      <c r="B207" s="122">
        <v>7206.52900234967</v>
      </c>
      <c r="C207" s="123">
        <v>623.57146950000003</v>
      </c>
      <c r="D207" s="122">
        <v>3</v>
      </c>
      <c r="E207" s="124" t="s">
        <v>1065</v>
      </c>
      <c r="F207" s="121"/>
      <c r="G207" s="122"/>
      <c r="H207" s="123"/>
      <c r="I207" s="124"/>
      <c r="J207" s="31"/>
      <c r="L207" s="125"/>
      <c r="M207" s="126"/>
      <c r="N207" s="26"/>
    </row>
    <row r="208" spans="1:14" ht="20" customHeight="1">
      <c r="A208" s="121">
        <v>303.45999999999998</v>
      </c>
      <c r="B208" s="122">
        <v>7234.4149867779497</v>
      </c>
      <c r="C208" s="123">
        <v>622.45303799999999</v>
      </c>
      <c r="D208" s="122">
        <v>3</v>
      </c>
      <c r="E208" s="124" t="s">
        <v>1065</v>
      </c>
      <c r="F208" s="121"/>
      <c r="G208" s="122"/>
      <c r="H208" s="123"/>
      <c r="I208" s="124"/>
      <c r="J208" s="31"/>
      <c r="L208" s="125"/>
      <c r="M208" s="126"/>
      <c r="N208" s="26"/>
    </row>
    <row r="209" spans="1:14" ht="20" customHeight="1">
      <c r="A209" s="121">
        <v>304.95999999999998</v>
      </c>
      <c r="B209" s="122">
        <v>7295.8696417963101</v>
      </c>
      <c r="C209" s="123">
        <v>618.10804780000001</v>
      </c>
      <c r="D209" s="122">
        <v>3</v>
      </c>
      <c r="E209" s="124" t="s">
        <v>1065</v>
      </c>
      <c r="F209" s="121"/>
      <c r="G209" s="122"/>
      <c r="H209" s="123"/>
      <c r="I209" s="124"/>
      <c r="J209" s="31"/>
      <c r="L209" s="125"/>
      <c r="M209" s="126"/>
      <c r="N209" s="26"/>
    </row>
    <row r="210" spans="1:14" ht="20" customHeight="1">
      <c r="A210" s="121">
        <v>306.45999999999998</v>
      </c>
      <c r="B210" s="122">
        <v>7348.8595124616804</v>
      </c>
      <c r="C210" s="123">
        <v>622.74554660000001</v>
      </c>
      <c r="D210" s="122">
        <v>3</v>
      </c>
      <c r="E210" s="124" t="s">
        <v>1065</v>
      </c>
      <c r="F210" s="121"/>
      <c r="G210" s="122"/>
      <c r="H210" s="123"/>
      <c r="I210" s="124"/>
      <c r="J210" s="31"/>
      <c r="L210" s="125"/>
      <c r="M210" s="126"/>
      <c r="N210" s="26"/>
    </row>
    <row r="211" spans="1:14" ht="20" customHeight="1">
      <c r="A211" s="121">
        <v>307.45999999999998</v>
      </c>
      <c r="B211" s="122">
        <v>7382.2527017163702</v>
      </c>
      <c r="C211" s="123">
        <v>622.45782250000002</v>
      </c>
      <c r="D211" s="122">
        <v>3</v>
      </c>
      <c r="E211" s="124" t="s">
        <v>1065</v>
      </c>
      <c r="F211" s="121"/>
      <c r="G211" s="122"/>
      <c r="H211" s="123"/>
      <c r="I211" s="124"/>
      <c r="J211" s="31"/>
      <c r="L211" s="125"/>
      <c r="M211" s="126"/>
      <c r="N211" s="26"/>
    </row>
    <row r="212" spans="1:14" ht="20" customHeight="1">
      <c r="A212" s="121">
        <v>308.95999999999998</v>
      </c>
      <c r="B212" s="122">
        <v>7434.37682229247</v>
      </c>
      <c r="C212" s="123">
        <v>625.82632490000003</v>
      </c>
      <c r="D212" s="122">
        <v>3</v>
      </c>
      <c r="E212" s="124" t="s">
        <v>1065</v>
      </c>
      <c r="F212" s="121"/>
      <c r="G212" s="122"/>
      <c r="H212" s="123"/>
      <c r="I212" s="124"/>
      <c r="J212" s="31"/>
      <c r="L212" s="125"/>
      <c r="M212" s="126"/>
      <c r="N212" s="26"/>
    </row>
    <row r="213" spans="1:14" ht="20" customHeight="1">
      <c r="A213" s="125">
        <v>309.95499999999998</v>
      </c>
      <c r="B213" s="127">
        <v>7470.8202276286302</v>
      </c>
      <c r="C213" s="128">
        <v>617.9</v>
      </c>
      <c r="D213" s="144">
        <v>6</v>
      </c>
      <c r="E213" s="124" t="s">
        <v>1067</v>
      </c>
      <c r="F213" s="125"/>
      <c r="G213" s="125"/>
      <c r="H213" s="128"/>
      <c r="I213" s="124"/>
      <c r="J213" s="31"/>
      <c r="L213" s="125"/>
      <c r="M213" s="126"/>
      <c r="N213" s="26"/>
    </row>
    <row r="214" spans="1:14" ht="20" customHeight="1">
      <c r="A214" s="121">
        <v>310.83999999999997</v>
      </c>
      <c r="B214" s="122">
        <v>7503.4186512003898</v>
      </c>
      <c r="C214" s="123">
        <v>621.94228599999997</v>
      </c>
      <c r="D214" s="122">
        <v>3</v>
      </c>
      <c r="E214" s="124" t="s">
        <v>1065</v>
      </c>
      <c r="F214" s="121"/>
      <c r="G214" s="122"/>
      <c r="H214" s="123"/>
      <c r="I214" s="124"/>
      <c r="J214" s="31"/>
      <c r="L214" s="125"/>
      <c r="M214" s="126"/>
      <c r="N214" s="26"/>
    </row>
    <row r="215" spans="1:14" ht="20" customHeight="1">
      <c r="A215" s="121">
        <v>311.83999999999997</v>
      </c>
      <c r="B215" s="122">
        <v>7537.7743071431496</v>
      </c>
      <c r="C215" s="123">
        <v>623.75583259999996</v>
      </c>
      <c r="D215" s="122">
        <v>3</v>
      </c>
      <c r="E215" s="124" t="s">
        <v>1065</v>
      </c>
      <c r="F215" s="121"/>
      <c r="G215" s="122"/>
      <c r="H215" s="123"/>
      <c r="I215" s="124"/>
      <c r="J215" s="31"/>
      <c r="L215" s="125"/>
      <c r="M215" s="126"/>
      <c r="N215" s="26"/>
    </row>
    <row r="216" spans="1:14" ht="20" customHeight="1">
      <c r="A216" s="121">
        <v>312.95999999999998</v>
      </c>
      <c r="B216" s="122">
        <v>7577.4153701285904</v>
      </c>
      <c r="C216" s="123">
        <v>627.10020489999999</v>
      </c>
      <c r="D216" s="122">
        <v>3</v>
      </c>
      <c r="E216" s="124" t="s">
        <v>1065</v>
      </c>
      <c r="F216" s="121"/>
      <c r="G216" s="122"/>
      <c r="H216" s="123"/>
      <c r="I216" s="124"/>
      <c r="J216" s="31"/>
      <c r="L216" s="125"/>
      <c r="M216" s="126"/>
      <c r="N216" s="26"/>
    </row>
    <row r="217" spans="1:14" ht="20" customHeight="1">
      <c r="A217" s="121">
        <v>313.95999999999998</v>
      </c>
      <c r="B217" s="122">
        <v>7613.6346470385497</v>
      </c>
      <c r="C217" s="123">
        <v>622.70791159999999</v>
      </c>
      <c r="D217" s="122">
        <v>3</v>
      </c>
      <c r="E217" s="124" t="s">
        <v>1065</v>
      </c>
      <c r="F217" s="121"/>
      <c r="G217" s="122"/>
      <c r="H217" s="123"/>
      <c r="I217" s="124"/>
      <c r="J217" s="31"/>
      <c r="L217" s="125"/>
      <c r="M217" s="126"/>
      <c r="N217" s="26"/>
    </row>
    <row r="218" spans="1:14" ht="20" customHeight="1">
      <c r="A218" s="121">
        <v>314.95999999999998</v>
      </c>
      <c r="B218" s="122">
        <v>7648.7344010909501</v>
      </c>
      <c r="C218" s="123">
        <v>622.16620320000004</v>
      </c>
      <c r="D218" s="122">
        <v>3</v>
      </c>
      <c r="E218" s="124" t="s">
        <v>1065</v>
      </c>
      <c r="F218" s="121"/>
      <c r="G218" s="122"/>
      <c r="H218" s="123"/>
      <c r="I218" s="124"/>
      <c r="J218" s="31"/>
      <c r="L218" s="125"/>
      <c r="M218" s="126"/>
      <c r="N218" s="26"/>
    </row>
    <row r="219" spans="1:14" ht="20" customHeight="1">
      <c r="A219" s="121">
        <v>316.45999999999998</v>
      </c>
      <c r="B219" s="122">
        <v>7693.1868249045701</v>
      </c>
      <c r="C219" s="123">
        <v>619.42245379999997</v>
      </c>
      <c r="D219" s="122">
        <v>3</v>
      </c>
      <c r="E219" s="124" t="s">
        <v>1065</v>
      </c>
      <c r="F219" s="121"/>
      <c r="G219" s="122"/>
      <c r="H219" s="123"/>
      <c r="I219" s="124"/>
      <c r="J219" s="31"/>
      <c r="L219" s="125"/>
      <c r="M219" s="126"/>
      <c r="N219" s="26"/>
    </row>
    <row r="220" spans="1:14" ht="20" customHeight="1">
      <c r="A220" s="121">
        <v>317.95999999999998</v>
      </c>
      <c r="B220" s="122">
        <v>7738.2310404516702</v>
      </c>
      <c r="C220" s="123">
        <v>621.1405565</v>
      </c>
      <c r="D220" s="122">
        <v>3</v>
      </c>
      <c r="E220" s="124" t="s">
        <v>1065</v>
      </c>
      <c r="F220" s="121"/>
      <c r="G220" s="122"/>
      <c r="H220" s="123"/>
      <c r="I220" s="124"/>
      <c r="J220" s="31"/>
      <c r="L220" s="125"/>
      <c r="M220" s="126"/>
      <c r="N220" s="26"/>
    </row>
    <row r="221" spans="1:14" ht="20" customHeight="1">
      <c r="A221" s="121">
        <v>319.33999999999997</v>
      </c>
      <c r="B221" s="122">
        <v>7782.3367786732497</v>
      </c>
      <c r="C221" s="123">
        <v>622.7200765</v>
      </c>
      <c r="D221" s="122">
        <v>3</v>
      </c>
      <c r="E221" s="124" t="s">
        <v>1065</v>
      </c>
      <c r="F221" s="121"/>
      <c r="G221" s="122"/>
      <c r="H221" s="123"/>
      <c r="I221" s="124"/>
      <c r="J221" s="31"/>
      <c r="L221" s="125"/>
      <c r="M221" s="126"/>
      <c r="N221" s="26"/>
    </row>
    <row r="222" spans="1:14" ht="20" customHeight="1">
      <c r="A222" s="121">
        <v>319.95999999999998</v>
      </c>
      <c r="B222" s="122">
        <v>7802.8938610254399</v>
      </c>
      <c r="C222" s="123">
        <v>623.67257559999996</v>
      </c>
      <c r="D222" s="122">
        <v>3</v>
      </c>
      <c r="E222" s="124" t="s">
        <v>1065</v>
      </c>
      <c r="F222" s="121"/>
      <c r="G222" s="122"/>
      <c r="H222" s="123"/>
      <c r="I222" s="124"/>
      <c r="J222" s="31"/>
      <c r="L222" s="125"/>
      <c r="M222" s="126"/>
      <c r="N222" s="26"/>
    </row>
    <row r="223" spans="1:14" ht="20" customHeight="1">
      <c r="A223" s="121">
        <v>321.33999999999997</v>
      </c>
      <c r="B223" s="122">
        <v>7851.6346559630902</v>
      </c>
      <c r="C223" s="123">
        <v>626.05082890000006</v>
      </c>
      <c r="D223" s="122">
        <v>3</v>
      </c>
      <c r="E223" s="124" t="s">
        <v>1065</v>
      </c>
      <c r="F223" s="121"/>
      <c r="G223" s="122"/>
      <c r="H223" s="123"/>
      <c r="I223" s="124"/>
      <c r="J223" s="31"/>
      <c r="L223" s="125"/>
      <c r="M223" s="126"/>
      <c r="N223" s="26"/>
    </row>
    <row r="224" spans="1:14" ht="20" customHeight="1">
      <c r="A224" s="121">
        <v>321.95999999999998</v>
      </c>
      <c r="B224" s="122">
        <v>7873.5195905643996</v>
      </c>
      <c r="C224" s="123">
        <v>627.28299619999996</v>
      </c>
      <c r="D224" s="122">
        <v>3</v>
      </c>
      <c r="E224" s="124" t="s">
        <v>1065</v>
      </c>
      <c r="F224" s="121"/>
      <c r="G224" s="122"/>
      <c r="H224" s="123"/>
      <c r="I224" s="124"/>
      <c r="J224" s="31"/>
      <c r="L224" s="125"/>
      <c r="M224" s="126"/>
      <c r="N224" s="26"/>
    </row>
    <row r="225" spans="1:14" ht="20" customHeight="1">
      <c r="A225" s="121">
        <v>323.45999999999998</v>
      </c>
      <c r="B225" s="122">
        <v>7928.4622155508796</v>
      </c>
      <c r="C225" s="123">
        <v>629.14907860000005</v>
      </c>
      <c r="D225" s="122">
        <v>3</v>
      </c>
      <c r="E225" s="124" t="s">
        <v>1065</v>
      </c>
      <c r="F225" s="121"/>
      <c r="G225" s="122"/>
      <c r="H225" s="123"/>
      <c r="I225" s="124"/>
      <c r="J225" s="31"/>
      <c r="L225" s="125"/>
      <c r="M225" s="126"/>
      <c r="N225" s="26"/>
    </row>
    <row r="226" spans="1:14" ht="20" customHeight="1">
      <c r="A226" s="121">
        <v>324.83999999999997</v>
      </c>
      <c r="B226" s="122">
        <v>7984.0303330739898</v>
      </c>
      <c r="C226" s="123">
        <v>628.01416749999999</v>
      </c>
      <c r="D226" s="122">
        <v>3</v>
      </c>
      <c r="E226" s="124" t="s">
        <v>1065</v>
      </c>
      <c r="F226" s="121"/>
      <c r="G226" s="122"/>
      <c r="H226" s="123"/>
      <c r="I226" s="124"/>
      <c r="J226" s="31"/>
      <c r="L226" s="125"/>
      <c r="M226" s="126"/>
      <c r="N226" s="26"/>
    </row>
    <row r="227" spans="1:14" ht="20" customHeight="1">
      <c r="A227" s="121">
        <v>325.83999999999997</v>
      </c>
      <c r="B227" s="122">
        <v>8020.0345752459198</v>
      </c>
      <c r="C227" s="123">
        <v>626.33070380000004</v>
      </c>
      <c r="D227" s="122">
        <v>3</v>
      </c>
      <c r="E227" s="124" t="s">
        <v>1065</v>
      </c>
      <c r="F227" s="121"/>
      <c r="G227" s="122"/>
      <c r="H227" s="123"/>
      <c r="I227" s="124"/>
      <c r="J227" s="31"/>
      <c r="L227" s="125"/>
      <c r="M227" s="126"/>
      <c r="N227" s="26"/>
    </row>
    <row r="228" spans="1:14" ht="20" customHeight="1">
      <c r="A228" s="121">
        <v>326.95999999999998</v>
      </c>
      <c r="B228" s="122">
        <v>8061.45823555279</v>
      </c>
      <c r="C228" s="123">
        <v>617.4435115</v>
      </c>
      <c r="D228" s="122">
        <v>3</v>
      </c>
      <c r="E228" s="124" t="s">
        <v>1065</v>
      </c>
      <c r="F228" s="121"/>
      <c r="G228" s="122"/>
      <c r="H228" s="123"/>
      <c r="I228" s="124"/>
      <c r="J228" s="31"/>
      <c r="L228" s="125"/>
      <c r="M228" s="126"/>
      <c r="N228" s="26"/>
    </row>
    <row r="229" spans="1:14" ht="20" customHeight="1">
      <c r="A229" s="121">
        <v>327.96</v>
      </c>
      <c r="B229" s="122">
        <v>8097.8575815971099</v>
      </c>
      <c r="C229" s="123">
        <v>601.60565910000003</v>
      </c>
      <c r="D229" s="122">
        <v>3</v>
      </c>
      <c r="E229" s="124" t="s">
        <v>1065</v>
      </c>
      <c r="F229" s="121"/>
      <c r="G229" s="122"/>
      <c r="H229" s="123"/>
      <c r="I229" s="124"/>
      <c r="J229" s="31"/>
      <c r="L229" s="125"/>
      <c r="M229" s="126"/>
      <c r="N229" s="26"/>
    </row>
    <row r="230" spans="1:14" ht="20" customHeight="1">
      <c r="A230" s="121">
        <v>328.96</v>
      </c>
      <c r="B230" s="122">
        <v>8134.6788822782401</v>
      </c>
      <c r="C230" s="123">
        <v>599.15950640000005</v>
      </c>
      <c r="D230" s="122">
        <v>3</v>
      </c>
      <c r="E230" s="124" t="s">
        <v>1065</v>
      </c>
      <c r="F230" s="121"/>
      <c r="G230" s="122"/>
      <c r="H230" s="123"/>
      <c r="I230" s="124"/>
      <c r="J230" s="31"/>
      <c r="L230" s="125"/>
      <c r="M230" s="126"/>
      <c r="N230" s="26"/>
    </row>
    <row r="231" spans="1:14" ht="20" customHeight="1">
      <c r="A231" s="121">
        <v>330.46</v>
      </c>
      <c r="B231" s="122">
        <v>8191.7797221221699</v>
      </c>
      <c r="C231" s="123">
        <v>628.67428170000005</v>
      </c>
      <c r="D231" s="122">
        <v>3</v>
      </c>
      <c r="E231" s="124" t="s">
        <v>1065</v>
      </c>
      <c r="F231" s="121"/>
      <c r="G231" s="122"/>
      <c r="H231" s="123"/>
      <c r="I231" s="124"/>
      <c r="J231" s="31"/>
      <c r="L231" s="125"/>
      <c r="M231" s="126"/>
      <c r="N231" s="26"/>
    </row>
    <row r="232" spans="1:14" ht="20" customHeight="1">
      <c r="A232" s="121">
        <v>332.34</v>
      </c>
      <c r="B232" s="122">
        <v>8262.9158854194902</v>
      </c>
      <c r="C232" s="123">
        <v>641.82823240000005</v>
      </c>
      <c r="D232" s="122">
        <v>3</v>
      </c>
      <c r="E232" s="124" t="s">
        <v>1065</v>
      </c>
      <c r="F232" s="121"/>
      <c r="G232" s="122"/>
      <c r="H232" s="123"/>
      <c r="I232" s="124"/>
      <c r="J232" s="31"/>
      <c r="L232" s="125"/>
      <c r="M232" s="126"/>
      <c r="N232" s="26"/>
    </row>
    <row r="233" spans="1:14" ht="20" customHeight="1">
      <c r="A233" s="125">
        <v>332.45</v>
      </c>
      <c r="B233" s="127">
        <v>8267.0170516727394</v>
      </c>
      <c r="C233" s="128">
        <v>636.5</v>
      </c>
      <c r="D233" s="144">
        <v>6</v>
      </c>
      <c r="E233" s="124" t="s">
        <v>1067</v>
      </c>
      <c r="F233" s="125"/>
      <c r="G233" s="125"/>
      <c r="H233" s="128"/>
      <c r="I233" s="124"/>
      <c r="J233" s="31"/>
      <c r="L233" s="125"/>
      <c r="M233" s="126"/>
      <c r="N233" s="26"/>
    </row>
    <row r="234" spans="1:14" ht="20" customHeight="1">
      <c r="A234" s="121">
        <v>333.84</v>
      </c>
      <c r="B234" s="122">
        <v>8319.4548648905202</v>
      </c>
      <c r="C234" s="123">
        <v>649.61551499999996</v>
      </c>
      <c r="D234" s="122">
        <v>3</v>
      </c>
      <c r="E234" s="124" t="s">
        <v>1065</v>
      </c>
      <c r="F234" s="121"/>
      <c r="G234" s="122"/>
      <c r="H234" s="123"/>
      <c r="I234" s="124"/>
      <c r="J234" s="31"/>
      <c r="L234" s="125"/>
      <c r="M234" s="126"/>
      <c r="N234" s="26"/>
    </row>
    <row r="235" spans="1:14" ht="20" customHeight="1">
      <c r="A235" s="121">
        <v>334.46</v>
      </c>
      <c r="B235" s="122">
        <v>8343.2995549950501</v>
      </c>
      <c r="C235" s="123">
        <v>639.98830659999999</v>
      </c>
      <c r="D235" s="122">
        <v>3</v>
      </c>
      <c r="E235" s="124" t="s">
        <v>1065</v>
      </c>
      <c r="F235" s="121"/>
      <c r="G235" s="122"/>
      <c r="H235" s="123"/>
      <c r="I235" s="124"/>
      <c r="J235" s="31"/>
      <c r="L235" s="125"/>
      <c r="M235" s="126"/>
      <c r="N235" s="26"/>
    </row>
    <row r="236" spans="1:14" ht="20" customHeight="1">
      <c r="A236" s="121">
        <v>335.94</v>
      </c>
      <c r="B236" s="122">
        <v>8396.8437462313996</v>
      </c>
      <c r="C236" s="123">
        <v>644.32833230000006</v>
      </c>
      <c r="D236" s="122">
        <v>3</v>
      </c>
      <c r="E236" s="124" t="s">
        <v>1065</v>
      </c>
      <c r="F236" s="121"/>
      <c r="G236" s="122"/>
      <c r="H236" s="123"/>
      <c r="I236" s="124"/>
      <c r="J236" s="31"/>
      <c r="L236" s="125"/>
      <c r="M236" s="126"/>
      <c r="N236" s="26"/>
    </row>
    <row r="237" spans="1:14" ht="20" customHeight="1">
      <c r="A237" s="121">
        <v>336.94</v>
      </c>
      <c r="B237" s="122">
        <v>8430.68392088357</v>
      </c>
      <c r="C237" s="123">
        <v>647.62546929999996</v>
      </c>
      <c r="D237" s="122">
        <v>3</v>
      </c>
      <c r="E237" s="124" t="s">
        <v>1065</v>
      </c>
      <c r="F237" s="121"/>
      <c r="G237" s="122"/>
      <c r="H237" s="123"/>
      <c r="I237" s="124"/>
      <c r="J237" s="31"/>
      <c r="L237" s="125"/>
      <c r="M237" s="126"/>
      <c r="N237" s="26"/>
    </row>
    <row r="238" spans="1:14" ht="20" customHeight="1">
      <c r="A238" s="121">
        <v>338.44</v>
      </c>
      <c r="B238" s="122">
        <v>8484.7262980301202</v>
      </c>
      <c r="C238" s="123">
        <v>653.78256169999997</v>
      </c>
      <c r="D238" s="122">
        <v>3</v>
      </c>
      <c r="E238" s="124" t="s">
        <v>1065</v>
      </c>
      <c r="F238" s="121"/>
      <c r="G238" s="122"/>
      <c r="H238" s="123"/>
      <c r="I238" s="124"/>
      <c r="J238" s="31"/>
      <c r="L238" s="125"/>
      <c r="M238" s="126"/>
      <c r="N238" s="26"/>
    </row>
    <row r="239" spans="1:14" ht="20" customHeight="1">
      <c r="A239" s="121">
        <v>339.82</v>
      </c>
      <c r="B239" s="122">
        <v>8535.6705372589695</v>
      </c>
      <c r="C239" s="123">
        <v>654.5799614</v>
      </c>
      <c r="D239" s="122">
        <v>3</v>
      </c>
      <c r="E239" s="124" t="s">
        <v>1065</v>
      </c>
      <c r="F239" s="121"/>
      <c r="G239" s="122"/>
      <c r="H239" s="123"/>
      <c r="I239" s="124"/>
      <c r="J239" s="31"/>
      <c r="L239" s="125"/>
      <c r="M239" s="126"/>
      <c r="N239" s="26"/>
    </row>
    <row r="240" spans="1:14" ht="20" customHeight="1">
      <c r="A240" s="121">
        <v>341.32</v>
      </c>
      <c r="B240" s="122">
        <v>8590.7844088155198</v>
      </c>
      <c r="C240" s="123">
        <v>663.78010849999998</v>
      </c>
      <c r="D240" s="122">
        <v>3</v>
      </c>
      <c r="E240" s="124" t="s">
        <v>1065</v>
      </c>
      <c r="F240" s="121"/>
      <c r="G240" s="122"/>
      <c r="H240" s="123"/>
      <c r="I240" s="124"/>
      <c r="J240" s="31"/>
      <c r="L240" s="125"/>
      <c r="M240" s="126"/>
      <c r="N240" s="26"/>
    </row>
    <row r="241" spans="1:14" ht="20" customHeight="1">
      <c r="A241" s="121">
        <v>343.48</v>
      </c>
      <c r="B241" s="122">
        <v>8677.0351619651192</v>
      </c>
      <c r="C241" s="123">
        <v>662.63708140000006</v>
      </c>
      <c r="D241" s="122">
        <v>3</v>
      </c>
      <c r="E241" s="124" t="s">
        <v>1065</v>
      </c>
      <c r="F241" s="121"/>
      <c r="G241" s="122"/>
      <c r="H241" s="123"/>
      <c r="I241" s="124"/>
      <c r="J241" s="31"/>
      <c r="L241" s="125"/>
      <c r="M241" s="126"/>
      <c r="N241" s="26"/>
    </row>
    <row r="242" spans="1:14" ht="20" customHeight="1">
      <c r="A242" s="121">
        <v>344.48</v>
      </c>
      <c r="B242" s="122">
        <v>8718.3454970539206</v>
      </c>
      <c r="C242" s="123">
        <v>661.98008460000005</v>
      </c>
      <c r="D242" s="122">
        <v>3</v>
      </c>
      <c r="E242" s="124" t="s">
        <v>1065</v>
      </c>
      <c r="F242" s="121"/>
      <c r="G242" s="122"/>
      <c r="H242" s="123"/>
      <c r="I242" s="124"/>
      <c r="J242" s="31"/>
      <c r="L242" s="125"/>
      <c r="M242" s="126"/>
      <c r="N242" s="26"/>
    </row>
    <row r="243" spans="1:14" ht="20" customHeight="1">
      <c r="A243" s="121">
        <v>346.36</v>
      </c>
      <c r="B243" s="122">
        <v>8795.9677884513203</v>
      </c>
      <c r="C243" s="123">
        <v>667.40763179999999</v>
      </c>
      <c r="D243" s="122">
        <v>3</v>
      </c>
      <c r="E243" s="124" t="s">
        <v>1065</v>
      </c>
      <c r="F243" s="121"/>
      <c r="G243" s="122"/>
      <c r="H243" s="123"/>
      <c r="I243" s="124"/>
      <c r="J243" s="31"/>
      <c r="L243" s="125"/>
      <c r="M243" s="126"/>
      <c r="N243" s="26"/>
    </row>
    <row r="244" spans="1:14" ht="20" customHeight="1">
      <c r="A244" s="121">
        <v>347.36</v>
      </c>
      <c r="B244" s="122">
        <v>8837.2047787053598</v>
      </c>
      <c r="C244" s="123">
        <v>670.65621280000005</v>
      </c>
      <c r="D244" s="122">
        <v>3</v>
      </c>
      <c r="E244" s="124" t="s">
        <v>1065</v>
      </c>
      <c r="F244" s="121"/>
      <c r="G244" s="122"/>
      <c r="H244" s="123"/>
      <c r="I244" s="124"/>
      <c r="J244" s="31"/>
      <c r="L244" s="125"/>
      <c r="M244" s="126"/>
      <c r="N244" s="26"/>
    </row>
    <row r="245" spans="1:14" ht="20" customHeight="1">
      <c r="A245" s="121">
        <v>348.48</v>
      </c>
      <c r="B245" s="122">
        <v>8884.7369469866408</v>
      </c>
      <c r="C245" s="123">
        <v>666.89977739999904</v>
      </c>
      <c r="D245" s="122">
        <v>3</v>
      </c>
      <c r="E245" s="124" t="s">
        <v>1065</v>
      </c>
      <c r="F245" s="121"/>
      <c r="G245" s="122"/>
      <c r="H245" s="123"/>
      <c r="I245" s="124"/>
      <c r="J245" s="31"/>
      <c r="L245" s="125"/>
      <c r="M245" s="126"/>
      <c r="N245" s="26"/>
    </row>
    <row r="246" spans="1:14" ht="20" customHeight="1">
      <c r="A246" s="121">
        <v>349.98</v>
      </c>
      <c r="B246" s="122">
        <v>8949.8755933163393</v>
      </c>
      <c r="C246" s="123">
        <v>666.61247530000003</v>
      </c>
      <c r="D246" s="122">
        <v>3</v>
      </c>
      <c r="E246" s="124" t="s">
        <v>1065</v>
      </c>
      <c r="F246" s="121"/>
      <c r="G246" s="122"/>
      <c r="H246" s="123"/>
      <c r="I246" s="124"/>
      <c r="J246" s="31"/>
      <c r="L246" s="125"/>
      <c r="M246" s="126"/>
      <c r="N246" s="26"/>
    </row>
    <row r="247" spans="1:14" ht="20" customHeight="1">
      <c r="A247" s="121">
        <v>351.48</v>
      </c>
      <c r="B247" s="122">
        <v>9008.9911984750797</v>
      </c>
      <c r="C247" s="123">
        <v>668.79529830000001</v>
      </c>
      <c r="D247" s="122">
        <v>3</v>
      </c>
      <c r="E247" s="124" t="s">
        <v>1065</v>
      </c>
      <c r="F247" s="121"/>
      <c r="G247" s="122"/>
      <c r="H247" s="123"/>
      <c r="I247" s="124"/>
      <c r="J247" s="31"/>
      <c r="L247" s="125"/>
      <c r="M247" s="126"/>
      <c r="N247" s="26"/>
    </row>
    <row r="248" spans="1:14" ht="20" customHeight="1">
      <c r="A248" s="121">
        <v>352.48</v>
      </c>
      <c r="B248" s="122">
        <v>9047.0319927958008</v>
      </c>
      <c r="C248" s="123">
        <v>668.64482829999997</v>
      </c>
      <c r="D248" s="122">
        <v>3</v>
      </c>
      <c r="E248" s="124" t="s">
        <v>1065</v>
      </c>
      <c r="F248" s="121"/>
      <c r="G248" s="122"/>
      <c r="H248" s="123"/>
      <c r="I248" s="124"/>
      <c r="J248" s="31"/>
      <c r="L248" s="125"/>
      <c r="M248" s="126"/>
      <c r="N248" s="26"/>
    </row>
    <row r="249" spans="1:14" ht="20" customHeight="1">
      <c r="A249" s="121">
        <v>353.98</v>
      </c>
      <c r="B249" s="122">
        <v>9097.7588979825396</v>
      </c>
      <c r="C249" s="123">
        <v>666.04287980000004</v>
      </c>
      <c r="D249" s="122">
        <v>3</v>
      </c>
      <c r="E249" s="124" t="s">
        <v>1065</v>
      </c>
      <c r="F249" s="121"/>
      <c r="G249" s="122"/>
      <c r="H249" s="123"/>
      <c r="I249" s="124"/>
      <c r="J249" s="31"/>
      <c r="L249" s="125"/>
      <c r="M249" s="126"/>
      <c r="N249" s="26"/>
    </row>
    <row r="250" spans="1:14" ht="20" customHeight="1">
      <c r="A250" s="121">
        <v>355.85</v>
      </c>
      <c r="B250" s="122">
        <v>9158.48251240645</v>
      </c>
      <c r="C250" s="123">
        <v>660.71554060000005</v>
      </c>
      <c r="D250" s="122">
        <v>3</v>
      </c>
      <c r="E250" s="124" t="s">
        <v>1065</v>
      </c>
      <c r="F250" s="121"/>
      <c r="G250" s="122"/>
      <c r="H250" s="123"/>
      <c r="I250" s="124"/>
      <c r="J250" s="31"/>
      <c r="L250" s="125"/>
      <c r="M250" s="126"/>
      <c r="N250" s="26"/>
    </row>
    <row r="251" spans="1:14" ht="20" customHeight="1">
      <c r="A251" s="121">
        <v>356.85</v>
      </c>
      <c r="B251" s="122">
        <v>9197.3753664317992</v>
      </c>
      <c r="C251" s="123">
        <v>662.06780920000006</v>
      </c>
      <c r="D251" s="122">
        <v>3</v>
      </c>
      <c r="E251" s="124" t="s">
        <v>1065</v>
      </c>
      <c r="F251" s="121"/>
      <c r="G251" s="122"/>
      <c r="H251" s="123"/>
      <c r="I251" s="124"/>
      <c r="J251" s="31"/>
      <c r="L251" s="125"/>
      <c r="M251" s="126"/>
      <c r="N251" s="26"/>
    </row>
    <row r="252" spans="1:14" ht="20" customHeight="1">
      <c r="A252" s="121">
        <v>357.99</v>
      </c>
      <c r="B252" s="122">
        <v>9242.2512426164703</v>
      </c>
      <c r="C252" s="123">
        <v>661.96750239999903</v>
      </c>
      <c r="D252" s="122">
        <v>3</v>
      </c>
      <c r="E252" s="124" t="s">
        <v>1065</v>
      </c>
      <c r="F252" s="121"/>
      <c r="G252" s="122"/>
      <c r="H252" s="123"/>
      <c r="I252" s="124"/>
      <c r="J252" s="31"/>
      <c r="L252" s="125"/>
      <c r="M252" s="126"/>
      <c r="N252" s="26"/>
    </row>
    <row r="253" spans="1:14" ht="20" customHeight="1">
      <c r="A253" s="121">
        <v>359.47</v>
      </c>
      <c r="B253" s="122">
        <v>9293.8029499298791</v>
      </c>
      <c r="C253" s="123">
        <v>672.13769709999997</v>
      </c>
      <c r="D253" s="122">
        <v>3</v>
      </c>
      <c r="E253" s="124" t="s">
        <v>1065</v>
      </c>
      <c r="F253" s="121"/>
      <c r="G253" s="122"/>
      <c r="H253" s="123"/>
      <c r="I253" s="124"/>
      <c r="J253" s="31"/>
      <c r="L253" s="125"/>
      <c r="M253" s="126"/>
      <c r="N253" s="26"/>
    </row>
    <row r="254" spans="1:14" ht="20" customHeight="1">
      <c r="A254" s="125">
        <v>359.97</v>
      </c>
      <c r="B254" s="127">
        <v>9311.1921705818804</v>
      </c>
      <c r="C254" s="128">
        <v>674</v>
      </c>
      <c r="D254" s="144">
        <v>6</v>
      </c>
      <c r="E254" s="124" t="s">
        <v>1067</v>
      </c>
      <c r="F254" s="125"/>
      <c r="G254" s="125"/>
      <c r="H254" s="128"/>
      <c r="I254" s="124"/>
      <c r="J254" s="31"/>
      <c r="L254" s="125"/>
      <c r="M254" s="126"/>
      <c r="N254" s="26"/>
    </row>
    <row r="255" spans="1:14" ht="20" customHeight="1">
      <c r="A255" s="121">
        <v>360.97</v>
      </c>
      <c r="B255" s="122">
        <v>9348.8986308629301</v>
      </c>
      <c r="C255" s="123">
        <v>677.25827349999997</v>
      </c>
      <c r="D255" s="122">
        <v>3</v>
      </c>
      <c r="E255" s="124" t="s">
        <v>1065</v>
      </c>
      <c r="F255" s="121"/>
      <c r="G255" s="122"/>
      <c r="H255" s="123"/>
      <c r="I255" s="124"/>
      <c r="J255" s="31"/>
      <c r="L255" s="125"/>
      <c r="M255" s="126"/>
      <c r="N255" s="26"/>
    </row>
    <row r="256" spans="1:14" ht="20" customHeight="1">
      <c r="A256" s="121">
        <v>362.38</v>
      </c>
      <c r="B256" s="122">
        <v>9399.0581980177103</v>
      </c>
      <c r="C256" s="123">
        <v>675.66130429999998</v>
      </c>
      <c r="D256" s="122">
        <v>3</v>
      </c>
      <c r="E256" s="124" t="s">
        <v>1065</v>
      </c>
      <c r="F256" s="121"/>
      <c r="G256" s="122"/>
      <c r="H256" s="123"/>
      <c r="I256" s="124"/>
      <c r="J256" s="31"/>
      <c r="L256" s="125"/>
      <c r="M256" s="126"/>
      <c r="N256" s="26"/>
    </row>
    <row r="257" spans="1:14" ht="20" customHeight="1">
      <c r="A257" s="121">
        <v>363.5</v>
      </c>
      <c r="B257" s="122">
        <v>9438.5686983750002</v>
      </c>
      <c r="C257" s="123">
        <v>678.60413129999904</v>
      </c>
      <c r="D257" s="122">
        <v>3</v>
      </c>
      <c r="E257" s="124" t="s">
        <v>1065</v>
      </c>
      <c r="F257" s="121"/>
      <c r="G257" s="122"/>
      <c r="H257" s="123"/>
      <c r="I257" s="124"/>
      <c r="J257" s="31"/>
      <c r="L257" s="125"/>
      <c r="M257" s="126"/>
      <c r="N257" s="26"/>
    </row>
    <row r="258" spans="1:14" ht="20" customHeight="1">
      <c r="A258" s="121">
        <v>364.88</v>
      </c>
      <c r="B258" s="122">
        <v>9489.7934191948407</v>
      </c>
      <c r="C258" s="123">
        <v>679.21990940000001</v>
      </c>
      <c r="D258" s="122">
        <v>3</v>
      </c>
      <c r="E258" s="124" t="s">
        <v>1065</v>
      </c>
      <c r="F258" s="121"/>
      <c r="G258" s="122"/>
      <c r="H258" s="123"/>
      <c r="I258" s="124"/>
      <c r="J258" s="31"/>
      <c r="L258" s="125"/>
      <c r="M258" s="126"/>
      <c r="N258" s="26"/>
    </row>
    <row r="259" spans="1:14" ht="20" customHeight="1">
      <c r="A259" s="121">
        <v>365.5</v>
      </c>
      <c r="B259" s="122">
        <v>9513.4720854099996</v>
      </c>
      <c r="C259" s="123">
        <v>684.71531519999996</v>
      </c>
      <c r="D259" s="122">
        <v>3</v>
      </c>
      <c r="E259" s="124" t="s">
        <v>1065</v>
      </c>
      <c r="F259" s="121"/>
      <c r="G259" s="122"/>
      <c r="H259" s="123"/>
      <c r="I259" s="124"/>
      <c r="J259" s="31"/>
      <c r="L259" s="125"/>
      <c r="M259" s="126"/>
      <c r="N259" s="26"/>
    </row>
    <row r="260" spans="1:14" ht="20" customHeight="1">
      <c r="A260" s="121">
        <v>367.38</v>
      </c>
      <c r="B260" s="122">
        <v>9586.6677480158396</v>
      </c>
      <c r="C260" s="123">
        <v>685.66649010000003</v>
      </c>
      <c r="D260" s="122">
        <v>3</v>
      </c>
      <c r="E260" s="124" t="s">
        <v>1065</v>
      </c>
      <c r="F260" s="121"/>
      <c r="G260" s="122"/>
      <c r="H260" s="123"/>
      <c r="I260" s="124"/>
      <c r="J260" s="31"/>
      <c r="L260" s="125"/>
      <c r="M260" s="126"/>
      <c r="N260" s="26"/>
    </row>
    <row r="261" spans="1:14" ht="20" customHeight="1">
      <c r="A261" s="121">
        <v>368.88</v>
      </c>
      <c r="B261" s="122">
        <v>9644.2540680101902</v>
      </c>
      <c r="C261" s="123">
        <v>689.42473170000005</v>
      </c>
      <c r="D261" s="122">
        <v>3</v>
      </c>
      <c r="E261" s="124" t="s">
        <v>1065</v>
      </c>
      <c r="F261" s="121"/>
      <c r="G261" s="122"/>
      <c r="H261" s="123"/>
      <c r="I261" s="124"/>
      <c r="J261" s="31"/>
      <c r="L261" s="125"/>
      <c r="M261" s="126"/>
      <c r="N261" s="26"/>
    </row>
    <row r="262" spans="1:14" ht="20" customHeight="1">
      <c r="A262" s="121">
        <v>370</v>
      </c>
      <c r="B262" s="122">
        <v>9688.782444212</v>
      </c>
      <c r="C262" s="123">
        <v>690.51757310000005</v>
      </c>
      <c r="D262" s="122">
        <v>3</v>
      </c>
      <c r="E262" s="124" t="s">
        <v>1065</v>
      </c>
      <c r="F262" s="121"/>
      <c r="G262" s="122"/>
      <c r="H262" s="123"/>
      <c r="I262" s="124"/>
      <c r="J262" s="31"/>
      <c r="L262" s="125"/>
      <c r="M262" s="126"/>
      <c r="N262" s="26"/>
    </row>
    <row r="263" spans="1:14" ht="20" customHeight="1">
      <c r="A263" s="121">
        <v>371</v>
      </c>
      <c r="B263" s="122">
        <v>9730.4156077909902</v>
      </c>
      <c r="C263" s="123">
        <v>682.93365570000003</v>
      </c>
      <c r="D263" s="122">
        <v>3</v>
      </c>
      <c r="E263" s="124" t="s">
        <v>1065</v>
      </c>
      <c r="F263" s="121"/>
      <c r="G263" s="122"/>
      <c r="H263" s="123"/>
      <c r="I263" s="124"/>
      <c r="J263" s="31"/>
      <c r="L263" s="125"/>
      <c r="M263" s="126"/>
      <c r="N263" s="26"/>
    </row>
    <row r="264" spans="1:14" ht="20" customHeight="1">
      <c r="A264" s="121">
        <v>372.88</v>
      </c>
      <c r="B264" s="122">
        <v>9804.6750955082007</v>
      </c>
      <c r="C264" s="123">
        <v>691.0645849</v>
      </c>
      <c r="D264" s="122">
        <v>3</v>
      </c>
      <c r="E264" s="124" t="s">
        <v>1065</v>
      </c>
      <c r="F264" s="121"/>
      <c r="G264" s="122"/>
      <c r="H264" s="123"/>
      <c r="I264" s="124"/>
      <c r="J264" s="31"/>
      <c r="L264" s="125"/>
      <c r="M264" s="126"/>
      <c r="N264" s="26"/>
    </row>
    <row r="265" spans="1:14" ht="20" customHeight="1">
      <c r="A265" s="121">
        <v>373.5</v>
      </c>
      <c r="B265" s="122">
        <v>9826.7211865120007</v>
      </c>
      <c r="C265" s="123">
        <v>689.11119880000001</v>
      </c>
      <c r="D265" s="122">
        <v>3</v>
      </c>
      <c r="E265" s="124" t="s">
        <v>1065</v>
      </c>
      <c r="F265" s="121"/>
      <c r="G265" s="122"/>
      <c r="H265" s="123"/>
      <c r="I265" s="124"/>
      <c r="J265" s="31"/>
      <c r="L265" s="125"/>
      <c r="M265" s="126"/>
      <c r="N265" s="26"/>
    </row>
    <row r="266" spans="1:14" ht="20" customHeight="1">
      <c r="A266" s="121">
        <v>374.52</v>
      </c>
      <c r="B266" s="122">
        <v>9863.1174697045208</v>
      </c>
      <c r="C266" s="123">
        <v>692.93523949999997</v>
      </c>
      <c r="D266" s="122">
        <v>3</v>
      </c>
      <c r="E266" s="124" t="s">
        <v>1065</v>
      </c>
      <c r="F266" s="121"/>
      <c r="G266" s="122"/>
      <c r="H266" s="123"/>
      <c r="I266" s="124"/>
      <c r="J266" s="31"/>
      <c r="L266" s="125"/>
      <c r="M266" s="126"/>
      <c r="N266" s="26"/>
    </row>
    <row r="267" spans="1:14" ht="20" customHeight="1">
      <c r="A267" s="121">
        <v>376.02</v>
      </c>
      <c r="B267" s="122">
        <v>9919.33671672735</v>
      </c>
      <c r="C267" s="123">
        <v>695.80334770000002</v>
      </c>
      <c r="D267" s="122">
        <v>3</v>
      </c>
      <c r="E267" s="124" t="s">
        <v>1065</v>
      </c>
      <c r="F267" s="121"/>
      <c r="G267" s="122"/>
      <c r="H267" s="123"/>
      <c r="I267" s="124"/>
      <c r="J267" s="31"/>
      <c r="L267" s="125"/>
      <c r="M267" s="126"/>
      <c r="N267" s="26"/>
    </row>
    <row r="268" spans="1:14" ht="20" customHeight="1">
      <c r="A268" s="121">
        <v>377.9</v>
      </c>
      <c r="B268" s="122">
        <v>9986.4144941879895</v>
      </c>
      <c r="C268" s="123">
        <v>692.02095080000004</v>
      </c>
      <c r="D268" s="122">
        <v>3</v>
      </c>
      <c r="E268" s="124" t="s">
        <v>1065</v>
      </c>
      <c r="F268" s="121"/>
      <c r="G268" s="122"/>
      <c r="H268" s="123"/>
      <c r="I268" s="124"/>
      <c r="J268" s="31"/>
      <c r="L268" s="125"/>
      <c r="M268" s="126"/>
      <c r="N268" s="26"/>
    </row>
    <row r="269" spans="1:14" ht="20" customHeight="1">
      <c r="A269" s="121">
        <v>379.34</v>
      </c>
      <c r="B269" s="122">
        <v>10046.6829859395</v>
      </c>
      <c r="C269" s="123">
        <v>692.51675130000001</v>
      </c>
      <c r="D269" s="122">
        <v>3</v>
      </c>
      <c r="E269" s="124" t="s">
        <v>1065</v>
      </c>
      <c r="F269" s="121"/>
      <c r="G269" s="122"/>
      <c r="H269" s="123"/>
      <c r="I269" s="124"/>
      <c r="J269" s="31"/>
      <c r="L269" s="125"/>
      <c r="M269" s="126"/>
      <c r="N269" s="26"/>
    </row>
    <row r="270" spans="1:14" ht="20" customHeight="1">
      <c r="A270" s="121">
        <v>380.84</v>
      </c>
      <c r="B270" s="122">
        <v>10108.513363862599</v>
      </c>
      <c r="C270" s="123">
        <v>689.38783890000002</v>
      </c>
      <c r="D270" s="122">
        <v>3</v>
      </c>
      <c r="E270" s="124" t="s">
        <v>1065</v>
      </c>
      <c r="F270" s="121"/>
      <c r="G270" s="122"/>
      <c r="H270" s="123"/>
      <c r="I270" s="124"/>
      <c r="J270" s="31"/>
      <c r="L270" s="125"/>
      <c r="M270" s="126"/>
      <c r="N270" s="26"/>
    </row>
    <row r="271" spans="1:14" ht="20" customHeight="1">
      <c r="A271" s="121">
        <v>381.96</v>
      </c>
      <c r="B271" s="122">
        <v>10153.1903218514</v>
      </c>
      <c r="C271" s="123">
        <v>688.51377090000005</v>
      </c>
      <c r="D271" s="122">
        <v>3</v>
      </c>
      <c r="E271" s="124" t="s">
        <v>1065</v>
      </c>
      <c r="F271" s="121"/>
      <c r="G271" s="122"/>
      <c r="H271" s="123"/>
      <c r="I271" s="124"/>
      <c r="J271" s="31"/>
      <c r="L271" s="125"/>
      <c r="M271" s="126"/>
      <c r="N271" s="26"/>
    </row>
    <row r="272" spans="1:14" ht="20" customHeight="1">
      <c r="A272" s="121">
        <v>383.43</v>
      </c>
      <c r="B272" s="122">
        <v>10205.1376485125</v>
      </c>
      <c r="C272" s="123">
        <v>702.02172340000004</v>
      </c>
      <c r="D272" s="122">
        <v>3</v>
      </c>
      <c r="E272" s="124" t="s">
        <v>1065</v>
      </c>
      <c r="F272" s="121"/>
      <c r="G272" s="122"/>
      <c r="H272" s="123"/>
      <c r="I272" s="124"/>
      <c r="J272" s="31"/>
      <c r="L272" s="125"/>
      <c r="M272" s="126"/>
      <c r="N272" s="26"/>
    </row>
    <row r="273" spans="1:14" ht="20" customHeight="1">
      <c r="A273" s="121">
        <v>384.8</v>
      </c>
      <c r="B273" s="122">
        <v>10253.612049375</v>
      </c>
      <c r="C273" s="123">
        <v>703.58818780000001</v>
      </c>
      <c r="D273" s="122">
        <v>3</v>
      </c>
      <c r="E273" s="124" t="s">
        <v>1065</v>
      </c>
      <c r="F273" s="121"/>
      <c r="G273" s="122"/>
      <c r="H273" s="123"/>
      <c r="I273" s="124"/>
      <c r="J273" s="31"/>
      <c r="L273" s="125"/>
      <c r="M273" s="126"/>
      <c r="N273" s="26"/>
    </row>
    <row r="274" spans="1:14" ht="20" customHeight="1">
      <c r="A274" s="121">
        <v>385.87</v>
      </c>
      <c r="B274" s="122">
        <v>10292.7195223895</v>
      </c>
      <c r="C274" s="123">
        <v>700.74461229999997</v>
      </c>
      <c r="D274" s="122">
        <v>3</v>
      </c>
      <c r="E274" s="124" t="s">
        <v>1065</v>
      </c>
      <c r="F274" s="121"/>
      <c r="G274" s="122"/>
      <c r="H274" s="123"/>
      <c r="I274" s="124"/>
      <c r="J274" s="31"/>
      <c r="L274" s="125"/>
      <c r="M274" s="126"/>
      <c r="N274" s="26"/>
    </row>
    <row r="275" spans="1:14" ht="20" customHeight="1">
      <c r="A275" s="121">
        <v>387.75</v>
      </c>
      <c r="B275" s="122">
        <v>10362.442319309701</v>
      </c>
      <c r="C275" s="123">
        <v>699.70139789999996</v>
      </c>
      <c r="D275" s="122">
        <v>3</v>
      </c>
      <c r="E275" s="124" t="s">
        <v>1065</v>
      </c>
      <c r="F275" s="121"/>
      <c r="G275" s="122"/>
      <c r="H275" s="123"/>
      <c r="I275" s="124"/>
      <c r="J275" s="31"/>
      <c r="L275" s="125"/>
      <c r="M275" s="126"/>
      <c r="N275" s="26"/>
    </row>
    <row r="276" spans="1:14" ht="20" customHeight="1">
      <c r="A276" s="121">
        <v>388.87</v>
      </c>
      <c r="B276" s="122">
        <v>10403.687554656701</v>
      </c>
      <c r="C276" s="123">
        <v>698.17146960000002</v>
      </c>
      <c r="D276" s="122">
        <v>3</v>
      </c>
      <c r="E276" s="124" t="s">
        <v>1065</v>
      </c>
      <c r="F276" s="121"/>
      <c r="G276" s="122"/>
      <c r="H276" s="123"/>
      <c r="I276" s="124"/>
      <c r="J276" s="31"/>
      <c r="L276" s="125"/>
      <c r="M276" s="126"/>
      <c r="N276" s="26"/>
    </row>
    <row r="277" spans="1:14" ht="20" customHeight="1">
      <c r="A277" s="121">
        <v>390.37</v>
      </c>
      <c r="B277" s="122">
        <v>10456.645640822</v>
      </c>
      <c r="C277" s="123">
        <v>698.01876270000002</v>
      </c>
      <c r="D277" s="122">
        <v>3</v>
      </c>
      <c r="E277" s="124" t="s">
        <v>1065</v>
      </c>
      <c r="F277" s="121"/>
      <c r="G277" s="122"/>
      <c r="H277" s="123"/>
      <c r="I277" s="124"/>
      <c r="J277" s="31"/>
      <c r="L277" s="125"/>
      <c r="M277" s="126"/>
      <c r="N277" s="26"/>
    </row>
    <row r="278" spans="1:14" ht="20" customHeight="1">
      <c r="A278" s="121">
        <v>391.37</v>
      </c>
      <c r="B278" s="122">
        <v>10490.5317160946</v>
      </c>
      <c r="C278" s="123">
        <v>696.42897089999997</v>
      </c>
      <c r="D278" s="122">
        <v>3</v>
      </c>
      <c r="E278" s="124" t="s">
        <v>1065</v>
      </c>
      <c r="F278" s="121"/>
      <c r="G278" s="122"/>
      <c r="H278" s="123"/>
      <c r="I278" s="124"/>
      <c r="J278" s="31"/>
      <c r="L278" s="125"/>
      <c r="M278" s="126"/>
      <c r="N278" s="26"/>
    </row>
    <row r="279" spans="1:14" ht="20" customHeight="1">
      <c r="A279" s="121">
        <v>392.87</v>
      </c>
      <c r="B279" s="122">
        <v>10542.1199445329</v>
      </c>
      <c r="C279" s="123">
        <v>690.68705569999997</v>
      </c>
      <c r="D279" s="122">
        <v>3</v>
      </c>
      <c r="E279" s="124" t="s">
        <v>1065</v>
      </c>
      <c r="F279" s="121"/>
      <c r="G279" s="122"/>
      <c r="H279" s="123"/>
      <c r="I279" s="124"/>
      <c r="J279" s="31"/>
      <c r="L279" s="125"/>
      <c r="M279" s="126"/>
      <c r="N279" s="26"/>
    </row>
    <row r="280" spans="1:14" ht="20" customHeight="1">
      <c r="A280" s="121">
        <v>394.37</v>
      </c>
      <c r="B280" s="122">
        <v>10599.3168709073</v>
      </c>
      <c r="C280" s="123">
        <v>687.72882419999996</v>
      </c>
      <c r="D280" s="122">
        <v>3</v>
      </c>
      <c r="E280" s="124" t="s">
        <v>1065</v>
      </c>
      <c r="F280" s="121"/>
      <c r="G280" s="122"/>
      <c r="H280" s="123"/>
      <c r="I280" s="124"/>
      <c r="J280" s="31"/>
      <c r="L280" s="125"/>
      <c r="M280" s="126"/>
      <c r="N280" s="26"/>
    </row>
    <row r="281" spans="1:14" ht="20" customHeight="1">
      <c r="A281" s="121">
        <v>396.25</v>
      </c>
      <c r="B281" s="122">
        <v>10665.198487706701</v>
      </c>
      <c r="C281" s="123">
        <v>686.51325569999904</v>
      </c>
      <c r="D281" s="122">
        <v>3</v>
      </c>
      <c r="E281" s="124" t="s">
        <v>1065</v>
      </c>
      <c r="F281" s="121"/>
      <c r="G281" s="122"/>
      <c r="H281" s="123"/>
      <c r="I281" s="124"/>
      <c r="J281" s="31"/>
      <c r="L281" s="125"/>
      <c r="M281" s="126"/>
      <c r="N281" s="26"/>
    </row>
    <row r="282" spans="1:14" ht="20" customHeight="1">
      <c r="A282" s="121">
        <v>396.9</v>
      </c>
      <c r="B282" s="122">
        <v>10686.8690062433</v>
      </c>
      <c r="C282" s="123">
        <v>680.36878339999998</v>
      </c>
      <c r="D282" s="122">
        <v>3</v>
      </c>
      <c r="E282" s="124" t="s">
        <v>1065</v>
      </c>
      <c r="F282" s="121"/>
      <c r="G282" s="122"/>
      <c r="H282" s="123"/>
      <c r="I282" s="124"/>
      <c r="J282" s="31"/>
      <c r="L282" s="125"/>
      <c r="M282" s="126"/>
      <c r="N282" s="26"/>
    </row>
    <row r="283" spans="1:14" ht="20" customHeight="1">
      <c r="A283" s="121">
        <v>397.9</v>
      </c>
      <c r="B283" s="122">
        <v>10722.407427377</v>
      </c>
      <c r="C283" s="123">
        <v>683.5012471</v>
      </c>
      <c r="D283" s="122">
        <v>3</v>
      </c>
      <c r="E283" s="124" t="s">
        <v>1065</v>
      </c>
      <c r="F283" s="121"/>
      <c r="G283" s="122"/>
      <c r="H283" s="123"/>
      <c r="I283" s="124"/>
      <c r="J283" s="31"/>
      <c r="L283" s="125"/>
      <c r="M283" s="126"/>
      <c r="N283" s="26"/>
    </row>
    <row r="284" spans="1:14" ht="20" customHeight="1">
      <c r="A284" s="121">
        <v>399.78</v>
      </c>
      <c r="B284" s="122">
        <v>10794.528857712799</v>
      </c>
      <c r="C284" s="123">
        <v>685.34567589999904</v>
      </c>
      <c r="D284" s="122">
        <v>3</v>
      </c>
      <c r="E284" s="124" t="s">
        <v>1065</v>
      </c>
      <c r="F284" s="121"/>
      <c r="G284" s="122"/>
      <c r="H284" s="123"/>
      <c r="I284" s="124"/>
      <c r="J284" s="31"/>
      <c r="L284" s="125"/>
      <c r="M284" s="126"/>
      <c r="N284" s="26"/>
    </row>
    <row r="285" spans="1:14" ht="20" customHeight="1">
      <c r="A285" s="121">
        <v>400.9</v>
      </c>
      <c r="B285" s="122">
        <v>10839.105736751</v>
      </c>
      <c r="C285" s="123">
        <v>686.51254270000004</v>
      </c>
      <c r="D285" s="122">
        <v>3</v>
      </c>
      <c r="E285" s="124" t="s">
        <v>1065</v>
      </c>
      <c r="F285" s="121"/>
      <c r="G285" s="122"/>
      <c r="H285" s="123"/>
      <c r="I285" s="124"/>
      <c r="J285" s="31"/>
      <c r="L285" s="125"/>
      <c r="M285" s="126"/>
      <c r="N285" s="26"/>
    </row>
    <row r="286" spans="1:14" ht="20" customHeight="1">
      <c r="A286" s="121">
        <v>402.78</v>
      </c>
      <c r="B286" s="122">
        <v>10909.9962080153</v>
      </c>
      <c r="C286" s="123">
        <v>684.73181959999999</v>
      </c>
      <c r="D286" s="122">
        <v>3</v>
      </c>
      <c r="E286" s="124" t="s">
        <v>1065</v>
      </c>
      <c r="F286" s="121"/>
      <c r="G286" s="122"/>
      <c r="H286" s="123"/>
      <c r="I286" s="124"/>
      <c r="J286" s="31"/>
      <c r="L286" s="125"/>
      <c r="M286" s="126"/>
      <c r="N286" s="26"/>
    </row>
    <row r="287" spans="1:14" ht="20" customHeight="1">
      <c r="A287" s="121">
        <v>403.9</v>
      </c>
      <c r="B287" s="122">
        <v>10955.625749829</v>
      </c>
      <c r="C287" s="123">
        <v>687.69974149999996</v>
      </c>
      <c r="D287" s="122">
        <v>3</v>
      </c>
      <c r="E287" s="124" t="s">
        <v>1065</v>
      </c>
      <c r="F287" s="121"/>
      <c r="G287" s="122"/>
      <c r="H287" s="123"/>
      <c r="I287" s="124"/>
      <c r="J287" s="31"/>
      <c r="L287" s="125"/>
      <c r="M287" s="126"/>
      <c r="N287" s="26"/>
    </row>
    <row r="288" spans="1:14" ht="20" customHeight="1">
      <c r="A288" s="121">
        <v>404.9</v>
      </c>
      <c r="B288" s="122">
        <v>10998.159341967599</v>
      </c>
      <c r="C288" s="123">
        <v>689.15936769999996</v>
      </c>
      <c r="D288" s="122">
        <v>3</v>
      </c>
      <c r="E288" s="124" t="s">
        <v>1065</v>
      </c>
      <c r="F288" s="121"/>
      <c r="G288" s="122"/>
      <c r="H288" s="123"/>
      <c r="I288" s="124"/>
      <c r="J288" s="31"/>
      <c r="L288" s="125"/>
      <c r="M288" s="126"/>
      <c r="N288" s="26"/>
    </row>
    <row r="289" spans="1:14" ht="20" customHeight="1">
      <c r="A289" s="121">
        <v>406.9</v>
      </c>
      <c r="B289" s="122">
        <v>11072.246550153201</v>
      </c>
      <c r="C289" s="123">
        <v>690.97412650000001</v>
      </c>
      <c r="D289" s="122">
        <v>3</v>
      </c>
      <c r="E289" s="124" t="s">
        <v>1065</v>
      </c>
      <c r="F289" s="121"/>
      <c r="G289" s="122"/>
      <c r="H289" s="123"/>
      <c r="I289" s="124"/>
      <c r="J289" s="31"/>
      <c r="L289" s="125"/>
      <c r="M289" s="126"/>
      <c r="N289" s="26"/>
    </row>
    <row r="290" spans="1:14" ht="20" customHeight="1">
      <c r="A290" s="121">
        <v>408.28</v>
      </c>
      <c r="B290" s="122">
        <v>11122.908120297699</v>
      </c>
      <c r="C290" s="123">
        <v>691.79670620000002</v>
      </c>
      <c r="D290" s="122">
        <v>3</v>
      </c>
      <c r="E290" s="124" t="s">
        <v>1065</v>
      </c>
      <c r="F290" s="121"/>
      <c r="G290" s="122"/>
      <c r="H290" s="123"/>
      <c r="I290" s="124"/>
      <c r="J290" s="31"/>
      <c r="L290" s="125"/>
      <c r="M290" s="126"/>
      <c r="N290" s="26"/>
    </row>
    <row r="291" spans="1:14" ht="20" customHeight="1">
      <c r="A291" s="121">
        <v>409.4</v>
      </c>
      <c r="B291" s="122">
        <v>11161.984357387</v>
      </c>
      <c r="C291" s="123">
        <v>695.51848640000003</v>
      </c>
      <c r="D291" s="122">
        <v>3</v>
      </c>
      <c r="E291" s="124" t="s">
        <v>1065</v>
      </c>
      <c r="F291" s="121"/>
      <c r="G291" s="122"/>
      <c r="H291" s="123"/>
      <c r="I291" s="124"/>
      <c r="J291" s="31"/>
      <c r="L291" s="125"/>
      <c r="M291" s="126"/>
      <c r="N291" s="26"/>
    </row>
    <row r="292" spans="1:14" ht="20" customHeight="1">
      <c r="A292" s="121">
        <v>410.4</v>
      </c>
      <c r="B292" s="122">
        <v>11196.8231399088</v>
      </c>
      <c r="C292" s="123">
        <v>679.67434920000005</v>
      </c>
      <c r="D292" s="122">
        <v>3</v>
      </c>
      <c r="E292" s="124" t="s">
        <v>1065</v>
      </c>
      <c r="F292" s="121"/>
      <c r="G292" s="122"/>
      <c r="H292" s="123"/>
      <c r="I292" s="124"/>
      <c r="J292" s="31"/>
      <c r="L292" s="125"/>
      <c r="M292" s="126"/>
      <c r="N292" s="26"/>
    </row>
    <row r="293" spans="1:14" ht="20" customHeight="1">
      <c r="A293" s="121">
        <v>411.9</v>
      </c>
      <c r="B293" s="122">
        <v>11250.1791133488</v>
      </c>
      <c r="C293" s="123">
        <v>667.65621550000003</v>
      </c>
      <c r="D293" s="122">
        <v>3</v>
      </c>
      <c r="E293" s="124" t="s">
        <v>1065</v>
      </c>
      <c r="F293" s="121"/>
      <c r="G293" s="122"/>
      <c r="H293" s="123"/>
      <c r="I293" s="124"/>
      <c r="J293" s="31"/>
      <c r="L293" s="125"/>
      <c r="M293" s="126"/>
      <c r="N293" s="26"/>
    </row>
    <row r="294" spans="1:14" ht="20" customHeight="1">
      <c r="A294" s="121">
        <v>413.42</v>
      </c>
      <c r="B294" s="122">
        <v>11303.989662575999</v>
      </c>
      <c r="C294" s="123">
        <v>660.37849770000003</v>
      </c>
      <c r="D294" s="122">
        <v>3</v>
      </c>
      <c r="E294" s="124" t="s">
        <v>1065</v>
      </c>
      <c r="F294" s="121"/>
      <c r="G294" s="122"/>
      <c r="H294" s="123"/>
      <c r="I294" s="124"/>
      <c r="J294" s="31"/>
      <c r="L294" s="125"/>
      <c r="M294" s="126"/>
      <c r="N294" s="26"/>
    </row>
    <row r="295" spans="1:14" ht="20" customHeight="1">
      <c r="A295" s="129">
        <v>413.89</v>
      </c>
      <c r="B295" s="130">
        <v>11320.46046002</v>
      </c>
      <c r="C295" s="131">
        <v>666.7</v>
      </c>
      <c r="D295" s="130">
        <v>10</v>
      </c>
      <c r="E295" s="124" t="s">
        <v>1126</v>
      </c>
      <c r="F295" s="129"/>
      <c r="G295" s="129"/>
      <c r="H295" s="131"/>
      <c r="I295" s="124"/>
      <c r="J295" s="31"/>
      <c r="L295" s="125"/>
      <c r="M295" s="126"/>
      <c r="N295" s="26"/>
    </row>
    <row r="296" spans="1:14" ht="20" customHeight="1">
      <c r="A296" s="121">
        <v>414.3</v>
      </c>
      <c r="B296" s="122">
        <v>11334.7105649921</v>
      </c>
      <c r="C296" s="123">
        <v>662.82005470000001</v>
      </c>
      <c r="D296" s="122">
        <v>3</v>
      </c>
      <c r="E296" s="124" t="s">
        <v>1065</v>
      </c>
      <c r="F296" s="121"/>
      <c r="G296" s="122"/>
      <c r="H296" s="123"/>
      <c r="I296" s="124"/>
      <c r="J296" s="31"/>
      <c r="L296" s="125"/>
      <c r="M296" s="126"/>
      <c r="N296" s="26"/>
    </row>
    <row r="297" spans="1:14" ht="20" customHeight="1">
      <c r="A297" s="125">
        <v>414.90499999999997</v>
      </c>
      <c r="B297" s="127">
        <v>11355.8475478784</v>
      </c>
      <c r="C297" s="128">
        <v>672.5</v>
      </c>
      <c r="D297" s="144">
        <v>6</v>
      </c>
      <c r="E297" s="124" t="s">
        <v>1067</v>
      </c>
      <c r="F297" s="125"/>
      <c r="G297" s="125"/>
      <c r="H297" s="128"/>
      <c r="I297" s="124"/>
      <c r="J297" s="31"/>
      <c r="L297" s="125"/>
      <c r="M297" s="126"/>
      <c r="N297" s="26"/>
    </row>
    <row r="298" spans="1:14" ht="20" customHeight="1">
      <c r="A298" s="121">
        <v>416.29</v>
      </c>
      <c r="B298" s="122">
        <v>11405.1471971419</v>
      </c>
      <c r="C298" s="123">
        <v>675.82180779999999</v>
      </c>
      <c r="D298" s="122">
        <v>3</v>
      </c>
      <c r="E298" s="124" t="s">
        <v>1065</v>
      </c>
      <c r="F298" s="121"/>
      <c r="G298" s="122"/>
      <c r="H298" s="123"/>
      <c r="I298" s="124"/>
      <c r="J298" s="31"/>
      <c r="L298" s="125"/>
      <c r="M298" s="126"/>
      <c r="N298" s="26"/>
    </row>
    <row r="299" spans="1:14" ht="20" customHeight="1">
      <c r="A299" s="129">
        <v>416.88</v>
      </c>
      <c r="B299" s="130">
        <v>11426.095432103601</v>
      </c>
      <c r="C299" s="131">
        <v>669.1</v>
      </c>
      <c r="D299" s="130">
        <v>10</v>
      </c>
      <c r="E299" s="124" t="s">
        <v>1126</v>
      </c>
      <c r="F299" s="129"/>
      <c r="G299" s="129"/>
      <c r="H299" s="131"/>
      <c r="I299" s="124"/>
      <c r="J299" s="31"/>
      <c r="L299" s="125"/>
      <c r="M299" s="126"/>
      <c r="N299" s="26"/>
    </row>
    <row r="300" spans="1:14" ht="20" customHeight="1">
      <c r="A300" s="121">
        <v>418.41</v>
      </c>
      <c r="B300" s="122">
        <v>11482.606102944699</v>
      </c>
      <c r="C300" s="123">
        <v>658.30122510000001</v>
      </c>
      <c r="D300" s="122">
        <v>3</v>
      </c>
      <c r="E300" s="124" t="s">
        <v>1065</v>
      </c>
      <c r="F300" s="121"/>
      <c r="G300" s="122"/>
      <c r="H300" s="123"/>
      <c r="I300" s="124"/>
      <c r="J300" s="31"/>
      <c r="L300" s="125"/>
      <c r="M300" s="126"/>
      <c r="N300" s="26"/>
    </row>
    <row r="301" spans="1:14" ht="20" customHeight="1">
      <c r="A301" s="129">
        <v>419.38</v>
      </c>
      <c r="B301" s="130">
        <v>11519.085796098399</v>
      </c>
      <c r="C301" s="131">
        <v>618.5</v>
      </c>
      <c r="D301" s="130">
        <v>10</v>
      </c>
      <c r="E301" s="124" t="s">
        <v>1126</v>
      </c>
      <c r="F301" s="129"/>
      <c r="G301" s="129"/>
      <c r="H301" s="131"/>
      <c r="I301" s="124"/>
      <c r="J301" s="31"/>
      <c r="L301" s="125"/>
      <c r="M301" s="126"/>
      <c r="N301" s="26"/>
    </row>
    <row r="302" spans="1:14" ht="20" customHeight="1">
      <c r="A302" s="121">
        <v>419.79</v>
      </c>
      <c r="B302" s="122">
        <v>11534.5102244721</v>
      </c>
      <c r="C302" s="123">
        <v>602.97019239999997</v>
      </c>
      <c r="D302" s="122">
        <v>3</v>
      </c>
      <c r="E302" s="124" t="s">
        <v>1065</v>
      </c>
      <c r="F302" s="121"/>
      <c r="G302" s="122"/>
      <c r="H302" s="123"/>
      <c r="I302" s="124"/>
      <c r="J302" s="31"/>
      <c r="L302" s="125"/>
      <c r="M302" s="126"/>
      <c r="N302" s="26"/>
    </row>
    <row r="303" spans="1:14" ht="20" customHeight="1">
      <c r="A303" s="121">
        <v>420.79</v>
      </c>
      <c r="B303" s="122">
        <v>11568.8531331335</v>
      </c>
      <c r="C303" s="123">
        <v>527.23375829999998</v>
      </c>
      <c r="D303" s="122">
        <v>3</v>
      </c>
      <c r="E303" s="124" t="s">
        <v>1065</v>
      </c>
      <c r="F303" s="121"/>
      <c r="G303" s="122"/>
      <c r="H303" s="123"/>
      <c r="I303" s="124"/>
      <c r="J303" s="31"/>
      <c r="L303" s="125"/>
      <c r="M303" s="126"/>
      <c r="N303" s="26"/>
    </row>
    <row r="304" spans="1:14" ht="20" customHeight="1">
      <c r="A304" s="129">
        <v>421.88</v>
      </c>
      <c r="B304" s="130">
        <v>11606.1719304447</v>
      </c>
      <c r="C304" s="131">
        <v>507.8</v>
      </c>
      <c r="D304" s="130">
        <v>10</v>
      </c>
      <c r="E304" s="124" t="s">
        <v>1126</v>
      </c>
      <c r="F304" s="129"/>
      <c r="G304" s="129"/>
      <c r="H304" s="131"/>
      <c r="I304" s="124"/>
      <c r="J304" s="31"/>
      <c r="L304" s="125"/>
      <c r="M304" s="126"/>
      <c r="N304" s="26"/>
    </row>
    <row r="305" spans="1:14" ht="20" customHeight="1">
      <c r="A305" s="121">
        <v>422.29</v>
      </c>
      <c r="B305" s="122">
        <v>11621.9487424738</v>
      </c>
      <c r="C305" s="123">
        <v>482.37108169999999</v>
      </c>
      <c r="D305" s="122">
        <v>3</v>
      </c>
      <c r="E305" s="124" t="s">
        <v>1065</v>
      </c>
      <c r="F305" s="121"/>
      <c r="G305" s="122"/>
      <c r="H305" s="123"/>
      <c r="I305" s="124"/>
      <c r="J305" s="31"/>
      <c r="L305" s="125"/>
      <c r="M305" s="126"/>
      <c r="N305" s="26"/>
    </row>
    <row r="306" spans="1:14" ht="20" customHeight="1">
      <c r="A306" s="121">
        <v>423.76250000000005</v>
      </c>
      <c r="B306" s="122">
        <v>11689.0193601109</v>
      </c>
      <c r="C306" s="123">
        <v>486.2672417</v>
      </c>
      <c r="D306" s="122">
        <v>3</v>
      </c>
      <c r="E306" s="124" t="s">
        <v>1065</v>
      </c>
      <c r="F306" s="121"/>
      <c r="G306" s="122"/>
      <c r="H306" s="123"/>
      <c r="I306" s="124"/>
      <c r="J306" s="31"/>
      <c r="L306" s="125"/>
      <c r="M306" s="126"/>
      <c r="N306" s="26"/>
    </row>
    <row r="307" spans="1:14" ht="20" customHeight="1">
      <c r="A307" s="125">
        <v>423.9</v>
      </c>
      <c r="B307" s="127">
        <v>11696.1219726659</v>
      </c>
      <c r="C307" s="128">
        <v>486.6</v>
      </c>
      <c r="D307" s="144">
        <v>6</v>
      </c>
      <c r="E307" s="124" t="s">
        <v>1067</v>
      </c>
      <c r="F307" s="125"/>
      <c r="G307" s="125"/>
      <c r="H307" s="128"/>
      <c r="I307" s="124"/>
      <c r="J307" s="31"/>
      <c r="L307" s="125"/>
      <c r="M307" s="126"/>
      <c r="N307" s="26"/>
    </row>
    <row r="308" spans="1:14" ht="20" customHeight="1">
      <c r="A308" s="129">
        <v>424.38</v>
      </c>
      <c r="B308" s="130">
        <v>11719.9952326864</v>
      </c>
      <c r="C308" s="131">
        <v>483</v>
      </c>
      <c r="D308" s="130">
        <v>10</v>
      </c>
      <c r="E308" s="124" t="s">
        <v>1126</v>
      </c>
      <c r="F308" s="129"/>
      <c r="G308" s="129"/>
      <c r="H308" s="131"/>
      <c r="I308" s="124"/>
      <c r="J308" s="31"/>
      <c r="L308" s="125"/>
      <c r="M308" s="126"/>
      <c r="N308" s="26"/>
    </row>
    <row r="309" spans="1:14" ht="20" customHeight="1">
      <c r="A309" s="121">
        <v>424.79</v>
      </c>
      <c r="B309" s="122">
        <v>11740.279405814799</v>
      </c>
      <c r="C309" s="123">
        <v>486.3728165</v>
      </c>
      <c r="D309" s="122">
        <v>3</v>
      </c>
      <c r="E309" s="124" t="s">
        <v>1065</v>
      </c>
      <c r="F309" s="121"/>
      <c r="G309" s="122"/>
      <c r="H309" s="123"/>
      <c r="I309" s="124"/>
      <c r="J309" s="31"/>
      <c r="L309" s="125"/>
      <c r="M309" s="126"/>
      <c r="N309" s="26"/>
    </row>
    <row r="310" spans="1:14" ht="20" customHeight="1">
      <c r="A310" s="121">
        <v>426.28500000000003</v>
      </c>
      <c r="B310" s="122">
        <v>11803.2012780655</v>
      </c>
      <c r="C310" s="123">
        <v>483.16736120000002</v>
      </c>
      <c r="D310" s="122">
        <v>3</v>
      </c>
      <c r="E310" s="124" t="s">
        <v>1065</v>
      </c>
      <c r="F310" s="121"/>
      <c r="G310" s="122"/>
      <c r="H310" s="123"/>
      <c r="I310" s="124"/>
      <c r="J310" s="31"/>
      <c r="L310" s="125"/>
      <c r="M310" s="126"/>
      <c r="N310" s="26"/>
    </row>
    <row r="311" spans="1:14" ht="20" customHeight="1">
      <c r="A311" s="121">
        <v>426.91</v>
      </c>
      <c r="B311" s="122">
        <v>11827.304682804801</v>
      </c>
      <c r="C311" s="123">
        <v>481.5506833</v>
      </c>
      <c r="D311" s="122">
        <v>3</v>
      </c>
      <c r="E311" s="124" t="s">
        <v>1065</v>
      </c>
      <c r="F311" s="121"/>
      <c r="G311" s="122"/>
      <c r="H311" s="123"/>
      <c r="I311" s="124"/>
      <c r="J311" s="31"/>
      <c r="L311" s="125"/>
      <c r="M311" s="126"/>
      <c r="N311" s="26"/>
    </row>
    <row r="312" spans="1:14" ht="20" customHeight="1">
      <c r="A312" s="121">
        <v>428.41</v>
      </c>
      <c r="B312" s="122">
        <v>11888.6600180601</v>
      </c>
      <c r="C312" s="123">
        <v>479.85074359999999</v>
      </c>
      <c r="D312" s="122">
        <v>3</v>
      </c>
      <c r="E312" s="124" t="s">
        <v>1065</v>
      </c>
      <c r="F312" s="121"/>
      <c r="G312" s="122"/>
      <c r="H312" s="123"/>
      <c r="I312" s="124"/>
      <c r="J312" s="31"/>
      <c r="L312" s="125"/>
      <c r="M312" s="126"/>
      <c r="N312" s="26"/>
    </row>
    <row r="313" spans="1:14" ht="20" customHeight="1">
      <c r="A313" s="121">
        <v>429.41</v>
      </c>
      <c r="B313" s="122">
        <v>11932.7112303463</v>
      </c>
      <c r="C313" s="123">
        <v>480.97401380000002</v>
      </c>
      <c r="D313" s="122">
        <v>3</v>
      </c>
      <c r="E313" s="124" t="s">
        <v>1065</v>
      </c>
      <c r="F313" s="121"/>
      <c r="G313" s="122"/>
      <c r="H313" s="123"/>
      <c r="I313" s="124"/>
      <c r="J313" s="31"/>
      <c r="L313" s="125"/>
      <c r="M313" s="126"/>
      <c r="N313" s="26"/>
    </row>
    <row r="314" spans="1:14" ht="20" customHeight="1">
      <c r="A314" s="121">
        <v>431.29</v>
      </c>
      <c r="B314" s="122">
        <v>12021.2212073917</v>
      </c>
      <c r="C314" s="123">
        <v>476.45811170000002</v>
      </c>
      <c r="D314" s="122">
        <v>3</v>
      </c>
      <c r="E314" s="124" t="s">
        <v>1065</v>
      </c>
      <c r="F314" s="121"/>
      <c r="G314" s="122"/>
      <c r="H314" s="123"/>
      <c r="I314" s="124"/>
      <c r="J314" s="31"/>
      <c r="L314" s="125"/>
      <c r="M314" s="126"/>
      <c r="N314" s="26"/>
    </row>
    <row r="315" spans="1:14" ht="20" customHeight="1">
      <c r="A315" s="121">
        <v>432.29</v>
      </c>
      <c r="B315" s="122">
        <v>12069.5482185908</v>
      </c>
      <c r="C315" s="123">
        <v>477.38663730000002</v>
      </c>
      <c r="D315" s="122">
        <v>3</v>
      </c>
      <c r="E315" s="124" t="s">
        <v>1065</v>
      </c>
      <c r="F315" s="121"/>
      <c r="G315" s="122"/>
      <c r="H315" s="123"/>
      <c r="I315" s="124"/>
      <c r="J315" s="31"/>
      <c r="L315" s="125"/>
      <c r="M315" s="126"/>
      <c r="N315" s="26"/>
    </row>
    <row r="316" spans="1:14" ht="20" customHeight="1">
      <c r="A316" s="121">
        <v>432.91</v>
      </c>
      <c r="B316" s="122">
        <v>12098.4741335655</v>
      </c>
      <c r="C316" s="123">
        <v>480.00117139999998</v>
      </c>
      <c r="D316" s="122">
        <v>3</v>
      </c>
      <c r="E316" s="124" t="s">
        <v>1065</v>
      </c>
      <c r="F316" s="121"/>
      <c r="G316" s="122"/>
      <c r="H316" s="123"/>
      <c r="I316" s="124"/>
      <c r="J316" s="31"/>
      <c r="L316" s="125"/>
      <c r="M316" s="126"/>
      <c r="N316" s="26"/>
    </row>
    <row r="317" spans="1:14" ht="20" customHeight="1">
      <c r="A317" s="121">
        <v>433.91</v>
      </c>
      <c r="B317" s="122">
        <v>12144.658555910801</v>
      </c>
      <c r="C317" s="123">
        <v>476.85997500000002</v>
      </c>
      <c r="D317" s="122">
        <v>3</v>
      </c>
      <c r="E317" s="124" t="s">
        <v>1065</v>
      </c>
      <c r="F317" s="121"/>
      <c r="G317" s="122"/>
      <c r="H317" s="123"/>
      <c r="I317" s="124"/>
      <c r="J317" s="31"/>
      <c r="L317" s="125"/>
      <c r="M317" s="126"/>
      <c r="N317" s="26"/>
    </row>
    <row r="318" spans="1:14" ht="20" customHeight="1">
      <c r="A318" s="121">
        <v>435.41</v>
      </c>
      <c r="B318" s="122">
        <v>12212.685173502001</v>
      </c>
      <c r="C318" s="123">
        <v>480.36966410000002</v>
      </c>
      <c r="D318" s="122">
        <v>3</v>
      </c>
      <c r="E318" s="124" t="s">
        <v>1065</v>
      </c>
      <c r="F318" s="121"/>
      <c r="G318" s="122"/>
      <c r="H318" s="123"/>
      <c r="I318" s="124"/>
      <c r="J318" s="31"/>
      <c r="L318" s="125"/>
      <c r="M318" s="126"/>
      <c r="N318" s="26"/>
    </row>
    <row r="319" spans="1:14" ht="20" customHeight="1">
      <c r="A319" s="121">
        <v>437.29</v>
      </c>
      <c r="B319" s="122">
        <v>12298.1795046118</v>
      </c>
      <c r="C319" s="123">
        <v>476.8451177</v>
      </c>
      <c r="D319" s="122">
        <v>3</v>
      </c>
      <c r="E319" s="124" t="s">
        <v>1065</v>
      </c>
      <c r="F319" s="121"/>
      <c r="G319" s="122"/>
      <c r="H319" s="123"/>
      <c r="I319" s="124"/>
      <c r="J319" s="31"/>
      <c r="L319" s="125"/>
      <c r="M319" s="126"/>
      <c r="N319" s="26"/>
    </row>
    <row r="320" spans="1:14" ht="20" customHeight="1">
      <c r="A320" s="121">
        <v>437.91</v>
      </c>
      <c r="B320" s="122">
        <v>12325.6199907221</v>
      </c>
      <c r="C320" s="123">
        <v>477.83183320000001</v>
      </c>
      <c r="D320" s="122">
        <v>3</v>
      </c>
      <c r="E320" s="124" t="s">
        <v>1065</v>
      </c>
      <c r="F320" s="121"/>
      <c r="G320" s="122"/>
      <c r="H320" s="123"/>
      <c r="I320" s="124"/>
      <c r="J320" s="31"/>
      <c r="L320" s="125"/>
      <c r="M320" s="126"/>
      <c r="N320" s="26"/>
    </row>
    <row r="321" spans="1:14" ht="20" customHeight="1">
      <c r="A321" s="121">
        <v>439.41</v>
      </c>
      <c r="B321" s="122">
        <v>12392.0986221081</v>
      </c>
      <c r="C321" s="123">
        <v>487.74714979999999</v>
      </c>
      <c r="D321" s="122">
        <v>3</v>
      </c>
      <c r="E321" s="124" t="s">
        <v>1065</v>
      </c>
      <c r="F321" s="121"/>
      <c r="G321" s="122"/>
      <c r="H321" s="123"/>
      <c r="I321" s="124"/>
      <c r="J321" s="31"/>
      <c r="L321" s="125"/>
      <c r="M321" s="126"/>
      <c r="N321" s="26"/>
    </row>
    <row r="322" spans="1:14" ht="20" customHeight="1">
      <c r="A322" s="129">
        <v>439.88</v>
      </c>
      <c r="B322" s="130">
        <v>12412.7843035038</v>
      </c>
      <c r="C322" s="131">
        <v>489.3</v>
      </c>
      <c r="D322" s="130">
        <v>10</v>
      </c>
      <c r="E322" s="124" t="s">
        <v>1126</v>
      </c>
      <c r="F322" s="129"/>
      <c r="G322" s="129"/>
      <c r="H322" s="131"/>
      <c r="I322" s="124"/>
      <c r="J322" s="31"/>
      <c r="L322" s="125"/>
      <c r="M322" s="126"/>
      <c r="N322" s="26"/>
    </row>
    <row r="323" spans="1:14" ht="20" customHeight="1">
      <c r="A323" s="125">
        <v>440.4</v>
      </c>
      <c r="B323" s="127">
        <v>12436.7066209402</v>
      </c>
      <c r="C323" s="128">
        <v>488.2</v>
      </c>
      <c r="D323" s="144">
        <v>6</v>
      </c>
      <c r="E323" s="124" t="s">
        <v>1067</v>
      </c>
      <c r="F323" s="125"/>
      <c r="G323" s="125"/>
      <c r="H323" s="128"/>
      <c r="I323" s="124"/>
      <c r="J323" s="31"/>
      <c r="L323" s="125"/>
      <c r="M323" s="126"/>
      <c r="N323" s="26"/>
    </row>
    <row r="324" spans="1:14" ht="20" customHeight="1">
      <c r="A324" s="121">
        <v>440.91</v>
      </c>
      <c r="B324" s="122">
        <v>12460.4737261958</v>
      </c>
      <c r="C324" s="123">
        <v>492.20160920000001</v>
      </c>
      <c r="D324" s="122">
        <v>3</v>
      </c>
      <c r="E324" s="124" t="s">
        <v>1065</v>
      </c>
      <c r="F324" s="121"/>
      <c r="G324" s="122"/>
      <c r="H324" s="123"/>
      <c r="I324" s="124"/>
      <c r="J324" s="31"/>
      <c r="L324" s="125"/>
      <c r="M324" s="126"/>
      <c r="N324" s="26"/>
    </row>
    <row r="325" spans="1:14" ht="20" customHeight="1">
      <c r="A325" s="121">
        <v>442.29</v>
      </c>
      <c r="B325" s="122">
        <v>12526.4492161785</v>
      </c>
      <c r="C325" s="123">
        <v>491.54381990000002</v>
      </c>
      <c r="D325" s="122">
        <v>3</v>
      </c>
      <c r="E325" s="124" t="s">
        <v>1065</v>
      </c>
      <c r="F325" s="121"/>
      <c r="G325" s="122"/>
      <c r="H325" s="123"/>
      <c r="I325" s="124"/>
      <c r="J325" s="31"/>
      <c r="L325" s="125"/>
      <c r="M325" s="126"/>
      <c r="N325" s="26"/>
    </row>
    <row r="326" spans="1:14" ht="20" customHeight="1">
      <c r="A326" s="121">
        <v>443.79</v>
      </c>
      <c r="B326" s="122">
        <v>12599.6623198426</v>
      </c>
      <c r="C326" s="123">
        <v>509.71827359999997</v>
      </c>
      <c r="D326" s="122">
        <v>3</v>
      </c>
      <c r="E326" s="124" t="s">
        <v>1065</v>
      </c>
      <c r="F326" s="121"/>
      <c r="G326" s="122"/>
      <c r="H326" s="123"/>
      <c r="I326" s="124"/>
      <c r="J326" s="31"/>
      <c r="L326" s="125"/>
      <c r="M326" s="126"/>
      <c r="N326" s="26"/>
    </row>
    <row r="327" spans="1:14" ht="20" customHeight="1">
      <c r="A327" s="129">
        <v>443.88</v>
      </c>
      <c r="B327" s="130">
        <v>12604.0447512712</v>
      </c>
      <c r="C327" s="131">
        <v>501.6</v>
      </c>
      <c r="D327" s="130">
        <v>10</v>
      </c>
      <c r="E327" s="124" t="s">
        <v>1126</v>
      </c>
      <c r="F327" s="129"/>
      <c r="G327" s="129"/>
      <c r="H327" s="131"/>
      <c r="I327" s="124"/>
      <c r="J327" s="31"/>
      <c r="L327" s="125"/>
      <c r="M327" s="126"/>
      <c r="N327" s="26"/>
    </row>
    <row r="328" spans="1:14" ht="20" customHeight="1">
      <c r="A328" s="121">
        <v>444.79</v>
      </c>
      <c r="B328" s="122">
        <v>12646.9180273075</v>
      </c>
      <c r="C328" s="123">
        <v>507.12749860000002</v>
      </c>
      <c r="D328" s="122">
        <v>3</v>
      </c>
      <c r="E328" s="124" t="s">
        <v>1065</v>
      </c>
      <c r="F328" s="121"/>
      <c r="G328" s="122"/>
      <c r="H328" s="123"/>
      <c r="I328" s="124"/>
      <c r="J328" s="31"/>
      <c r="L328" s="125"/>
      <c r="M328" s="126"/>
      <c r="N328" s="26"/>
    </row>
    <row r="329" spans="1:14" ht="20" customHeight="1">
      <c r="A329" s="121">
        <v>445.41</v>
      </c>
      <c r="B329" s="122">
        <v>12679.1876612452</v>
      </c>
      <c r="C329" s="123">
        <v>522.63242400000001</v>
      </c>
      <c r="D329" s="122">
        <v>3</v>
      </c>
      <c r="E329" s="124" t="s">
        <v>1065</v>
      </c>
      <c r="F329" s="121"/>
      <c r="G329" s="122"/>
      <c r="H329" s="123"/>
      <c r="I329" s="124"/>
      <c r="J329" s="31"/>
      <c r="L329" s="125"/>
      <c r="M329" s="126"/>
      <c r="N329" s="26"/>
    </row>
    <row r="330" spans="1:14" ht="20" customHeight="1">
      <c r="A330" s="129">
        <v>445.88</v>
      </c>
      <c r="B330" s="130">
        <v>12704.8957523606</v>
      </c>
      <c r="C330" s="131">
        <v>561.9</v>
      </c>
      <c r="D330" s="130">
        <v>10</v>
      </c>
      <c r="E330" s="124" t="s">
        <v>1126</v>
      </c>
      <c r="F330" s="129"/>
      <c r="G330" s="129"/>
      <c r="H330" s="131"/>
      <c r="I330" s="124"/>
      <c r="J330" s="31"/>
      <c r="L330" s="125"/>
      <c r="M330" s="126"/>
      <c r="N330" s="26"/>
    </row>
    <row r="331" spans="1:14" ht="20" customHeight="1">
      <c r="A331" s="121">
        <v>446.41</v>
      </c>
      <c r="B331" s="122">
        <v>12734.116520453499</v>
      </c>
      <c r="C331" s="123">
        <v>549.14261839999904</v>
      </c>
      <c r="D331" s="122">
        <v>3</v>
      </c>
      <c r="E331" s="124" t="s">
        <v>1065</v>
      </c>
      <c r="F331" s="121"/>
      <c r="G331" s="122"/>
      <c r="H331" s="123"/>
      <c r="I331" s="124"/>
      <c r="J331" s="31"/>
      <c r="L331" s="125"/>
      <c r="M331" s="126"/>
      <c r="N331" s="26"/>
    </row>
    <row r="332" spans="1:14" ht="20" customHeight="1">
      <c r="A332" s="121">
        <v>447.62</v>
      </c>
      <c r="B332" s="122">
        <v>12797.8652722513</v>
      </c>
      <c r="C332" s="123">
        <v>596.65959810000004</v>
      </c>
      <c r="D332" s="122">
        <v>3</v>
      </c>
      <c r="E332" s="124" t="s">
        <v>1065</v>
      </c>
      <c r="F332" s="121"/>
      <c r="G332" s="122"/>
      <c r="H332" s="123"/>
      <c r="I332" s="124"/>
      <c r="J332" s="31"/>
      <c r="L332" s="125"/>
      <c r="M332" s="126"/>
      <c r="N332" s="26"/>
    </row>
    <row r="333" spans="1:14" ht="20" customHeight="1">
      <c r="A333" s="129">
        <v>447.86</v>
      </c>
      <c r="B333" s="130">
        <v>12809.921314563901</v>
      </c>
      <c r="C333" s="131">
        <v>585.9</v>
      </c>
      <c r="D333" s="130">
        <v>10</v>
      </c>
      <c r="E333" s="124" t="s">
        <v>1126</v>
      </c>
      <c r="F333" s="129"/>
      <c r="G333" s="129"/>
      <c r="H333" s="131"/>
      <c r="I333" s="124"/>
      <c r="J333" s="31"/>
      <c r="L333" s="125"/>
      <c r="M333" s="126"/>
      <c r="N333" s="26"/>
    </row>
    <row r="334" spans="1:14" ht="20" customHeight="1">
      <c r="A334" s="121">
        <v>449.29500000000002</v>
      </c>
      <c r="B334" s="122">
        <v>12882.3083113802</v>
      </c>
      <c r="C334" s="123">
        <v>638.4857025</v>
      </c>
      <c r="D334" s="122">
        <v>3</v>
      </c>
      <c r="E334" s="124" t="s">
        <v>1065</v>
      </c>
      <c r="F334" s="121"/>
      <c r="G334" s="122"/>
      <c r="H334" s="123"/>
      <c r="I334" s="124"/>
      <c r="J334" s="31"/>
      <c r="L334" s="125"/>
      <c r="M334" s="126"/>
      <c r="N334" s="26"/>
    </row>
    <row r="335" spans="1:14" ht="20" customHeight="1">
      <c r="A335" s="121">
        <v>450.76499999999999</v>
      </c>
      <c r="B335" s="122">
        <v>12954.893656595499</v>
      </c>
      <c r="C335" s="123">
        <v>657.19237780000003</v>
      </c>
      <c r="D335" s="122">
        <v>3</v>
      </c>
      <c r="E335" s="124" t="s">
        <v>1065</v>
      </c>
      <c r="F335" s="121"/>
      <c r="G335" s="122"/>
      <c r="H335" s="123"/>
      <c r="I335" s="124"/>
      <c r="J335" s="31"/>
      <c r="L335" s="125"/>
      <c r="M335" s="126"/>
      <c r="N335" s="26"/>
    </row>
    <row r="336" spans="1:14" ht="20" customHeight="1">
      <c r="A336" s="121">
        <v>451.41</v>
      </c>
      <c r="B336" s="122">
        <v>12984.0325818004</v>
      </c>
      <c r="C336" s="123">
        <v>659.06466990000001</v>
      </c>
      <c r="D336" s="122">
        <v>3</v>
      </c>
      <c r="E336" s="124" t="s">
        <v>1065</v>
      </c>
      <c r="F336" s="121"/>
      <c r="G336" s="122"/>
      <c r="H336" s="123"/>
      <c r="I336" s="124"/>
      <c r="J336" s="31"/>
      <c r="L336" s="125"/>
      <c r="M336" s="126"/>
      <c r="N336" s="26"/>
    </row>
    <row r="337" spans="1:14" ht="20" customHeight="1">
      <c r="A337" s="121">
        <v>452.29</v>
      </c>
      <c r="B337" s="122">
        <v>13024.1909481687</v>
      </c>
      <c r="C337" s="123">
        <v>636.7245034</v>
      </c>
      <c r="D337" s="122">
        <v>3</v>
      </c>
      <c r="E337" s="124" t="s">
        <v>1065</v>
      </c>
      <c r="F337" s="121"/>
      <c r="G337" s="122"/>
      <c r="H337" s="123"/>
      <c r="I337" s="124"/>
      <c r="J337" s="31"/>
      <c r="L337" s="125"/>
      <c r="M337" s="126"/>
      <c r="N337" s="26"/>
    </row>
    <row r="338" spans="1:14" ht="20" customHeight="1">
      <c r="A338" s="121">
        <v>453.29</v>
      </c>
      <c r="B338" s="122">
        <v>13073.304996708201</v>
      </c>
      <c r="C338" s="123">
        <v>632.36461959999997</v>
      </c>
      <c r="D338" s="122">
        <v>3</v>
      </c>
      <c r="E338" s="124" t="s">
        <v>1065</v>
      </c>
      <c r="F338" s="121"/>
      <c r="G338" s="122"/>
      <c r="H338" s="123"/>
      <c r="I338" s="124"/>
      <c r="J338" s="31"/>
      <c r="L338" s="125"/>
      <c r="M338" s="126"/>
      <c r="N338" s="26"/>
    </row>
    <row r="339" spans="1:14" ht="20" customHeight="1">
      <c r="A339" s="121">
        <v>454.29</v>
      </c>
      <c r="B339" s="122">
        <v>13125.474426238399</v>
      </c>
      <c r="C339" s="123">
        <v>640.46382149999999</v>
      </c>
      <c r="D339" s="122">
        <v>3</v>
      </c>
      <c r="E339" s="124" t="s">
        <v>1065</v>
      </c>
      <c r="F339" s="121"/>
      <c r="G339" s="122"/>
      <c r="H339" s="123"/>
      <c r="I339" s="124"/>
      <c r="J339" s="31"/>
      <c r="L339" s="125"/>
      <c r="M339" s="126"/>
      <c r="N339" s="26"/>
    </row>
    <row r="340" spans="1:14" ht="20" customHeight="1">
      <c r="A340" s="121">
        <v>454.41</v>
      </c>
      <c r="B340" s="122">
        <v>13131.905010055299</v>
      </c>
      <c r="C340" s="123">
        <v>628.12435359999904</v>
      </c>
      <c r="D340" s="122">
        <v>3</v>
      </c>
      <c r="E340" s="124" t="s">
        <v>1065</v>
      </c>
      <c r="F340" s="121"/>
      <c r="G340" s="122"/>
      <c r="H340" s="123"/>
      <c r="I340" s="124"/>
      <c r="J340" s="31"/>
      <c r="L340" s="125"/>
      <c r="M340" s="126"/>
      <c r="N340" s="26"/>
    </row>
    <row r="341" spans="1:14" ht="20" customHeight="1">
      <c r="A341" s="125">
        <v>454.9</v>
      </c>
      <c r="B341" s="127">
        <v>13158.163227307599</v>
      </c>
      <c r="C341" s="128">
        <v>647.6</v>
      </c>
      <c r="D341" s="144">
        <v>6</v>
      </c>
      <c r="E341" s="124" t="s">
        <v>1067</v>
      </c>
      <c r="F341" s="125"/>
      <c r="G341" s="125"/>
      <c r="H341" s="128"/>
      <c r="I341" s="124"/>
      <c r="J341" s="31"/>
      <c r="L341" s="125"/>
      <c r="M341" s="126"/>
      <c r="N341" s="26"/>
    </row>
    <row r="342" spans="1:14" ht="20" customHeight="1">
      <c r="A342" s="121">
        <v>455.79</v>
      </c>
      <c r="B342" s="122">
        <v>13207.4447941905</v>
      </c>
      <c r="C342" s="123">
        <v>645.17674269999998</v>
      </c>
      <c r="D342" s="122">
        <v>3</v>
      </c>
      <c r="E342" s="124" t="s">
        <v>1065</v>
      </c>
      <c r="F342" s="121"/>
      <c r="G342" s="122"/>
      <c r="H342" s="123"/>
      <c r="I342" s="124"/>
      <c r="J342" s="31"/>
      <c r="L342" s="125"/>
      <c r="M342" s="126"/>
      <c r="N342" s="26"/>
    </row>
    <row r="343" spans="1:14" ht="20" customHeight="1">
      <c r="A343" s="121">
        <v>456.79</v>
      </c>
      <c r="B343" s="122">
        <v>13260.5785666295</v>
      </c>
      <c r="C343" s="123">
        <v>662.42093469999998</v>
      </c>
      <c r="D343" s="122">
        <v>3</v>
      </c>
      <c r="E343" s="124" t="s">
        <v>1065</v>
      </c>
      <c r="F343" s="121"/>
      <c r="G343" s="122"/>
      <c r="H343" s="123"/>
      <c r="I343" s="124"/>
      <c r="J343" s="31"/>
      <c r="L343" s="125"/>
      <c r="M343" s="126"/>
      <c r="N343" s="26"/>
    </row>
    <row r="344" spans="1:14" ht="20" customHeight="1">
      <c r="A344" s="121">
        <v>457.41</v>
      </c>
      <c r="B344" s="122">
        <v>13290.8326118656</v>
      </c>
      <c r="C344" s="123">
        <v>667.41621970000006</v>
      </c>
      <c r="D344" s="122">
        <v>3</v>
      </c>
      <c r="E344" s="124" t="s">
        <v>1065</v>
      </c>
      <c r="F344" s="121"/>
      <c r="G344" s="122"/>
      <c r="H344" s="123"/>
      <c r="I344" s="124"/>
      <c r="J344" s="31"/>
      <c r="L344" s="125"/>
      <c r="M344" s="126"/>
      <c r="N344" s="26"/>
    </row>
    <row r="345" spans="1:14" ht="20" customHeight="1">
      <c r="A345" s="121">
        <v>459.74</v>
      </c>
      <c r="B345" s="122">
        <v>13399.6929238498</v>
      </c>
      <c r="C345" s="123">
        <v>661.48839069999997</v>
      </c>
      <c r="D345" s="122">
        <v>3</v>
      </c>
      <c r="E345" s="124" t="s">
        <v>1065</v>
      </c>
      <c r="F345" s="121"/>
      <c r="G345" s="122"/>
      <c r="H345" s="123"/>
      <c r="I345" s="124"/>
      <c r="J345" s="31"/>
      <c r="L345" s="125"/>
      <c r="M345" s="126"/>
      <c r="N345" s="26"/>
    </row>
    <row r="346" spans="1:14" ht="20" customHeight="1">
      <c r="A346" s="125">
        <v>459.91</v>
      </c>
      <c r="B346" s="127">
        <v>13408.043354567601</v>
      </c>
      <c r="C346" s="128">
        <v>663.5</v>
      </c>
      <c r="D346" s="144">
        <v>6</v>
      </c>
      <c r="E346" s="124" t="s">
        <v>1067</v>
      </c>
      <c r="F346" s="125"/>
      <c r="G346" s="125"/>
      <c r="H346" s="128"/>
      <c r="I346" s="124"/>
      <c r="J346" s="31"/>
      <c r="L346" s="125"/>
      <c r="M346" s="126"/>
      <c r="N346" s="26"/>
    </row>
    <row r="347" spans="1:14" ht="20" customHeight="1">
      <c r="A347" s="129">
        <v>461.88</v>
      </c>
      <c r="B347" s="130">
        <v>13508.911056396901</v>
      </c>
      <c r="C347" s="131">
        <v>646.29999999999995</v>
      </c>
      <c r="D347" s="130">
        <v>10</v>
      </c>
      <c r="E347" s="124" t="s">
        <v>1126</v>
      </c>
      <c r="F347" s="129"/>
      <c r="G347" s="129"/>
      <c r="H347" s="131"/>
      <c r="I347" s="124"/>
      <c r="J347" s="31"/>
      <c r="L347" s="125"/>
      <c r="M347" s="126"/>
      <c r="N347" s="26"/>
    </row>
    <row r="348" spans="1:14" ht="20" customHeight="1">
      <c r="A348" s="121">
        <v>462.29</v>
      </c>
      <c r="B348" s="122">
        <v>13530.309992819401</v>
      </c>
      <c r="C348" s="123">
        <v>646.48816539999996</v>
      </c>
      <c r="D348" s="122">
        <v>3</v>
      </c>
      <c r="E348" s="124" t="s">
        <v>1065</v>
      </c>
      <c r="F348" s="121"/>
      <c r="G348" s="122"/>
      <c r="H348" s="123"/>
      <c r="I348" s="124"/>
      <c r="J348" s="31"/>
      <c r="L348" s="125"/>
      <c r="M348" s="126"/>
      <c r="N348" s="26"/>
    </row>
    <row r="349" spans="1:14" ht="20" customHeight="1">
      <c r="A349" s="129">
        <v>463.38</v>
      </c>
      <c r="B349" s="130">
        <v>13588.7919065771</v>
      </c>
      <c r="C349" s="131">
        <v>645.5</v>
      </c>
      <c r="D349" s="130">
        <v>10</v>
      </c>
      <c r="E349" s="124" t="s">
        <v>1126</v>
      </c>
      <c r="F349" s="129"/>
      <c r="G349" s="129"/>
      <c r="H349" s="131"/>
      <c r="I349" s="124"/>
      <c r="J349" s="31"/>
      <c r="L349" s="125"/>
      <c r="M349" s="126"/>
      <c r="N349" s="26"/>
    </row>
    <row r="350" spans="1:14" ht="20" customHeight="1">
      <c r="A350" s="121">
        <v>464.79</v>
      </c>
      <c r="B350" s="122">
        <v>13669.6319602486</v>
      </c>
      <c r="C350" s="123">
        <v>652.25041829999998</v>
      </c>
      <c r="D350" s="122">
        <v>3</v>
      </c>
      <c r="E350" s="124" t="s">
        <v>1065</v>
      </c>
      <c r="F350" s="121"/>
      <c r="G350" s="122"/>
      <c r="H350" s="123"/>
      <c r="I350" s="124"/>
      <c r="J350" s="31"/>
      <c r="L350" s="125"/>
      <c r="M350" s="126"/>
      <c r="N350" s="26"/>
    </row>
    <row r="351" spans="1:14" ht="20" customHeight="1">
      <c r="A351" s="125">
        <v>464.90499999999997</v>
      </c>
      <c r="B351" s="127">
        <v>13676.6567881339</v>
      </c>
      <c r="C351" s="128">
        <v>652.4</v>
      </c>
      <c r="D351" s="144">
        <v>6</v>
      </c>
      <c r="E351" s="124" t="s">
        <v>1067</v>
      </c>
      <c r="F351" s="125"/>
      <c r="G351" s="125"/>
      <c r="H351" s="128"/>
      <c r="I351" s="124"/>
      <c r="J351" s="31"/>
      <c r="L351" s="125"/>
      <c r="M351" s="126"/>
      <c r="N351" s="26"/>
    </row>
    <row r="352" spans="1:14" ht="20" customHeight="1">
      <c r="A352" s="129">
        <v>465.88</v>
      </c>
      <c r="B352" s="130">
        <v>13734.337144041199</v>
      </c>
      <c r="C352" s="131">
        <v>659</v>
      </c>
      <c r="D352" s="130">
        <v>10</v>
      </c>
      <c r="E352" s="124" t="s">
        <v>1126</v>
      </c>
      <c r="F352" s="129"/>
      <c r="G352" s="129"/>
      <c r="H352" s="131"/>
      <c r="I352" s="124"/>
      <c r="J352" s="31"/>
      <c r="L352" s="125"/>
      <c r="M352" s="126"/>
      <c r="N352" s="26"/>
    </row>
    <row r="353" spans="1:14" ht="20" customHeight="1">
      <c r="A353" s="121">
        <v>466.79</v>
      </c>
      <c r="B353" s="122">
        <v>13789.6461556426</v>
      </c>
      <c r="C353" s="123">
        <v>644.69327390000001</v>
      </c>
      <c r="D353" s="122">
        <v>3</v>
      </c>
      <c r="E353" s="124" t="s">
        <v>1065</v>
      </c>
      <c r="F353" s="121"/>
      <c r="G353" s="122"/>
      <c r="H353" s="123"/>
      <c r="I353" s="124"/>
      <c r="J353" s="31"/>
      <c r="L353" s="125"/>
      <c r="M353" s="126"/>
      <c r="N353" s="26"/>
    </row>
    <row r="354" spans="1:14" ht="20" customHeight="1">
      <c r="A354" s="129">
        <v>467.38</v>
      </c>
      <c r="B354" s="130">
        <v>13825.468004743099</v>
      </c>
      <c r="C354" s="131">
        <v>623.6</v>
      </c>
      <c r="D354" s="130">
        <v>10</v>
      </c>
      <c r="E354" s="124" t="s">
        <v>1126</v>
      </c>
      <c r="F354" s="129"/>
      <c r="G354" s="129"/>
      <c r="H354" s="131"/>
      <c r="I354" s="124"/>
      <c r="J354" s="31"/>
      <c r="L354" s="125"/>
      <c r="M354" s="126"/>
      <c r="N354" s="26"/>
    </row>
    <row r="355" spans="1:14" ht="20" customHeight="1">
      <c r="A355" s="121">
        <v>468.91</v>
      </c>
      <c r="B355" s="122">
        <v>13916.7640085411</v>
      </c>
      <c r="C355" s="123">
        <v>610.16601939999998</v>
      </c>
      <c r="D355" s="122">
        <v>3</v>
      </c>
      <c r="E355" s="124" t="s">
        <v>1065</v>
      </c>
      <c r="F355" s="121"/>
      <c r="G355" s="122"/>
      <c r="H355" s="123"/>
      <c r="I355" s="124"/>
      <c r="J355" s="31"/>
      <c r="L355" s="125"/>
      <c r="M355" s="126"/>
      <c r="N355" s="26"/>
    </row>
    <row r="356" spans="1:14" ht="20" customHeight="1">
      <c r="A356" s="129">
        <v>469.38</v>
      </c>
      <c r="B356" s="130">
        <v>13943.522932292</v>
      </c>
      <c r="C356" s="131">
        <v>609.4</v>
      </c>
      <c r="D356" s="130">
        <v>10</v>
      </c>
      <c r="E356" s="124" t="s">
        <v>1126</v>
      </c>
      <c r="F356" s="129"/>
      <c r="G356" s="129"/>
      <c r="H356" s="131"/>
      <c r="I356" s="124"/>
      <c r="J356" s="31"/>
      <c r="L356" s="125"/>
      <c r="M356" s="126"/>
      <c r="N356" s="26"/>
    </row>
    <row r="357" spans="1:14" ht="20" customHeight="1">
      <c r="A357" s="125">
        <v>469.90499999999997</v>
      </c>
      <c r="B357" s="127">
        <v>13973.4318887298</v>
      </c>
      <c r="C357" s="128">
        <v>602.79999999999995</v>
      </c>
      <c r="D357" s="144">
        <v>6</v>
      </c>
      <c r="E357" s="124" t="s">
        <v>1067</v>
      </c>
      <c r="F357" s="125"/>
      <c r="G357" s="125"/>
      <c r="H357" s="128"/>
      <c r="I357" s="124"/>
      <c r="J357" s="31"/>
      <c r="L357" s="125"/>
      <c r="M357" s="126"/>
      <c r="N357" s="26"/>
    </row>
    <row r="358" spans="1:14" ht="20" customHeight="1">
      <c r="A358" s="121">
        <v>470.79</v>
      </c>
      <c r="B358" s="122">
        <v>14021.284426722899</v>
      </c>
      <c r="C358" s="123">
        <v>617.04532529999904</v>
      </c>
      <c r="D358" s="122">
        <v>3</v>
      </c>
      <c r="E358" s="124" t="s">
        <v>1065</v>
      </c>
      <c r="F358" s="121"/>
      <c r="G358" s="122"/>
      <c r="H358" s="123"/>
      <c r="I358" s="124"/>
      <c r="J358" s="31"/>
      <c r="L358" s="125"/>
      <c r="M358" s="126"/>
      <c r="N358" s="26"/>
    </row>
    <row r="359" spans="1:14" ht="20" customHeight="1">
      <c r="A359" s="121">
        <v>472.91</v>
      </c>
      <c r="B359" s="122">
        <v>14129.7038894611</v>
      </c>
      <c r="C359" s="123">
        <v>622.56645739999999</v>
      </c>
      <c r="D359" s="122">
        <v>3</v>
      </c>
      <c r="E359" s="124" t="s">
        <v>1065</v>
      </c>
      <c r="F359" s="121"/>
      <c r="G359" s="122"/>
      <c r="H359" s="123"/>
      <c r="I359" s="124"/>
      <c r="J359" s="31"/>
      <c r="L359" s="125"/>
      <c r="M359" s="126"/>
      <c r="N359" s="26"/>
    </row>
    <row r="360" spans="1:14" ht="20" customHeight="1">
      <c r="A360" s="129">
        <v>473.38</v>
      </c>
      <c r="B360" s="130">
        <v>14153.8903792085</v>
      </c>
      <c r="C360" s="131">
        <v>615.6</v>
      </c>
      <c r="D360" s="130">
        <v>10</v>
      </c>
      <c r="E360" s="124" t="s">
        <v>1126</v>
      </c>
      <c r="F360" s="129"/>
      <c r="G360" s="129"/>
      <c r="H360" s="131"/>
      <c r="I360" s="124"/>
      <c r="J360" s="31"/>
      <c r="L360" s="125"/>
      <c r="M360" s="126"/>
      <c r="N360" s="26"/>
    </row>
    <row r="361" spans="1:14" ht="20" customHeight="1">
      <c r="A361" s="121">
        <v>474.79</v>
      </c>
      <c r="B361" s="122">
        <v>14227.9416957594</v>
      </c>
      <c r="C361" s="123">
        <v>614.45134340000004</v>
      </c>
      <c r="D361" s="122">
        <v>3</v>
      </c>
      <c r="E361" s="124" t="s">
        <v>1065</v>
      </c>
      <c r="F361" s="121"/>
      <c r="G361" s="122"/>
      <c r="H361" s="123"/>
      <c r="I361" s="124"/>
      <c r="J361" s="31"/>
      <c r="L361" s="125"/>
      <c r="M361" s="126"/>
      <c r="N361" s="26"/>
    </row>
    <row r="362" spans="1:14" ht="20" customHeight="1">
      <c r="A362" s="125">
        <v>474.91500000000002</v>
      </c>
      <c r="B362" s="127">
        <v>14234.883445826101</v>
      </c>
      <c r="C362" s="128">
        <v>612.4</v>
      </c>
      <c r="D362" s="144">
        <v>6</v>
      </c>
      <c r="E362" s="124" t="s">
        <v>1067</v>
      </c>
      <c r="F362" s="125"/>
      <c r="G362" s="125"/>
      <c r="H362" s="128"/>
      <c r="I362" s="124"/>
      <c r="J362" s="31"/>
      <c r="L362" s="125"/>
      <c r="M362" s="126"/>
      <c r="N362" s="26"/>
    </row>
    <row r="363" spans="1:14" ht="20" customHeight="1">
      <c r="A363" s="129">
        <v>475.88</v>
      </c>
      <c r="B363" s="130">
        <v>14288.2513279171</v>
      </c>
      <c r="C363" s="131">
        <v>602.20000000000005</v>
      </c>
      <c r="D363" s="130">
        <v>10</v>
      </c>
      <c r="E363" s="124" t="s">
        <v>1126</v>
      </c>
      <c r="F363" s="129"/>
      <c r="G363" s="129"/>
      <c r="H363" s="131"/>
      <c r="I363" s="124"/>
      <c r="J363" s="31"/>
      <c r="L363" s="125"/>
      <c r="M363" s="126"/>
      <c r="N363" s="26"/>
    </row>
    <row r="364" spans="1:14" ht="20" customHeight="1">
      <c r="A364" s="121">
        <v>476.91</v>
      </c>
      <c r="B364" s="122">
        <v>14339.078851713301</v>
      </c>
      <c r="C364" s="123">
        <v>600.10912059999998</v>
      </c>
      <c r="D364" s="122">
        <v>3</v>
      </c>
      <c r="E364" s="124" t="s">
        <v>1065</v>
      </c>
      <c r="F364" s="121"/>
      <c r="G364" s="122"/>
      <c r="H364" s="123"/>
      <c r="I364" s="124"/>
      <c r="J364" s="31"/>
      <c r="L364" s="125"/>
      <c r="M364" s="126"/>
      <c r="N364" s="26"/>
    </row>
    <row r="365" spans="1:14" ht="20" customHeight="1">
      <c r="A365" s="121">
        <v>479.29</v>
      </c>
      <c r="B365" s="122">
        <v>14456.181360566099</v>
      </c>
      <c r="C365" s="123">
        <v>585.47079610000003</v>
      </c>
      <c r="D365" s="122">
        <v>3</v>
      </c>
      <c r="E365" s="124" t="s">
        <v>1065</v>
      </c>
      <c r="F365" s="121"/>
      <c r="G365" s="122"/>
      <c r="H365" s="123"/>
      <c r="I365" s="124"/>
      <c r="J365" s="31"/>
      <c r="L365" s="125"/>
      <c r="M365" s="126"/>
      <c r="N365" s="26"/>
    </row>
    <row r="366" spans="1:14" ht="20" customHeight="1">
      <c r="A366" s="129">
        <v>479.38</v>
      </c>
      <c r="B366" s="130">
        <v>14460.5638139273</v>
      </c>
      <c r="C366" s="131">
        <v>577.5</v>
      </c>
      <c r="D366" s="130">
        <v>10</v>
      </c>
      <c r="E366" s="124" t="s">
        <v>1126</v>
      </c>
      <c r="F366" s="129"/>
      <c r="G366" s="129"/>
      <c r="H366" s="131"/>
      <c r="I366" s="124"/>
      <c r="J366" s="31"/>
      <c r="L366" s="125"/>
      <c r="M366" s="126"/>
      <c r="N366" s="26"/>
    </row>
    <row r="367" spans="1:14" ht="20" customHeight="1">
      <c r="A367" s="125">
        <v>479.9</v>
      </c>
      <c r="B367" s="127">
        <v>14485.8846555695</v>
      </c>
      <c r="C367" s="128">
        <v>564.6</v>
      </c>
      <c r="D367" s="144">
        <v>6</v>
      </c>
      <c r="E367" s="124" t="s">
        <v>1067</v>
      </c>
      <c r="F367" s="125"/>
      <c r="G367" s="125"/>
      <c r="H367" s="128"/>
      <c r="I367" s="124"/>
      <c r="J367" s="31"/>
      <c r="L367" s="125"/>
      <c r="M367" s="126"/>
      <c r="N367" s="26"/>
    </row>
    <row r="368" spans="1:14" ht="20" customHeight="1">
      <c r="A368" s="129">
        <v>480.88</v>
      </c>
      <c r="B368" s="130">
        <v>14533.825484253401</v>
      </c>
      <c r="C368" s="131">
        <v>545.4</v>
      </c>
      <c r="D368" s="130">
        <v>10</v>
      </c>
      <c r="E368" s="124" t="s">
        <v>1126</v>
      </c>
      <c r="F368" s="129"/>
      <c r="G368" s="129"/>
      <c r="H368" s="131"/>
      <c r="I368" s="124"/>
      <c r="J368" s="31"/>
      <c r="L368" s="125"/>
      <c r="M368" s="126"/>
      <c r="N368" s="26"/>
    </row>
    <row r="369" spans="1:14" ht="20" customHeight="1">
      <c r="A369" s="121">
        <v>481.29</v>
      </c>
      <c r="B369" s="122">
        <v>14554.302903104201</v>
      </c>
      <c r="C369" s="123">
        <v>547.89501729999904</v>
      </c>
      <c r="D369" s="122">
        <v>3</v>
      </c>
      <c r="E369" s="124" t="s">
        <v>1065</v>
      </c>
      <c r="F369" s="121"/>
      <c r="G369" s="122"/>
      <c r="H369" s="123"/>
      <c r="I369" s="124"/>
      <c r="J369" s="31"/>
      <c r="L369" s="125"/>
      <c r="M369" s="126"/>
      <c r="N369" s="26"/>
    </row>
    <row r="370" spans="1:14" ht="20" customHeight="1">
      <c r="A370" s="129">
        <v>482.88</v>
      </c>
      <c r="B370" s="130">
        <v>14629.4319637031</v>
      </c>
      <c r="C370" s="131">
        <v>502.3</v>
      </c>
      <c r="D370" s="130">
        <v>10</v>
      </c>
      <c r="E370" s="124" t="s">
        <v>1126</v>
      </c>
      <c r="F370" s="129"/>
      <c r="G370" s="129"/>
      <c r="H370" s="131"/>
      <c r="I370" s="124"/>
      <c r="J370" s="31"/>
      <c r="L370" s="125"/>
      <c r="M370" s="126"/>
      <c r="N370" s="26"/>
    </row>
    <row r="371" spans="1:14" ht="20" customHeight="1">
      <c r="A371" s="121">
        <v>483.91</v>
      </c>
      <c r="B371" s="122">
        <v>14680.709309473799</v>
      </c>
      <c r="C371" s="123">
        <v>483.3686912</v>
      </c>
      <c r="D371" s="122">
        <v>3</v>
      </c>
      <c r="E371" s="124" t="s">
        <v>1065</v>
      </c>
      <c r="F371" s="121"/>
      <c r="G371" s="122"/>
      <c r="H371" s="123"/>
      <c r="I371" s="124"/>
      <c r="J371" s="31"/>
      <c r="L371" s="125"/>
      <c r="M371" s="126"/>
      <c r="N371" s="26"/>
    </row>
    <row r="372" spans="1:14" ht="20" customHeight="1">
      <c r="A372" s="125">
        <v>484.9</v>
      </c>
      <c r="B372" s="127">
        <v>14730.003385884</v>
      </c>
      <c r="C372" s="128">
        <v>479.1</v>
      </c>
      <c r="D372" s="144">
        <v>6</v>
      </c>
      <c r="E372" s="124" t="s">
        <v>1067</v>
      </c>
      <c r="F372" s="125"/>
      <c r="G372" s="125"/>
      <c r="H372" s="128"/>
      <c r="I372" s="124"/>
      <c r="J372" s="31"/>
      <c r="L372" s="125"/>
      <c r="M372" s="126"/>
      <c r="N372" s="26"/>
    </row>
    <row r="373" spans="1:14" ht="20" customHeight="1">
      <c r="A373" s="121">
        <v>485.74</v>
      </c>
      <c r="B373" s="122">
        <v>14768.6666843654</v>
      </c>
      <c r="C373" s="123">
        <v>483.73852829999998</v>
      </c>
      <c r="D373" s="122">
        <v>3</v>
      </c>
      <c r="E373" s="124" t="s">
        <v>1065</v>
      </c>
      <c r="F373" s="121"/>
      <c r="G373" s="122"/>
      <c r="H373" s="123"/>
      <c r="I373" s="124"/>
      <c r="J373" s="31"/>
      <c r="L373" s="125"/>
      <c r="M373" s="126"/>
      <c r="N373" s="26"/>
    </row>
    <row r="374" spans="1:14" ht="20" customHeight="1">
      <c r="A374" s="121">
        <v>487.74</v>
      </c>
      <c r="B374" s="122">
        <v>14852.625793879601</v>
      </c>
      <c r="C374" s="123">
        <v>478.31273040000002</v>
      </c>
      <c r="D374" s="122">
        <v>3</v>
      </c>
      <c r="E374" s="124" t="s">
        <v>1065</v>
      </c>
      <c r="F374" s="121"/>
      <c r="G374" s="122"/>
      <c r="H374" s="123"/>
      <c r="I374" s="124"/>
      <c r="J374" s="31"/>
      <c r="L374" s="125"/>
      <c r="M374" s="126"/>
      <c r="N374" s="26"/>
    </row>
    <row r="375" spans="1:14" ht="20" customHeight="1">
      <c r="A375" s="121">
        <v>489.79</v>
      </c>
      <c r="B375" s="122">
        <v>14936.881674664901</v>
      </c>
      <c r="C375" s="123">
        <v>473.12728249999998</v>
      </c>
      <c r="D375" s="122">
        <v>3</v>
      </c>
      <c r="E375" s="124" t="s">
        <v>1065</v>
      </c>
      <c r="F375" s="121"/>
      <c r="G375" s="122"/>
      <c r="H375" s="123"/>
      <c r="I375" s="124"/>
      <c r="J375" s="31"/>
      <c r="L375" s="125"/>
      <c r="M375" s="126"/>
      <c r="N375" s="26"/>
    </row>
    <row r="376" spans="1:14" ht="20" customHeight="1">
      <c r="A376" s="129">
        <v>490.38</v>
      </c>
      <c r="B376" s="130">
        <v>14962.251547334399</v>
      </c>
      <c r="C376" s="131">
        <v>475.2</v>
      </c>
      <c r="D376" s="130">
        <v>10</v>
      </c>
      <c r="E376" s="124" t="s">
        <v>1126</v>
      </c>
      <c r="F376" s="129"/>
      <c r="G376" s="129"/>
      <c r="H376" s="131"/>
      <c r="I376" s="124"/>
      <c r="J376" s="31"/>
      <c r="L376" s="125"/>
      <c r="M376" s="126"/>
      <c r="N376" s="26"/>
    </row>
    <row r="377" spans="1:14" ht="20" customHeight="1">
      <c r="A377" s="121">
        <v>491.79</v>
      </c>
      <c r="B377" s="122">
        <v>15026.432839662801</v>
      </c>
      <c r="C377" s="123">
        <v>464.3621005</v>
      </c>
      <c r="D377" s="122">
        <v>3</v>
      </c>
      <c r="E377" s="124" t="s">
        <v>1065</v>
      </c>
      <c r="F377" s="121"/>
      <c r="G377" s="122"/>
      <c r="H377" s="123"/>
      <c r="I377" s="124"/>
      <c r="J377" s="31"/>
      <c r="L377" s="125"/>
      <c r="M377" s="126"/>
      <c r="N377" s="26"/>
    </row>
    <row r="378" spans="1:14" ht="20" customHeight="1">
      <c r="A378" s="121">
        <v>493.91</v>
      </c>
      <c r="B378" s="122">
        <v>15131.1060193214</v>
      </c>
      <c r="C378" s="123">
        <v>470.87635280000001</v>
      </c>
      <c r="D378" s="122">
        <v>3</v>
      </c>
      <c r="E378" s="124" t="s">
        <v>1065</v>
      </c>
      <c r="F378" s="121"/>
      <c r="G378" s="122"/>
      <c r="H378" s="123"/>
      <c r="I378" s="124"/>
      <c r="J378" s="31"/>
      <c r="L378" s="125"/>
      <c r="M378" s="126"/>
      <c r="N378" s="26"/>
    </row>
    <row r="379" spans="1:14" ht="20" customHeight="1">
      <c r="A379" s="125">
        <v>495.29</v>
      </c>
      <c r="B379" s="127">
        <v>15200.457074214901</v>
      </c>
      <c r="C379" s="128">
        <v>472.1</v>
      </c>
      <c r="D379" s="144">
        <v>6</v>
      </c>
      <c r="E379" s="124" t="s">
        <v>1067</v>
      </c>
      <c r="F379" s="125"/>
      <c r="G379" s="125"/>
      <c r="H379" s="128"/>
      <c r="I379" s="124"/>
      <c r="J379" s="31"/>
      <c r="L379" s="125"/>
      <c r="M379" s="126"/>
      <c r="N379" s="26"/>
    </row>
    <row r="380" spans="1:14" ht="20" customHeight="1">
      <c r="A380" s="121">
        <v>496.755</v>
      </c>
      <c r="B380" s="122">
        <v>15269.8235911313</v>
      </c>
      <c r="C380" s="123">
        <v>468.17975300000001</v>
      </c>
      <c r="D380" s="122">
        <v>3</v>
      </c>
      <c r="E380" s="124" t="s">
        <v>1065</v>
      </c>
      <c r="F380" s="121"/>
      <c r="G380" s="122"/>
      <c r="H380" s="123"/>
      <c r="I380" s="124"/>
      <c r="J380" s="31"/>
      <c r="L380" s="125"/>
      <c r="M380" s="126"/>
      <c r="N380" s="26"/>
    </row>
    <row r="381" spans="1:14" ht="20" customHeight="1">
      <c r="A381" s="121">
        <v>498.79</v>
      </c>
      <c r="B381" s="122">
        <v>15368.860865513299</v>
      </c>
      <c r="C381" s="123">
        <v>464.85396880000002</v>
      </c>
      <c r="D381" s="122">
        <v>3</v>
      </c>
      <c r="E381" s="124" t="s">
        <v>1065</v>
      </c>
      <c r="F381" s="121"/>
      <c r="G381" s="122"/>
      <c r="H381" s="123"/>
      <c r="I381" s="124"/>
      <c r="J381" s="31"/>
      <c r="L381" s="125"/>
      <c r="M381" s="126"/>
      <c r="N381" s="26"/>
    </row>
    <row r="382" spans="1:14" ht="20" customHeight="1">
      <c r="A382" s="125">
        <v>499.79500000000002</v>
      </c>
      <c r="B382" s="127">
        <v>15419.6874504466</v>
      </c>
      <c r="C382" s="128">
        <v>467.5</v>
      </c>
      <c r="D382" s="144">
        <v>6</v>
      </c>
      <c r="E382" s="124" t="s">
        <v>1067</v>
      </c>
      <c r="F382" s="125"/>
      <c r="G382" s="125"/>
      <c r="H382" s="128"/>
      <c r="I382" s="124"/>
      <c r="J382" s="31"/>
      <c r="L382" s="125"/>
      <c r="M382" s="126"/>
      <c r="N382" s="26"/>
    </row>
    <row r="383" spans="1:14" ht="20" customHeight="1">
      <c r="A383" s="121">
        <v>500.91</v>
      </c>
      <c r="B383" s="122">
        <v>15477.804004411801</v>
      </c>
      <c r="C383" s="123">
        <v>457.98547230000003</v>
      </c>
      <c r="D383" s="122">
        <v>3</v>
      </c>
      <c r="E383" s="124" t="s">
        <v>1065</v>
      </c>
      <c r="F383" s="121"/>
      <c r="G383" s="122"/>
      <c r="H383" s="123"/>
      <c r="I383" s="124"/>
      <c r="J383" s="31"/>
      <c r="L383" s="125"/>
      <c r="M383" s="126"/>
      <c r="N383" s="26"/>
    </row>
    <row r="384" spans="1:14" ht="20" customHeight="1">
      <c r="A384" s="121">
        <v>502.29</v>
      </c>
      <c r="B384" s="122">
        <v>15553.798823516399</v>
      </c>
      <c r="C384" s="123">
        <v>454.44160069999998</v>
      </c>
      <c r="D384" s="122">
        <v>3</v>
      </c>
      <c r="E384" s="124" t="s">
        <v>1065</v>
      </c>
      <c r="F384" s="121"/>
      <c r="G384" s="122"/>
      <c r="H384" s="123"/>
      <c r="I384" s="124"/>
      <c r="J384" s="31"/>
      <c r="L384" s="125"/>
      <c r="M384" s="126"/>
      <c r="N384" s="26"/>
    </row>
    <row r="385" spans="1:14" ht="20" customHeight="1">
      <c r="A385" s="121">
        <v>504.29</v>
      </c>
      <c r="B385" s="122">
        <v>15655.1199618755</v>
      </c>
      <c r="C385" s="123">
        <v>453.11839209999999</v>
      </c>
      <c r="D385" s="122">
        <v>3</v>
      </c>
      <c r="E385" s="124" t="s">
        <v>1065</v>
      </c>
      <c r="F385" s="121"/>
      <c r="G385" s="122"/>
      <c r="H385" s="123"/>
      <c r="I385" s="124"/>
      <c r="J385" s="31"/>
      <c r="L385" s="125"/>
      <c r="M385" s="126"/>
      <c r="N385" s="26"/>
    </row>
    <row r="386" spans="1:14" ht="20" customHeight="1">
      <c r="A386" s="121">
        <v>505.91</v>
      </c>
      <c r="B386" s="122">
        <v>15739.654021034199</v>
      </c>
      <c r="C386" s="123">
        <v>453.98345519999998</v>
      </c>
      <c r="D386" s="122">
        <v>3</v>
      </c>
      <c r="E386" s="124" t="s">
        <v>1065</v>
      </c>
      <c r="F386" s="121"/>
      <c r="G386" s="122"/>
      <c r="H386" s="123"/>
      <c r="I386" s="124"/>
      <c r="J386" s="31"/>
      <c r="L386" s="125"/>
      <c r="M386" s="126"/>
      <c r="N386" s="26"/>
    </row>
    <row r="387" spans="1:14" ht="20" customHeight="1">
      <c r="A387" s="121">
        <v>507.77</v>
      </c>
      <c r="B387" s="122">
        <v>15836.960771</v>
      </c>
      <c r="C387" s="123">
        <v>454.7529275</v>
      </c>
      <c r="D387" s="122">
        <v>3</v>
      </c>
      <c r="E387" s="124" t="s">
        <v>1065</v>
      </c>
      <c r="F387" s="121"/>
      <c r="G387" s="122"/>
      <c r="H387" s="123"/>
      <c r="I387" s="124"/>
      <c r="J387" s="31"/>
      <c r="L387" s="125"/>
      <c r="M387" s="126"/>
      <c r="N387" s="26"/>
    </row>
    <row r="388" spans="1:14" ht="20" customHeight="1">
      <c r="A388" s="121">
        <v>509.39</v>
      </c>
      <c r="B388" s="122">
        <v>15921.116201880801</v>
      </c>
      <c r="C388" s="123">
        <v>452.47564169999998</v>
      </c>
      <c r="D388" s="122">
        <v>3</v>
      </c>
      <c r="E388" s="124" t="s">
        <v>1065</v>
      </c>
      <c r="F388" s="121"/>
      <c r="G388" s="122"/>
      <c r="H388" s="123"/>
      <c r="I388" s="124"/>
      <c r="J388" s="31"/>
      <c r="L388" s="125"/>
      <c r="M388" s="126"/>
      <c r="N388" s="26"/>
    </row>
    <row r="389" spans="1:14" ht="20" customHeight="1">
      <c r="A389" s="125">
        <v>510.28500000000003</v>
      </c>
      <c r="B389" s="127">
        <v>15964.554858395901</v>
      </c>
      <c r="C389" s="128">
        <v>455.6</v>
      </c>
      <c r="D389" s="144">
        <v>6</v>
      </c>
      <c r="E389" s="124" t="s">
        <v>1067</v>
      </c>
      <c r="F389" s="125"/>
      <c r="G389" s="125"/>
      <c r="H389" s="128"/>
      <c r="I389" s="124"/>
      <c r="J389" s="31"/>
      <c r="L389" s="125"/>
      <c r="M389" s="126"/>
      <c r="N389" s="26"/>
    </row>
    <row r="390" spans="1:14" ht="20" customHeight="1">
      <c r="A390" s="121">
        <v>511.77</v>
      </c>
      <c r="B390" s="122">
        <v>16027.199447707901</v>
      </c>
      <c r="C390" s="123">
        <v>452.25425030000002</v>
      </c>
      <c r="D390" s="122">
        <v>3</v>
      </c>
      <c r="E390" s="124" t="s">
        <v>1065</v>
      </c>
      <c r="F390" s="121"/>
      <c r="G390" s="122"/>
      <c r="H390" s="123"/>
      <c r="I390" s="124"/>
      <c r="J390" s="31"/>
      <c r="L390" s="125"/>
      <c r="M390" s="126"/>
      <c r="N390" s="26"/>
    </row>
    <row r="391" spans="1:14" ht="20" customHeight="1">
      <c r="A391" s="121">
        <v>512.72</v>
      </c>
      <c r="B391" s="122">
        <v>16075.053911094699</v>
      </c>
      <c r="C391" s="123">
        <v>459.15581129999998</v>
      </c>
      <c r="D391" s="122">
        <v>3</v>
      </c>
      <c r="E391" s="124" t="s">
        <v>1065</v>
      </c>
      <c r="F391" s="121"/>
      <c r="G391" s="122"/>
      <c r="H391" s="123"/>
      <c r="I391" s="124"/>
      <c r="J391" s="31"/>
      <c r="L391" s="125"/>
      <c r="M391" s="126"/>
      <c r="N391" s="26"/>
    </row>
    <row r="392" spans="1:14" ht="20" customHeight="1">
      <c r="A392" s="121">
        <v>514.27</v>
      </c>
      <c r="B392" s="122">
        <v>16166.0239698191</v>
      </c>
      <c r="C392" s="123">
        <v>440.37322549999999</v>
      </c>
      <c r="D392" s="122">
        <v>3</v>
      </c>
      <c r="E392" s="124" t="s">
        <v>1065</v>
      </c>
      <c r="F392" s="121"/>
      <c r="G392" s="122"/>
      <c r="H392" s="123"/>
      <c r="I392" s="124"/>
      <c r="J392" s="31"/>
      <c r="L392" s="125"/>
      <c r="M392" s="126"/>
      <c r="N392" s="26"/>
    </row>
    <row r="393" spans="1:14" ht="20" customHeight="1">
      <c r="A393" s="121">
        <v>515.77</v>
      </c>
      <c r="B393" s="122">
        <v>16259.712397974399</v>
      </c>
      <c r="C393" s="123">
        <v>439.38455399999998</v>
      </c>
      <c r="D393" s="122">
        <v>3</v>
      </c>
      <c r="E393" s="124" t="s">
        <v>1065</v>
      </c>
      <c r="F393" s="121"/>
      <c r="G393" s="122"/>
      <c r="H393" s="123"/>
      <c r="I393" s="124"/>
      <c r="J393" s="31"/>
      <c r="L393" s="125"/>
      <c r="M393" s="126"/>
      <c r="N393" s="26"/>
    </row>
    <row r="394" spans="1:14" ht="20" customHeight="1">
      <c r="A394" s="121">
        <v>517.70000000000005</v>
      </c>
      <c r="B394" s="122">
        <v>16371.446613843</v>
      </c>
      <c r="C394" s="123">
        <v>433.12221920000002</v>
      </c>
      <c r="D394" s="122">
        <v>3</v>
      </c>
      <c r="E394" s="124" t="s">
        <v>1065</v>
      </c>
      <c r="F394" s="121"/>
      <c r="G394" s="122"/>
      <c r="H394" s="123"/>
      <c r="I394" s="124"/>
      <c r="J394" s="31"/>
      <c r="L394" s="125"/>
      <c r="M394" s="126"/>
      <c r="N394" s="26"/>
    </row>
    <row r="395" spans="1:14" ht="20" customHeight="1">
      <c r="A395" s="121">
        <v>519.6099999999999</v>
      </c>
      <c r="B395" s="122">
        <v>16481.033161083</v>
      </c>
      <c r="C395" s="123">
        <v>432.85321859999999</v>
      </c>
      <c r="D395" s="122">
        <v>3</v>
      </c>
      <c r="E395" s="124" t="s">
        <v>1065</v>
      </c>
      <c r="F395" s="121"/>
      <c r="G395" s="122"/>
      <c r="H395" s="123"/>
      <c r="I395" s="124"/>
      <c r="J395" s="31"/>
      <c r="L395" s="125"/>
      <c r="M395" s="126"/>
      <c r="N395" s="26"/>
    </row>
    <row r="396" spans="1:14" ht="20" customHeight="1">
      <c r="A396" s="125">
        <v>520.21</v>
      </c>
      <c r="B396" s="127">
        <v>16515.7546690825</v>
      </c>
      <c r="C396" s="128">
        <v>429.1</v>
      </c>
      <c r="D396" s="144">
        <v>6</v>
      </c>
      <c r="E396" s="124" t="s">
        <v>1067</v>
      </c>
      <c r="F396" s="125"/>
      <c r="G396" s="125"/>
      <c r="H396" s="128"/>
      <c r="I396" s="124"/>
      <c r="J396" s="31"/>
      <c r="L396" s="125"/>
      <c r="M396" s="126"/>
      <c r="N396" s="26"/>
    </row>
    <row r="397" spans="1:14" ht="20" customHeight="1">
      <c r="A397" s="121">
        <v>521.13000000000011</v>
      </c>
      <c r="B397" s="122">
        <v>16569.3297646014</v>
      </c>
      <c r="C397" s="123">
        <v>426.07680740000001</v>
      </c>
      <c r="D397" s="122">
        <v>3</v>
      </c>
      <c r="E397" s="124" t="s">
        <v>1065</v>
      </c>
      <c r="F397" s="121"/>
      <c r="G397" s="122"/>
      <c r="H397" s="123"/>
      <c r="I397" s="124"/>
      <c r="J397" s="31"/>
      <c r="L397" s="125"/>
      <c r="M397" s="126"/>
      <c r="N397" s="26"/>
    </row>
    <row r="398" spans="1:14" ht="20" customHeight="1">
      <c r="A398" s="121">
        <v>522.28</v>
      </c>
      <c r="B398" s="122">
        <v>16639.566531729601</v>
      </c>
      <c r="C398" s="123">
        <v>428.42928510000002</v>
      </c>
      <c r="D398" s="122">
        <v>3</v>
      </c>
      <c r="E398" s="124" t="s">
        <v>1065</v>
      </c>
      <c r="F398" s="121"/>
      <c r="G398" s="122"/>
      <c r="H398" s="123"/>
      <c r="I398" s="124"/>
      <c r="J398" s="31"/>
      <c r="L398" s="125"/>
      <c r="M398" s="126"/>
      <c r="N398" s="26"/>
    </row>
    <row r="399" spans="1:14" ht="20" customHeight="1">
      <c r="A399" s="121">
        <v>523.84999999999991</v>
      </c>
      <c r="B399" s="122">
        <v>16742.879552129802</v>
      </c>
      <c r="C399" s="123">
        <v>422.1141571</v>
      </c>
      <c r="D399" s="122">
        <v>3</v>
      </c>
      <c r="E399" s="124" t="s">
        <v>1065</v>
      </c>
      <c r="F399" s="121"/>
      <c r="G399" s="122"/>
      <c r="H399" s="123"/>
      <c r="I399" s="124"/>
      <c r="J399" s="31"/>
      <c r="L399" s="125"/>
      <c r="M399" s="126"/>
      <c r="N399" s="26"/>
    </row>
    <row r="400" spans="1:14" ht="20" customHeight="1">
      <c r="A400" s="121">
        <v>527.19000000000005</v>
      </c>
      <c r="B400" s="122">
        <v>16970.3285280694</v>
      </c>
      <c r="C400" s="123">
        <v>409.46973539999999</v>
      </c>
      <c r="D400" s="122">
        <v>3</v>
      </c>
      <c r="E400" s="124" t="s">
        <v>1065</v>
      </c>
      <c r="F400" s="121"/>
      <c r="G400" s="122"/>
      <c r="H400" s="123"/>
      <c r="I400" s="124"/>
      <c r="J400" s="31"/>
      <c r="L400" s="125"/>
      <c r="M400" s="126"/>
      <c r="N400" s="26"/>
    </row>
    <row r="401" spans="1:14" ht="20" customHeight="1">
      <c r="A401" s="121">
        <v>529.19000000000005</v>
      </c>
      <c r="B401" s="122">
        <v>17117.758662659398</v>
      </c>
      <c r="C401" s="123">
        <v>405.99009439999998</v>
      </c>
      <c r="D401" s="122">
        <v>3</v>
      </c>
      <c r="E401" s="124" t="s">
        <v>1065</v>
      </c>
      <c r="F401" s="121"/>
      <c r="G401" s="122"/>
      <c r="H401" s="123"/>
      <c r="I401" s="124"/>
      <c r="J401" s="31"/>
      <c r="L401" s="125"/>
      <c r="M401" s="126"/>
      <c r="N401" s="26"/>
    </row>
    <row r="402" spans="1:14" ht="20" customHeight="1">
      <c r="A402" s="121">
        <v>531.30999999999995</v>
      </c>
      <c r="B402" s="122">
        <v>17268.3886287922</v>
      </c>
      <c r="C402" s="123">
        <v>402.27409130000001</v>
      </c>
      <c r="D402" s="122">
        <v>3</v>
      </c>
      <c r="E402" s="124" t="s">
        <v>1065</v>
      </c>
      <c r="F402" s="121"/>
      <c r="G402" s="122"/>
      <c r="H402" s="123"/>
      <c r="I402" s="124"/>
      <c r="J402" s="31"/>
      <c r="L402" s="125"/>
      <c r="M402" s="126"/>
      <c r="N402" s="26"/>
    </row>
    <row r="403" spans="1:14" ht="20" customHeight="1">
      <c r="A403" s="121">
        <v>533.80999999999995</v>
      </c>
      <c r="B403" s="122">
        <v>17425.7641923214</v>
      </c>
      <c r="C403" s="123">
        <v>392.93941289999998</v>
      </c>
      <c r="D403" s="122">
        <v>3</v>
      </c>
      <c r="E403" s="124" t="s">
        <v>1065</v>
      </c>
      <c r="F403" s="121"/>
      <c r="G403" s="122"/>
      <c r="H403" s="123"/>
      <c r="I403" s="124"/>
      <c r="J403" s="31"/>
      <c r="L403" s="125"/>
      <c r="M403" s="126"/>
      <c r="N403" s="26"/>
    </row>
    <row r="404" spans="1:14" ht="20" customHeight="1">
      <c r="A404" s="121">
        <v>535.97</v>
      </c>
      <c r="B404" s="122">
        <v>17553.891351014299</v>
      </c>
      <c r="C404" s="123">
        <v>385.44353719999998</v>
      </c>
      <c r="D404" s="122">
        <v>3</v>
      </c>
      <c r="E404" s="124" t="s">
        <v>1065</v>
      </c>
      <c r="F404" s="121"/>
      <c r="G404" s="122"/>
      <c r="H404" s="123"/>
      <c r="I404" s="124"/>
      <c r="J404" s="31"/>
      <c r="L404" s="125"/>
      <c r="M404" s="126"/>
      <c r="N404" s="26"/>
    </row>
    <row r="405" spans="1:14" ht="20" customHeight="1">
      <c r="A405" s="121">
        <v>537.80999999999995</v>
      </c>
      <c r="B405" s="122">
        <v>17665.865541364299</v>
      </c>
      <c r="C405" s="123">
        <v>381.66368299999999</v>
      </c>
      <c r="D405" s="122">
        <v>3</v>
      </c>
      <c r="E405" s="124" t="s">
        <v>1065</v>
      </c>
      <c r="F405" s="121"/>
      <c r="G405" s="122"/>
      <c r="H405" s="123"/>
      <c r="I405" s="124"/>
      <c r="J405" s="31"/>
      <c r="L405" s="125"/>
      <c r="M405" s="126"/>
      <c r="N405" s="26"/>
    </row>
    <row r="406" spans="1:14" ht="20" customHeight="1">
      <c r="A406" s="121">
        <v>539.19000000000005</v>
      </c>
      <c r="B406" s="122">
        <v>17758.184251473402</v>
      </c>
      <c r="C406" s="123">
        <v>380.55973619999997</v>
      </c>
      <c r="D406" s="122">
        <v>3</v>
      </c>
      <c r="E406" s="124" t="s">
        <v>1065</v>
      </c>
      <c r="F406" s="121"/>
      <c r="G406" s="122"/>
      <c r="H406" s="123"/>
      <c r="I406" s="124"/>
      <c r="J406" s="31"/>
      <c r="L406" s="125"/>
      <c r="M406" s="126"/>
      <c r="N406" s="26"/>
    </row>
    <row r="407" spans="1:14" ht="20" customHeight="1">
      <c r="A407" s="121">
        <v>541.30999999999995</v>
      </c>
      <c r="B407" s="122">
        <v>17909.1087952138</v>
      </c>
      <c r="C407" s="123">
        <v>381.09065220000002</v>
      </c>
      <c r="D407" s="122">
        <v>3</v>
      </c>
      <c r="E407" s="124" t="s">
        <v>1065</v>
      </c>
      <c r="F407" s="121"/>
      <c r="G407" s="122"/>
      <c r="H407" s="123"/>
      <c r="I407" s="124"/>
      <c r="J407" s="31"/>
      <c r="L407" s="125"/>
      <c r="M407" s="126"/>
      <c r="N407" s="26"/>
    </row>
    <row r="408" spans="1:14" ht="20" customHeight="1">
      <c r="A408" s="121">
        <v>543.41499999999996</v>
      </c>
      <c r="B408" s="122">
        <v>18056.210923431499</v>
      </c>
      <c r="C408" s="123">
        <v>379.11982239999998</v>
      </c>
      <c r="D408" s="122">
        <v>3</v>
      </c>
      <c r="E408" s="124" t="s">
        <v>1065</v>
      </c>
      <c r="F408" s="121"/>
      <c r="G408" s="122"/>
      <c r="H408" s="123"/>
      <c r="I408" s="124"/>
      <c r="J408" s="31"/>
      <c r="L408" s="125"/>
      <c r="M408" s="126"/>
      <c r="N408" s="26"/>
    </row>
    <row r="409" spans="1:14" ht="20" customHeight="1">
      <c r="A409" s="121">
        <v>545.34999999999991</v>
      </c>
      <c r="B409" s="122">
        <v>18203.826870704401</v>
      </c>
      <c r="C409" s="123">
        <v>379.93356</v>
      </c>
      <c r="D409" s="122">
        <v>3</v>
      </c>
      <c r="E409" s="124" t="s">
        <v>1065</v>
      </c>
      <c r="F409" s="121"/>
      <c r="G409" s="122"/>
      <c r="H409" s="123"/>
      <c r="I409" s="124"/>
      <c r="J409" s="31"/>
      <c r="L409" s="125"/>
      <c r="M409" s="126"/>
      <c r="N409" s="26"/>
    </row>
    <row r="410" spans="1:14" ht="20" customHeight="1">
      <c r="A410" s="121">
        <v>546.30999999999995</v>
      </c>
      <c r="B410" s="122">
        <v>18278.623231145</v>
      </c>
      <c r="C410" s="123">
        <v>378.71380269999997</v>
      </c>
      <c r="D410" s="122">
        <v>3</v>
      </c>
      <c r="E410" s="124" t="s">
        <v>1065</v>
      </c>
      <c r="F410" s="121"/>
      <c r="G410" s="122"/>
      <c r="H410" s="123"/>
      <c r="I410" s="124"/>
      <c r="J410" s="31"/>
      <c r="L410" s="125"/>
      <c r="M410" s="126"/>
      <c r="N410" s="26"/>
    </row>
    <row r="411" spans="1:14" ht="20" customHeight="1">
      <c r="A411" s="121">
        <v>547.6400000000001</v>
      </c>
      <c r="B411" s="122">
        <v>18377.891527591499</v>
      </c>
      <c r="C411" s="123">
        <v>377.50800249999998</v>
      </c>
      <c r="D411" s="122">
        <v>3</v>
      </c>
      <c r="E411" s="124" t="s">
        <v>1065</v>
      </c>
      <c r="F411" s="121"/>
      <c r="G411" s="122"/>
      <c r="H411" s="123"/>
      <c r="I411" s="124"/>
      <c r="J411" s="31"/>
      <c r="L411" s="125"/>
      <c r="M411" s="126"/>
      <c r="N411" s="26"/>
    </row>
    <row r="412" spans="1:14" ht="20" customHeight="1">
      <c r="A412" s="121">
        <v>549.48</v>
      </c>
      <c r="B412" s="122">
        <v>18496.902257905302</v>
      </c>
      <c r="C412" s="123">
        <v>380.49079799999998</v>
      </c>
      <c r="D412" s="122">
        <v>3</v>
      </c>
      <c r="E412" s="124" t="s">
        <v>1065</v>
      </c>
      <c r="F412" s="121"/>
      <c r="G412" s="122"/>
      <c r="H412" s="123"/>
      <c r="I412" s="124"/>
      <c r="J412" s="31"/>
      <c r="L412" s="125"/>
      <c r="M412" s="126"/>
      <c r="N412" s="26"/>
    </row>
    <row r="413" spans="1:14" ht="20" customHeight="1">
      <c r="A413" s="121">
        <v>551.02</v>
      </c>
      <c r="B413" s="122">
        <v>18583.526627071002</v>
      </c>
      <c r="C413" s="123">
        <v>379.91716280000003</v>
      </c>
      <c r="D413" s="122">
        <v>3</v>
      </c>
      <c r="E413" s="124" t="s">
        <v>1065</v>
      </c>
      <c r="F413" s="121"/>
      <c r="G413" s="122"/>
      <c r="H413" s="123"/>
      <c r="I413" s="124"/>
      <c r="J413" s="31"/>
      <c r="L413" s="125"/>
      <c r="M413" s="126"/>
      <c r="N413" s="26"/>
    </row>
    <row r="414" spans="1:14" ht="20" customHeight="1">
      <c r="A414" s="121">
        <v>552.90000000000009</v>
      </c>
      <c r="B414" s="122">
        <v>18707.5457015789</v>
      </c>
      <c r="C414" s="123">
        <v>377.62975340000003</v>
      </c>
      <c r="D414" s="122">
        <v>3</v>
      </c>
      <c r="E414" s="124" t="s">
        <v>1065</v>
      </c>
      <c r="F414" s="121"/>
      <c r="G414" s="122"/>
      <c r="H414" s="123"/>
      <c r="I414" s="124"/>
      <c r="J414" s="31"/>
      <c r="L414" s="125"/>
      <c r="M414" s="126"/>
      <c r="N414" s="26"/>
    </row>
    <row r="415" spans="1:14" ht="20" customHeight="1">
      <c r="A415" s="121">
        <v>554.40000000000009</v>
      </c>
      <c r="B415" s="122">
        <v>18810.368723644799</v>
      </c>
      <c r="C415" s="123">
        <v>378.61895679999998</v>
      </c>
      <c r="D415" s="122">
        <v>3</v>
      </c>
      <c r="E415" s="124" t="s">
        <v>1065</v>
      </c>
      <c r="F415" s="121"/>
      <c r="G415" s="122"/>
      <c r="H415" s="123"/>
      <c r="I415" s="124"/>
      <c r="J415" s="31"/>
      <c r="L415" s="125"/>
      <c r="M415" s="126"/>
      <c r="N415" s="26"/>
    </row>
    <row r="416" spans="1:14" ht="20" customHeight="1">
      <c r="A416" s="121">
        <v>555.37249999999995</v>
      </c>
      <c r="B416" s="122">
        <v>18878.6594902057</v>
      </c>
      <c r="C416" s="123">
        <v>378.75995399999999</v>
      </c>
      <c r="D416" s="122">
        <v>3</v>
      </c>
      <c r="E416" s="124" t="s">
        <v>1065</v>
      </c>
      <c r="F416" s="121"/>
      <c r="G416" s="122"/>
      <c r="H416" s="123"/>
      <c r="I416" s="124"/>
      <c r="J416" s="31"/>
      <c r="L416" s="125"/>
      <c r="M416" s="126"/>
      <c r="N416" s="26"/>
    </row>
    <row r="417" spans="1:14" ht="20" customHeight="1">
      <c r="A417" s="121">
        <v>556.91499999999996</v>
      </c>
      <c r="B417" s="122">
        <v>18990.669211029901</v>
      </c>
      <c r="C417" s="123">
        <v>379.18953629999999</v>
      </c>
      <c r="D417" s="122">
        <v>3</v>
      </c>
      <c r="E417" s="124" t="s">
        <v>1065</v>
      </c>
      <c r="F417" s="121"/>
      <c r="G417" s="122"/>
      <c r="H417" s="123"/>
      <c r="I417" s="124"/>
      <c r="J417" s="31"/>
      <c r="L417" s="125"/>
      <c r="M417" s="126"/>
      <c r="N417" s="26"/>
    </row>
    <row r="418" spans="1:14" ht="20" customHeight="1">
      <c r="A418" s="121">
        <v>557.97</v>
      </c>
      <c r="B418" s="122">
        <v>19069.298894470201</v>
      </c>
      <c r="C418" s="123">
        <v>375.49058880000001</v>
      </c>
      <c r="D418" s="122">
        <v>3</v>
      </c>
      <c r="E418" s="124" t="s">
        <v>1065</v>
      </c>
      <c r="F418" s="121"/>
      <c r="G418" s="122"/>
      <c r="H418" s="123"/>
      <c r="I418" s="124"/>
      <c r="J418" s="31"/>
      <c r="L418" s="125"/>
      <c r="M418" s="126"/>
      <c r="N418" s="26"/>
    </row>
    <row r="419" spans="1:14" ht="20" customHeight="1">
      <c r="A419" s="121">
        <v>559.5150000000001</v>
      </c>
      <c r="B419" s="122">
        <v>19191.359385323001</v>
      </c>
      <c r="C419" s="123">
        <v>379.58330310000002</v>
      </c>
      <c r="D419" s="122">
        <v>3</v>
      </c>
      <c r="E419" s="124" t="s">
        <v>1065</v>
      </c>
      <c r="F419" s="121"/>
      <c r="G419" s="122"/>
      <c r="H419" s="123"/>
      <c r="I419" s="124"/>
      <c r="J419" s="31"/>
      <c r="L419" s="125"/>
      <c r="M419" s="126"/>
      <c r="N419" s="26"/>
    </row>
    <row r="420" spans="1:14" ht="20" customHeight="1">
      <c r="A420" s="121">
        <v>560.15000000000009</v>
      </c>
      <c r="B420" s="122">
        <v>19245.328188337298</v>
      </c>
      <c r="C420" s="123">
        <v>379.1719865</v>
      </c>
      <c r="D420" s="122">
        <v>3</v>
      </c>
      <c r="E420" s="124" t="s">
        <v>1065</v>
      </c>
      <c r="F420" s="121"/>
      <c r="G420" s="122"/>
      <c r="H420" s="123"/>
      <c r="I420" s="124"/>
      <c r="J420" s="31"/>
      <c r="L420" s="125"/>
      <c r="M420" s="126"/>
      <c r="N420" s="26"/>
    </row>
    <row r="421" spans="1:14" ht="20" customHeight="1">
      <c r="A421" s="121">
        <v>561.3900000000001</v>
      </c>
      <c r="B421" s="122">
        <v>19357.854576296901</v>
      </c>
      <c r="C421" s="123">
        <v>383.47180850000001</v>
      </c>
      <c r="D421" s="122">
        <v>3</v>
      </c>
      <c r="E421" s="124" t="s">
        <v>1065</v>
      </c>
      <c r="F421" s="121"/>
      <c r="G421" s="122"/>
      <c r="H421" s="123"/>
      <c r="I421" s="124"/>
      <c r="J421" s="31"/>
      <c r="L421" s="125"/>
      <c r="M421" s="126"/>
      <c r="N421" s="26"/>
    </row>
    <row r="422" spans="1:14" ht="20" customHeight="1">
      <c r="A422" s="121">
        <v>562.18000000000006</v>
      </c>
      <c r="B422" s="122">
        <v>19423.071246571599</v>
      </c>
      <c r="C422" s="123">
        <v>377.15188239999998</v>
      </c>
      <c r="D422" s="122">
        <v>3</v>
      </c>
      <c r="E422" s="124" t="s">
        <v>1065</v>
      </c>
      <c r="F422" s="121"/>
      <c r="G422" s="122"/>
      <c r="H422" s="123"/>
      <c r="I422" s="124"/>
      <c r="J422" s="31"/>
      <c r="L422" s="125"/>
      <c r="M422" s="126"/>
      <c r="N422" s="26"/>
    </row>
    <row r="423" spans="1:14" ht="20" customHeight="1">
      <c r="A423" s="121">
        <v>563.08999999999992</v>
      </c>
      <c r="B423" s="122">
        <v>19496.729619423499</v>
      </c>
      <c r="C423" s="123">
        <v>375.28592229999998</v>
      </c>
      <c r="D423" s="122">
        <v>3</v>
      </c>
      <c r="E423" s="124" t="s">
        <v>1065</v>
      </c>
      <c r="F423" s="121"/>
      <c r="G423" s="122"/>
      <c r="H423" s="123"/>
      <c r="I423" s="124"/>
      <c r="J423" s="31"/>
      <c r="L423" s="125"/>
      <c r="M423" s="126"/>
      <c r="N423" s="26"/>
    </row>
    <row r="424" spans="1:14" ht="20" customHeight="1">
      <c r="A424" s="125">
        <v>563.61500000000001</v>
      </c>
      <c r="B424" s="127">
        <v>19541.4842227019</v>
      </c>
      <c r="C424" s="128">
        <v>380.7</v>
      </c>
      <c r="D424" s="144">
        <v>6</v>
      </c>
      <c r="E424" s="124" t="s">
        <v>1067</v>
      </c>
      <c r="F424" s="125"/>
      <c r="G424" s="125"/>
      <c r="H424" s="128"/>
      <c r="I424" s="124"/>
      <c r="J424" s="31"/>
      <c r="L424" s="125"/>
      <c r="M424" s="126"/>
      <c r="N424" s="26"/>
    </row>
    <row r="425" spans="1:14" ht="20" customHeight="1">
      <c r="A425" s="121">
        <v>564.54999999999995</v>
      </c>
      <c r="B425" s="122">
        <v>19626.864076788799</v>
      </c>
      <c r="C425" s="123">
        <v>373.33289710000003</v>
      </c>
      <c r="D425" s="122">
        <v>3</v>
      </c>
      <c r="E425" s="124" t="s">
        <v>1065</v>
      </c>
      <c r="F425" s="121"/>
      <c r="G425" s="122"/>
      <c r="H425" s="123"/>
      <c r="I425" s="124"/>
      <c r="J425" s="31"/>
      <c r="L425" s="125"/>
      <c r="M425" s="126"/>
      <c r="N425" s="26"/>
    </row>
    <row r="426" spans="1:14" ht="20" customHeight="1">
      <c r="A426" s="121">
        <v>565.01</v>
      </c>
      <c r="B426" s="122">
        <v>19671.4611070971</v>
      </c>
      <c r="C426" s="123">
        <v>372.88175280000002</v>
      </c>
      <c r="D426" s="122">
        <v>3</v>
      </c>
      <c r="E426" s="124" t="s">
        <v>1065</v>
      </c>
      <c r="F426" s="121"/>
      <c r="G426" s="122"/>
      <c r="H426" s="123"/>
      <c r="I426" s="124"/>
      <c r="J426" s="31"/>
      <c r="L426" s="125"/>
      <c r="M426" s="126"/>
      <c r="N426" s="26"/>
    </row>
    <row r="427" spans="1:14" ht="20" customHeight="1">
      <c r="A427" s="121">
        <v>565.81999999999994</v>
      </c>
      <c r="B427" s="122">
        <v>19752.037710709999</v>
      </c>
      <c r="C427" s="123">
        <v>376.15779429999998</v>
      </c>
      <c r="D427" s="122">
        <v>3</v>
      </c>
      <c r="E427" s="124" t="s">
        <v>1065</v>
      </c>
      <c r="F427" s="121"/>
      <c r="G427" s="122"/>
      <c r="H427" s="123"/>
      <c r="I427" s="124"/>
      <c r="J427" s="31"/>
      <c r="L427" s="125"/>
      <c r="M427" s="126"/>
      <c r="N427" s="26"/>
    </row>
    <row r="428" spans="1:14" ht="20" customHeight="1">
      <c r="A428" s="121">
        <v>567.17000000000007</v>
      </c>
      <c r="B428" s="122">
        <v>19886.2585405073</v>
      </c>
      <c r="C428" s="123">
        <v>372.36100929999998</v>
      </c>
      <c r="D428" s="122">
        <v>3</v>
      </c>
      <c r="E428" s="124" t="s">
        <v>1065</v>
      </c>
      <c r="F428" s="121"/>
      <c r="G428" s="122"/>
      <c r="H428" s="123"/>
      <c r="I428" s="124"/>
      <c r="J428" s="31"/>
      <c r="L428" s="125"/>
      <c r="M428" s="126"/>
      <c r="N428" s="26"/>
    </row>
    <row r="429" spans="1:14" ht="20" customHeight="1">
      <c r="A429" s="121">
        <v>568.17000000000007</v>
      </c>
      <c r="B429" s="122">
        <v>19980.907333729399</v>
      </c>
      <c r="C429" s="123">
        <v>372.47271419999998</v>
      </c>
      <c r="D429" s="122">
        <v>3</v>
      </c>
      <c r="E429" s="124" t="s">
        <v>1065</v>
      </c>
      <c r="F429" s="121"/>
      <c r="G429" s="122"/>
      <c r="H429" s="123"/>
      <c r="I429" s="124"/>
      <c r="J429" s="31"/>
      <c r="L429" s="125"/>
      <c r="M429" s="126"/>
      <c r="N429" s="26"/>
    </row>
    <row r="430" spans="1:14" ht="20" customHeight="1">
      <c r="A430" s="121">
        <v>568.79</v>
      </c>
      <c r="B430" s="122">
        <v>20036.4625228724</v>
      </c>
      <c r="C430" s="123">
        <v>378.87593420000002</v>
      </c>
      <c r="D430" s="122">
        <v>3</v>
      </c>
      <c r="E430" s="124" t="s">
        <v>1065</v>
      </c>
      <c r="F430" s="121"/>
      <c r="G430" s="122"/>
      <c r="H430" s="123"/>
      <c r="I430" s="124"/>
      <c r="J430" s="31"/>
      <c r="L430" s="125"/>
      <c r="M430" s="126"/>
      <c r="N430" s="26"/>
    </row>
    <row r="431" spans="1:14" ht="20" customHeight="1">
      <c r="A431" s="121">
        <v>569.69000000000005</v>
      </c>
      <c r="B431" s="122">
        <v>20121.246613696701</v>
      </c>
      <c r="C431" s="123">
        <v>372.76399359999999</v>
      </c>
      <c r="D431" s="122">
        <v>3</v>
      </c>
      <c r="E431" s="124" t="s">
        <v>1065</v>
      </c>
      <c r="F431" s="121"/>
      <c r="G431" s="122"/>
      <c r="H431" s="123"/>
      <c r="I431" s="124"/>
      <c r="J431" s="31"/>
      <c r="L431" s="125"/>
      <c r="M431" s="126"/>
      <c r="N431" s="26"/>
    </row>
    <row r="432" spans="1:14" ht="20" customHeight="1">
      <c r="A432" s="121">
        <v>570.86500000000001</v>
      </c>
      <c r="B432" s="122">
        <v>20224.1395618346</v>
      </c>
      <c r="C432" s="123">
        <v>374.8251697</v>
      </c>
      <c r="D432" s="122">
        <v>3</v>
      </c>
      <c r="E432" s="124" t="s">
        <v>1065</v>
      </c>
      <c r="F432" s="121"/>
      <c r="G432" s="122"/>
      <c r="H432" s="123"/>
      <c r="I432" s="124"/>
      <c r="J432" s="31"/>
      <c r="L432" s="125"/>
      <c r="M432" s="126"/>
      <c r="N432" s="26"/>
    </row>
    <row r="433" spans="1:14" ht="20" customHeight="1">
      <c r="A433" s="121">
        <v>572.31999999999994</v>
      </c>
      <c r="B433" s="122">
        <v>20341.536405253799</v>
      </c>
      <c r="C433" s="123">
        <v>374.72463470000002</v>
      </c>
      <c r="D433" s="122">
        <v>3</v>
      </c>
      <c r="E433" s="124" t="s">
        <v>1065</v>
      </c>
      <c r="F433" s="121"/>
      <c r="G433" s="122"/>
      <c r="H433" s="123"/>
      <c r="I433" s="124"/>
      <c r="J433" s="31"/>
      <c r="L433" s="125"/>
      <c r="M433" s="126"/>
      <c r="N433" s="26"/>
    </row>
    <row r="434" spans="1:14" ht="20" customHeight="1">
      <c r="A434" s="121">
        <v>573.61999999999989</v>
      </c>
      <c r="B434" s="122">
        <v>20440.412212986299</v>
      </c>
      <c r="C434" s="123">
        <v>371.07614150000001</v>
      </c>
      <c r="D434" s="122">
        <v>3</v>
      </c>
      <c r="E434" s="124" t="s">
        <v>1065</v>
      </c>
      <c r="F434" s="121"/>
      <c r="G434" s="122"/>
      <c r="H434" s="123"/>
      <c r="I434" s="124"/>
      <c r="J434" s="31"/>
      <c r="L434" s="125"/>
      <c r="M434" s="126"/>
      <c r="N434" s="26"/>
    </row>
    <row r="435" spans="1:14" ht="20" customHeight="1">
      <c r="A435" s="121">
        <v>574.94000000000005</v>
      </c>
      <c r="B435" s="122">
        <v>20536.364467818199</v>
      </c>
      <c r="C435" s="123">
        <v>370.41294859999999</v>
      </c>
      <c r="D435" s="122">
        <v>3</v>
      </c>
      <c r="E435" s="124" t="s">
        <v>1065</v>
      </c>
      <c r="F435" s="121"/>
      <c r="G435" s="122"/>
      <c r="H435" s="123"/>
      <c r="I435" s="124"/>
      <c r="J435" s="31"/>
      <c r="L435" s="125"/>
      <c r="M435" s="126"/>
      <c r="N435" s="26"/>
    </row>
    <row r="436" spans="1:14" ht="20" customHeight="1">
      <c r="A436" s="121">
        <v>576.91000000000008</v>
      </c>
      <c r="B436" s="122">
        <v>20678.5980799348</v>
      </c>
      <c r="C436" s="123">
        <v>373.69644399999999</v>
      </c>
      <c r="D436" s="122">
        <v>3</v>
      </c>
      <c r="E436" s="124" t="s">
        <v>1065</v>
      </c>
      <c r="F436" s="121"/>
      <c r="G436" s="122"/>
      <c r="H436" s="123"/>
      <c r="I436" s="124"/>
      <c r="J436" s="31"/>
      <c r="L436" s="125"/>
      <c r="M436" s="126"/>
      <c r="N436" s="26"/>
    </row>
    <row r="437" spans="1:14" ht="20" customHeight="1">
      <c r="A437" s="121">
        <v>578.29500000000007</v>
      </c>
      <c r="B437" s="122">
        <v>20785.026126721099</v>
      </c>
      <c r="C437" s="123">
        <v>373.21601429999998</v>
      </c>
      <c r="D437" s="122">
        <v>3</v>
      </c>
      <c r="E437" s="124" t="s">
        <v>1065</v>
      </c>
      <c r="F437" s="121"/>
      <c r="G437" s="122"/>
      <c r="H437" s="123"/>
      <c r="I437" s="124"/>
      <c r="J437" s="31"/>
      <c r="L437" s="125"/>
      <c r="M437" s="126"/>
      <c r="N437" s="26"/>
    </row>
    <row r="438" spans="1:14" ht="20" customHeight="1">
      <c r="A438" s="121">
        <v>579.47</v>
      </c>
      <c r="B438" s="122">
        <v>20882.833556531201</v>
      </c>
      <c r="C438" s="123">
        <v>375.46512080000002</v>
      </c>
      <c r="D438" s="122">
        <v>3</v>
      </c>
      <c r="E438" s="124" t="s">
        <v>1065</v>
      </c>
      <c r="F438" s="121"/>
      <c r="G438" s="122"/>
      <c r="H438" s="123"/>
      <c r="I438" s="124"/>
      <c r="J438" s="31"/>
      <c r="L438" s="125"/>
      <c r="M438" s="126"/>
      <c r="N438" s="26"/>
    </row>
    <row r="439" spans="1:14" ht="20" customHeight="1">
      <c r="A439" s="121">
        <v>579.88000000000011</v>
      </c>
      <c r="B439" s="122">
        <v>20919.1546956159</v>
      </c>
      <c r="C439" s="123">
        <v>375.67955929999999</v>
      </c>
      <c r="D439" s="122">
        <v>3</v>
      </c>
      <c r="E439" s="124" t="s">
        <v>1065</v>
      </c>
      <c r="F439" s="121"/>
      <c r="G439" s="122"/>
      <c r="H439" s="123"/>
      <c r="I439" s="124"/>
      <c r="J439" s="31"/>
      <c r="L439" s="125"/>
      <c r="M439" s="126"/>
      <c r="N439" s="26"/>
    </row>
    <row r="440" spans="1:14" ht="20" customHeight="1">
      <c r="A440" s="121">
        <v>580.05999999999995</v>
      </c>
      <c r="B440" s="122">
        <v>20935.427613814099</v>
      </c>
      <c r="C440" s="123">
        <v>374.40488329999999</v>
      </c>
      <c r="D440" s="122">
        <v>3</v>
      </c>
      <c r="E440" s="124" t="s">
        <v>1065</v>
      </c>
      <c r="F440" s="121"/>
      <c r="G440" s="122"/>
      <c r="H440" s="123"/>
      <c r="I440" s="124"/>
      <c r="J440" s="31"/>
      <c r="L440" s="125"/>
      <c r="M440" s="126"/>
      <c r="N440" s="26"/>
    </row>
    <row r="441" spans="1:14" ht="20" customHeight="1">
      <c r="A441" s="121">
        <v>582.72</v>
      </c>
      <c r="B441" s="122">
        <v>21163.960830153399</v>
      </c>
      <c r="C441" s="123">
        <v>372.97463670000002</v>
      </c>
      <c r="D441" s="122">
        <v>3</v>
      </c>
      <c r="E441" s="124" t="s">
        <v>1065</v>
      </c>
      <c r="F441" s="121"/>
      <c r="G441" s="122"/>
      <c r="H441" s="123"/>
      <c r="I441" s="124"/>
      <c r="J441" s="31"/>
      <c r="L441" s="125"/>
      <c r="M441" s="126"/>
      <c r="N441" s="26"/>
    </row>
    <row r="442" spans="1:14" ht="20" customHeight="1">
      <c r="A442" s="121">
        <v>584.21</v>
      </c>
      <c r="B442" s="122">
        <v>21283.573379911599</v>
      </c>
      <c r="C442" s="123">
        <v>369.60655750000001</v>
      </c>
      <c r="D442" s="122">
        <v>3</v>
      </c>
      <c r="E442" s="124" t="s">
        <v>1065</v>
      </c>
      <c r="F442" s="121"/>
      <c r="G442" s="122"/>
      <c r="H442" s="123"/>
      <c r="I442" s="124"/>
      <c r="J442" s="31"/>
      <c r="L442" s="125"/>
      <c r="M442" s="126"/>
      <c r="N442" s="26"/>
    </row>
    <row r="443" spans="1:14" ht="20" customHeight="1">
      <c r="A443" s="121">
        <v>585.59999999999991</v>
      </c>
      <c r="B443" s="122">
        <v>21408.0120508334</v>
      </c>
      <c r="C443" s="123">
        <v>371.17652379999998</v>
      </c>
      <c r="D443" s="122">
        <v>3</v>
      </c>
      <c r="E443" s="124" t="s">
        <v>1065</v>
      </c>
      <c r="F443" s="121"/>
      <c r="G443" s="122"/>
      <c r="H443" s="123"/>
      <c r="I443" s="124"/>
      <c r="J443" s="31"/>
      <c r="L443" s="125"/>
      <c r="M443" s="126"/>
      <c r="N443" s="26"/>
    </row>
    <row r="444" spans="1:14" ht="20" customHeight="1">
      <c r="A444" s="121">
        <v>586.70000000000005</v>
      </c>
      <c r="B444" s="122">
        <v>21505.9078977344</v>
      </c>
      <c r="C444" s="123">
        <v>366.343548</v>
      </c>
      <c r="D444" s="122">
        <v>3</v>
      </c>
      <c r="E444" s="124" t="s">
        <v>1065</v>
      </c>
      <c r="F444" s="121"/>
      <c r="G444" s="122"/>
      <c r="H444" s="123"/>
      <c r="I444" s="124"/>
      <c r="J444" s="31"/>
      <c r="L444" s="125"/>
      <c r="M444" s="126"/>
      <c r="N444" s="26"/>
    </row>
    <row r="445" spans="1:14" ht="20" customHeight="1">
      <c r="A445" s="121">
        <v>588.24</v>
      </c>
      <c r="B445" s="122">
        <v>21632.339465666999</v>
      </c>
      <c r="C445" s="123">
        <v>365.26035780000001</v>
      </c>
      <c r="D445" s="122">
        <v>3</v>
      </c>
      <c r="E445" s="124" t="s">
        <v>1065</v>
      </c>
      <c r="F445" s="121"/>
      <c r="G445" s="122"/>
      <c r="H445" s="123"/>
      <c r="I445" s="124"/>
      <c r="J445" s="31"/>
      <c r="L445" s="125"/>
      <c r="M445" s="126"/>
      <c r="N445" s="26"/>
    </row>
    <row r="446" spans="1:14" ht="20" customHeight="1">
      <c r="A446" s="125">
        <v>588.76499999999999</v>
      </c>
      <c r="B446" s="127">
        <v>21674.1367525157</v>
      </c>
      <c r="C446" s="128">
        <v>373.2</v>
      </c>
      <c r="D446" s="144">
        <v>6</v>
      </c>
      <c r="E446" s="124" t="s">
        <v>1067</v>
      </c>
      <c r="F446" s="125"/>
      <c r="G446" s="125"/>
      <c r="H446" s="128"/>
      <c r="I446" s="124"/>
      <c r="J446" s="31"/>
      <c r="L446" s="125"/>
      <c r="M446" s="126"/>
      <c r="N446" s="26"/>
    </row>
    <row r="447" spans="1:14" ht="20" customHeight="1">
      <c r="A447" s="121">
        <v>589.80999999999995</v>
      </c>
      <c r="B447" s="122">
        <v>21752.7225650951</v>
      </c>
      <c r="C447" s="123">
        <v>368.85568860000001</v>
      </c>
      <c r="D447" s="122">
        <v>3</v>
      </c>
      <c r="E447" s="124" t="s">
        <v>1065</v>
      </c>
      <c r="F447" s="121"/>
      <c r="G447" s="122"/>
      <c r="H447" s="123"/>
      <c r="I447" s="124"/>
      <c r="J447" s="31"/>
      <c r="L447" s="125"/>
      <c r="M447" s="126"/>
      <c r="N447" s="26"/>
    </row>
    <row r="448" spans="1:14" ht="20" customHeight="1">
      <c r="A448" s="121">
        <v>591.06999999999994</v>
      </c>
      <c r="B448" s="122">
        <v>21841.918111305898</v>
      </c>
      <c r="C448" s="123">
        <v>368.63678240000002</v>
      </c>
      <c r="D448" s="122">
        <v>3</v>
      </c>
      <c r="E448" s="124" t="s">
        <v>1065</v>
      </c>
      <c r="F448" s="121"/>
      <c r="G448" s="122"/>
      <c r="H448" s="123"/>
      <c r="I448" s="124"/>
      <c r="J448" s="31"/>
      <c r="L448" s="125"/>
      <c r="M448" s="126"/>
      <c r="N448" s="26"/>
    </row>
    <row r="449" spans="1:14" ht="20" customHeight="1">
      <c r="A449" s="121">
        <v>592.80999999999995</v>
      </c>
      <c r="B449" s="122">
        <v>21952.632007141001</v>
      </c>
      <c r="C449" s="123">
        <v>371.98065939999998</v>
      </c>
      <c r="D449" s="122">
        <v>3</v>
      </c>
      <c r="E449" s="124" t="s">
        <v>1065</v>
      </c>
      <c r="F449" s="121"/>
      <c r="G449" s="122"/>
      <c r="H449" s="123"/>
      <c r="I449" s="124"/>
      <c r="J449" s="31"/>
      <c r="L449" s="125"/>
      <c r="M449" s="126"/>
      <c r="N449" s="26"/>
    </row>
    <row r="450" spans="1:14" ht="20" customHeight="1">
      <c r="A450" s="121">
        <v>594.13000000000011</v>
      </c>
      <c r="B450" s="122">
        <v>22032.746958107698</v>
      </c>
      <c r="C450" s="123">
        <v>369.03482020000001</v>
      </c>
      <c r="D450" s="122">
        <v>3</v>
      </c>
      <c r="E450" s="124" t="s">
        <v>1065</v>
      </c>
      <c r="F450" s="121"/>
      <c r="G450" s="122"/>
      <c r="H450" s="123"/>
      <c r="I450" s="124"/>
      <c r="J450" s="31"/>
      <c r="L450" s="125"/>
      <c r="M450" s="126"/>
      <c r="N450" s="26"/>
    </row>
    <row r="451" spans="1:14" ht="20" customHeight="1">
      <c r="A451" s="121">
        <v>595.44000000000005</v>
      </c>
      <c r="B451" s="122">
        <v>22113.799470585702</v>
      </c>
      <c r="C451" s="123">
        <v>368.83670860000001</v>
      </c>
      <c r="D451" s="122">
        <v>3</v>
      </c>
      <c r="E451" s="124" t="s">
        <v>1065</v>
      </c>
      <c r="F451" s="121"/>
      <c r="G451" s="122"/>
      <c r="H451" s="123"/>
      <c r="I451" s="124"/>
      <c r="J451" s="31"/>
      <c r="L451" s="125"/>
      <c r="M451" s="126"/>
      <c r="N451" s="26"/>
    </row>
    <row r="452" spans="1:14" ht="20" customHeight="1">
      <c r="A452" s="121">
        <v>597.05999999999995</v>
      </c>
      <c r="B452" s="122">
        <v>22223.499117646999</v>
      </c>
      <c r="C452" s="123">
        <v>370.93685599999998</v>
      </c>
      <c r="D452" s="122">
        <v>3</v>
      </c>
      <c r="E452" s="124" t="s">
        <v>1065</v>
      </c>
      <c r="F452" s="121"/>
      <c r="G452" s="122"/>
      <c r="H452" s="123"/>
      <c r="I452" s="124"/>
      <c r="J452" s="31"/>
      <c r="L452" s="125"/>
      <c r="M452" s="126"/>
      <c r="N452" s="26"/>
    </row>
    <row r="453" spans="1:14" ht="20" customHeight="1">
      <c r="A453" s="121">
        <v>598.05999999999995</v>
      </c>
      <c r="B453" s="122">
        <v>22301.801298042599</v>
      </c>
      <c r="C453" s="123">
        <v>374.24205009999997</v>
      </c>
      <c r="D453" s="122">
        <v>3</v>
      </c>
      <c r="E453" s="124" t="s">
        <v>1065</v>
      </c>
      <c r="F453" s="121"/>
      <c r="G453" s="122"/>
      <c r="H453" s="123"/>
      <c r="I453" s="124"/>
      <c r="J453" s="31"/>
      <c r="L453" s="125"/>
      <c r="M453" s="126"/>
      <c r="N453" s="26"/>
    </row>
    <row r="454" spans="1:14" ht="20" customHeight="1">
      <c r="A454" s="121">
        <v>599.47</v>
      </c>
      <c r="B454" s="122">
        <v>22409.308599398901</v>
      </c>
      <c r="C454" s="123">
        <v>379.78663719999997</v>
      </c>
      <c r="D454" s="122">
        <v>3</v>
      </c>
      <c r="E454" s="124" t="s">
        <v>1065</v>
      </c>
      <c r="F454" s="121"/>
      <c r="G454" s="122"/>
      <c r="H454" s="123"/>
      <c r="I454" s="124"/>
      <c r="J454" s="31"/>
      <c r="L454" s="125"/>
      <c r="M454" s="126"/>
      <c r="N454" s="26"/>
    </row>
    <row r="455" spans="1:14" ht="20" customHeight="1">
      <c r="A455" s="121">
        <v>600.54500000000007</v>
      </c>
      <c r="B455" s="122">
        <v>22487.530294261898</v>
      </c>
      <c r="C455" s="123">
        <v>386.36089299999998</v>
      </c>
      <c r="D455" s="122">
        <v>3</v>
      </c>
      <c r="E455" s="124" t="s">
        <v>1065</v>
      </c>
      <c r="F455" s="121"/>
      <c r="G455" s="122"/>
      <c r="H455" s="123"/>
      <c r="I455" s="124"/>
      <c r="J455" s="31"/>
      <c r="L455" s="125"/>
      <c r="M455" s="126"/>
      <c r="N455" s="26"/>
    </row>
    <row r="456" spans="1:14" ht="20" customHeight="1">
      <c r="A456" s="121">
        <v>601.44000000000005</v>
      </c>
      <c r="B456" s="122">
        <v>22555.0339074763</v>
      </c>
      <c r="C456" s="123">
        <v>382.73319459999999</v>
      </c>
      <c r="D456" s="122">
        <v>3</v>
      </c>
      <c r="E456" s="124" t="s">
        <v>1065</v>
      </c>
      <c r="F456" s="121"/>
      <c r="G456" s="122"/>
      <c r="H456" s="123"/>
      <c r="I456" s="124"/>
      <c r="J456" s="31"/>
      <c r="L456" s="125"/>
      <c r="M456" s="126"/>
      <c r="N456" s="26"/>
    </row>
    <row r="457" spans="1:14" ht="20" customHeight="1">
      <c r="A457" s="121">
        <v>604.5</v>
      </c>
      <c r="B457" s="122">
        <v>22789.178683473499</v>
      </c>
      <c r="C457" s="123">
        <v>388.15396170000002</v>
      </c>
      <c r="D457" s="122">
        <v>3</v>
      </c>
      <c r="E457" s="124" t="s">
        <v>1065</v>
      </c>
      <c r="F457" s="121"/>
      <c r="G457" s="122"/>
      <c r="H457" s="123"/>
      <c r="I457" s="124"/>
      <c r="J457" s="31"/>
      <c r="L457" s="125"/>
      <c r="M457" s="126"/>
      <c r="N457" s="26"/>
    </row>
    <row r="458" spans="1:14" ht="20" customHeight="1">
      <c r="A458" s="121">
        <v>606.18000000000006</v>
      </c>
      <c r="B458" s="122">
        <v>22904.202358998798</v>
      </c>
      <c r="C458" s="123">
        <v>389.3873127</v>
      </c>
      <c r="D458" s="122">
        <v>3</v>
      </c>
      <c r="E458" s="124" t="s">
        <v>1065</v>
      </c>
      <c r="F458" s="121"/>
      <c r="G458" s="122"/>
      <c r="H458" s="123"/>
      <c r="I458" s="124"/>
      <c r="J458" s="31"/>
      <c r="L458" s="125"/>
      <c r="M458" s="126"/>
      <c r="N458" s="26"/>
    </row>
    <row r="459" spans="1:14" ht="20" customHeight="1">
      <c r="A459" s="121">
        <v>607.72</v>
      </c>
      <c r="B459" s="122">
        <v>22997.5290604162</v>
      </c>
      <c r="C459" s="123">
        <v>394.4088069</v>
      </c>
      <c r="D459" s="122">
        <v>3</v>
      </c>
      <c r="E459" s="124" t="s">
        <v>1065</v>
      </c>
      <c r="F459" s="121"/>
      <c r="G459" s="122"/>
      <c r="H459" s="123"/>
      <c r="I459" s="124"/>
      <c r="J459" s="31"/>
      <c r="L459" s="125"/>
      <c r="M459" s="126"/>
      <c r="N459" s="26"/>
    </row>
    <row r="460" spans="1:14" ht="20" customHeight="1">
      <c r="A460" s="121">
        <v>609.59999999999991</v>
      </c>
      <c r="B460" s="122">
        <v>23113.307302658999</v>
      </c>
      <c r="C460" s="123">
        <v>392.79369689999999</v>
      </c>
      <c r="D460" s="122">
        <v>3</v>
      </c>
      <c r="E460" s="124" t="s">
        <v>1065</v>
      </c>
      <c r="F460" s="121"/>
      <c r="G460" s="122"/>
      <c r="H460" s="123"/>
      <c r="I460" s="124"/>
      <c r="J460" s="31"/>
      <c r="L460" s="125"/>
      <c r="M460" s="126"/>
      <c r="N460" s="26"/>
    </row>
    <row r="461" spans="1:14" ht="20" customHeight="1">
      <c r="A461" s="121">
        <v>610.24</v>
      </c>
      <c r="B461" s="122">
        <v>23155.0294929472</v>
      </c>
      <c r="C461" s="123">
        <v>393.29360709999997</v>
      </c>
      <c r="D461" s="122">
        <v>3</v>
      </c>
      <c r="E461" s="124" t="s">
        <v>1065</v>
      </c>
      <c r="F461" s="121"/>
      <c r="G461" s="122"/>
      <c r="H461" s="123"/>
      <c r="I461" s="124"/>
      <c r="J461" s="31"/>
      <c r="L461" s="125"/>
      <c r="M461" s="126"/>
      <c r="N461" s="26"/>
    </row>
    <row r="462" spans="1:14" ht="20" customHeight="1">
      <c r="A462" s="121">
        <v>611.1400000000001</v>
      </c>
      <c r="B462" s="122">
        <v>23218.496034547101</v>
      </c>
      <c r="C462" s="123">
        <v>394.34392259999998</v>
      </c>
      <c r="D462" s="122">
        <v>3</v>
      </c>
      <c r="E462" s="124" t="s">
        <v>1065</v>
      </c>
      <c r="F462" s="121"/>
      <c r="G462" s="122"/>
      <c r="H462" s="123"/>
      <c r="I462" s="124"/>
      <c r="J462" s="31"/>
      <c r="L462" s="125"/>
      <c r="M462" s="126"/>
      <c r="N462" s="26"/>
    </row>
    <row r="463" spans="1:14" ht="20" customHeight="1">
      <c r="A463" s="121">
        <v>612.1400000000001</v>
      </c>
      <c r="B463" s="122">
        <v>23291.940151297102</v>
      </c>
      <c r="C463" s="123">
        <v>399.93564700000002</v>
      </c>
      <c r="D463" s="122">
        <v>3</v>
      </c>
      <c r="E463" s="124" t="s">
        <v>1065</v>
      </c>
      <c r="F463" s="121"/>
      <c r="G463" s="122"/>
      <c r="H463" s="123"/>
      <c r="I463" s="124"/>
      <c r="J463" s="31"/>
      <c r="L463" s="125"/>
      <c r="M463" s="126"/>
      <c r="N463" s="26"/>
    </row>
    <row r="464" spans="1:14" ht="20" customHeight="1">
      <c r="A464" s="121">
        <v>613.70000000000005</v>
      </c>
      <c r="B464" s="122">
        <v>23398.564502548699</v>
      </c>
      <c r="C464" s="123">
        <v>395.50779599999998</v>
      </c>
      <c r="D464" s="122">
        <v>3</v>
      </c>
      <c r="E464" s="124" t="s">
        <v>1065</v>
      </c>
      <c r="F464" s="121"/>
      <c r="G464" s="122"/>
      <c r="H464" s="123"/>
      <c r="I464" s="124"/>
      <c r="J464" s="31"/>
      <c r="L464" s="125"/>
      <c r="M464" s="126"/>
      <c r="N464" s="26"/>
    </row>
    <row r="465" spans="1:14" ht="20" customHeight="1">
      <c r="A465" s="125">
        <v>614.84249999999997</v>
      </c>
      <c r="B465" s="127">
        <v>23474.890873059801</v>
      </c>
      <c r="C465" s="128">
        <v>396</v>
      </c>
      <c r="D465" s="144">
        <v>6</v>
      </c>
      <c r="E465" s="124" t="s">
        <v>1067</v>
      </c>
      <c r="F465" s="125"/>
      <c r="G465" s="125"/>
      <c r="H465" s="128"/>
      <c r="I465" s="124"/>
      <c r="J465" s="31"/>
      <c r="L465" s="125"/>
      <c r="M465" s="126"/>
      <c r="N465" s="26"/>
    </row>
    <row r="466" spans="1:14" ht="20" customHeight="1">
      <c r="A466" s="121">
        <v>615.74</v>
      </c>
      <c r="B466" s="122">
        <v>23535.938070759101</v>
      </c>
      <c r="C466" s="123">
        <v>396.89684410000001</v>
      </c>
      <c r="D466" s="122">
        <v>3</v>
      </c>
      <c r="E466" s="124" t="s">
        <v>1065</v>
      </c>
      <c r="F466" s="121"/>
      <c r="G466" s="122"/>
      <c r="H466" s="123"/>
      <c r="I466" s="124"/>
      <c r="J466" s="31"/>
      <c r="L466" s="125"/>
      <c r="M466" s="126"/>
      <c r="N466" s="26"/>
    </row>
    <row r="467" spans="1:14" ht="20" customHeight="1">
      <c r="A467" s="121">
        <v>616.3599999999999</v>
      </c>
      <c r="B467" s="122">
        <v>23578.7690105318</v>
      </c>
      <c r="C467" s="123">
        <v>398.03159160000001</v>
      </c>
      <c r="D467" s="122">
        <v>3</v>
      </c>
      <c r="E467" s="124" t="s">
        <v>1065</v>
      </c>
      <c r="F467" s="121"/>
      <c r="G467" s="122"/>
      <c r="H467" s="123"/>
      <c r="I467" s="124"/>
      <c r="J467" s="31"/>
      <c r="L467" s="125"/>
      <c r="M467" s="126"/>
      <c r="N467" s="26"/>
    </row>
    <row r="468" spans="1:14" ht="20" customHeight="1">
      <c r="A468" s="121">
        <v>618.21</v>
      </c>
      <c r="B468" s="122">
        <v>23712.7739103637</v>
      </c>
      <c r="C468" s="123">
        <v>399.01170730000001</v>
      </c>
      <c r="D468" s="122">
        <v>3</v>
      </c>
      <c r="E468" s="124" t="s">
        <v>1065</v>
      </c>
      <c r="F468" s="121"/>
      <c r="G468" s="122"/>
      <c r="H468" s="123"/>
      <c r="I468" s="124"/>
      <c r="J468" s="31"/>
      <c r="L468" s="125"/>
      <c r="M468" s="126"/>
      <c r="N468" s="26"/>
    </row>
    <row r="469" spans="1:14" ht="20" customHeight="1">
      <c r="A469" s="121">
        <v>619.21</v>
      </c>
      <c r="B469" s="122">
        <v>23787.125783568201</v>
      </c>
      <c r="C469" s="123">
        <v>395.1495486</v>
      </c>
      <c r="D469" s="122">
        <v>3</v>
      </c>
      <c r="E469" s="124" t="s">
        <v>1065</v>
      </c>
      <c r="F469" s="121"/>
      <c r="G469" s="122"/>
      <c r="H469" s="123"/>
      <c r="I469" s="124"/>
      <c r="J469" s="31"/>
      <c r="L469" s="125"/>
      <c r="M469" s="126"/>
      <c r="N469" s="26"/>
    </row>
    <row r="470" spans="1:14" ht="20" customHeight="1">
      <c r="A470" s="121">
        <v>620.61999999999989</v>
      </c>
      <c r="B470" s="122">
        <v>23899.383105708501</v>
      </c>
      <c r="C470" s="123">
        <v>385.84584630000001</v>
      </c>
      <c r="D470" s="122">
        <v>3</v>
      </c>
      <c r="E470" s="124" t="s">
        <v>1065</v>
      </c>
      <c r="F470" s="121"/>
      <c r="G470" s="122"/>
      <c r="H470" s="123"/>
      <c r="I470" s="124"/>
      <c r="J470" s="31"/>
      <c r="L470" s="125"/>
      <c r="M470" s="126"/>
      <c r="N470" s="26"/>
    </row>
    <row r="471" spans="1:14" ht="20" customHeight="1">
      <c r="A471" s="121">
        <v>621.69000000000005</v>
      </c>
      <c r="B471" s="122">
        <v>23989.718815499</v>
      </c>
      <c r="C471" s="123">
        <v>376.93874039999997</v>
      </c>
      <c r="D471" s="122">
        <v>3</v>
      </c>
      <c r="E471" s="124" t="s">
        <v>1065</v>
      </c>
      <c r="F471" s="121"/>
      <c r="G471" s="122"/>
      <c r="H471" s="123"/>
      <c r="I471" s="124"/>
      <c r="J471" s="31"/>
      <c r="L471" s="125"/>
      <c r="M471" s="126"/>
      <c r="N471" s="26"/>
    </row>
    <row r="472" spans="1:14" ht="20" customHeight="1">
      <c r="A472" s="121">
        <v>622.80999999999995</v>
      </c>
      <c r="B472" s="122">
        <v>24078.5999806338</v>
      </c>
      <c r="C472" s="123">
        <v>378.74716210000003</v>
      </c>
      <c r="D472" s="122">
        <v>3</v>
      </c>
      <c r="E472" s="124" t="s">
        <v>1065</v>
      </c>
      <c r="F472" s="121"/>
      <c r="G472" s="122"/>
      <c r="H472" s="123"/>
      <c r="I472" s="124"/>
      <c r="J472" s="31"/>
      <c r="L472" s="125"/>
      <c r="M472" s="126"/>
      <c r="N472" s="26"/>
    </row>
    <row r="473" spans="1:14" ht="20" customHeight="1">
      <c r="A473" s="121">
        <v>623.94000000000005</v>
      </c>
      <c r="B473" s="122">
        <v>24162.317009747901</v>
      </c>
      <c r="C473" s="123">
        <v>370.67720209999999</v>
      </c>
      <c r="D473" s="122">
        <v>3</v>
      </c>
      <c r="E473" s="124" t="s">
        <v>1065</v>
      </c>
      <c r="F473" s="121"/>
      <c r="G473" s="122"/>
      <c r="H473" s="123"/>
      <c r="I473" s="124"/>
      <c r="J473" s="31"/>
      <c r="L473" s="125"/>
      <c r="M473" s="126"/>
      <c r="N473" s="26"/>
    </row>
    <row r="474" spans="1:14" ht="20" customHeight="1">
      <c r="A474" s="125">
        <v>624.29999999999995</v>
      </c>
      <c r="B474" s="127">
        <v>24190.1052049315</v>
      </c>
      <c r="C474" s="128">
        <v>369.3</v>
      </c>
      <c r="D474" s="144">
        <v>6</v>
      </c>
      <c r="E474" s="124" t="s">
        <v>1067</v>
      </c>
      <c r="F474" s="125"/>
      <c r="G474" s="125"/>
      <c r="H474" s="128"/>
      <c r="I474" s="124"/>
      <c r="J474" s="31"/>
      <c r="L474" s="125"/>
      <c r="M474" s="126"/>
      <c r="N474" s="26"/>
    </row>
    <row r="475" spans="1:14" ht="20" customHeight="1">
      <c r="A475" s="121">
        <v>625.59500000000003</v>
      </c>
      <c r="B475" s="122">
        <v>24298.410473561999</v>
      </c>
      <c r="C475" s="123">
        <v>368.60828350000003</v>
      </c>
      <c r="D475" s="122">
        <v>3</v>
      </c>
      <c r="E475" s="124" t="s">
        <v>1065</v>
      </c>
      <c r="F475" s="121"/>
      <c r="G475" s="122"/>
      <c r="H475" s="123"/>
      <c r="I475" s="124"/>
      <c r="J475" s="31"/>
      <c r="L475" s="125"/>
      <c r="M475" s="126"/>
      <c r="N475" s="26"/>
    </row>
    <row r="476" spans="1:14" ht="20" customHeight="1">
      <c r="A476" s="121">
        <v>627.26</v>
      </c>
      <c r="B476" s="122">
        <v>24450.052286170001</v>
      </c>
      <c r="C476" s="123">
        <v>370.59302300000002</v>
      </c>
      <c r="D476" s="122">
        <v>3</v>
      </c>
      <c r="E476" s="124" t="s">
        <v>1065</v>
      </c>
      <c r="F476" s="121"/>
      <c r="G476" s="122"/>
      <c r="H476" s="123"/>
      <c r="I476" s="124"/>
      <c r="J476" s="31"/>
      <c r="L476" s="125"/>
      <c r="M476" s="126"/>
      <c r="N476" s="26"/>
    </row>
    <row r="477" spans="1:14" ht="20" customHeight="1">
      <c r="A477" s="121">
        <v>628.70000000000005</v>
      </c>
      <c r="B477" s="122">
        <v>24577.795045557701</v>
      </c>
      <c r="C477" s="123">
        <v>375.6697241</v>
      </c>
      <c r="D477" s="122">
        <v>3</v>
      </c>
      <c r="E477" s="124" t="s">
        <v>1065</v>
      </c>
      <c r="F477" s="121"/>
      <c r="G477" s="122"/>
      <c r="H477" s="123"/>
      <c r="I477" s="124"/>
      <c r="J477" s="31"/>
      <c r="L477" s="125"/>
      <c r="M477" s="126"/>
      <c r="N477" s="26"/>
    </row>
    <row r="478" spans="1:14" ht="20" customHeight="1">
      <c r="A478" s="121">
        <v>630.27</v>
      </c>
      <c r="B478" s="122">
        <v>24710.4121863361</v>
      </c>
      <c r="C478" s="123">
        <v>372.46643130000001</v>
      </c>
      <c r="D478" s="122">
        <v>3</v>
      </c>
      <c r="E478" s="124" t="s">
        <v>1065</v>
      </c>
      <c r="F478" s="121"/>
      <c r="G478" s="122"/>
      <c r="H478" s="123"/>
      <c r="I478" s="124"/>
      <c r="J478" s="31"/>
      <c r="L478" s="125"/>
      <c r="M478" s="126"/>
      <c r="N478" s="26"/>
    </row>
    <row r="479" spans="1:14" ht="20" customHeight="1">
      <c r="A479" s="121">
        <v>631.77</v>
      </c>
      <c r="B479" s="122">
        <v>24837.382139795998</v>
      </c>
      <c r="C479" s="123">
        <v>374.15127990000002</v>
      </c>
      <c r="D479" s="122">
        <v>3</v>
      </c>
      <c r="E479" s="124" t="s">
        <v>1065</v>
      </c>
      <c r="F479" s="121"/>
      <c r="G479" s="122"/>
      <c r="H479" s="123"/>
      <c r="I479" s="124"/>
      <c r="J479" s="31"/>
      <c r="L479" s="125"/>
      <c r="M479" s="126"/>
      <c r="N479" s="26"/>
    </row>
    <row r="480" spans="1:14" ht="20" customHeight="1">
      <c r="A480" s="121">
        <v>633.27</v>
      </c>
      <c r="B480" s="122">
        <v>24966.1752466291</v>
      </c>
      <c r="C480" s="123">
        <v>376.06987190000001</v>
      </c>
      <c r="D480" s="122">
        <v>3</v>
      </c>
      <c r="E480" s="124" t="s">
        <v>1065</v>
      </c>
      <c r="F480" s="121"/>
      <c r="G480" s="122"/>
      <c r="H480" s="123"/>
      <c r="I480" s="124"/>
      <c r="J480" s="31"/>
      <c r="L480" s="125"/>
      <c r="M480" s="126"/>
      <c r="N480" s="26"/>
    </row>
    <row r="481" spans="1:14" ht="20" customHeight="1">
      <c r="A481" s="121">
        <v>634.91000000000008</v>
      </c>
      <c r="B481" s="122">
        <v>25100.378587292998</v>
      </c>
      <c r="C481" s="123">
        <v>375.09591849999998</v>
      </c>
      <c r="D481" s="122">
        <v>3</v>
      </c>
      <c r="E481" s="124" t="s">
        <v>1065</v>
      </c>
      <c r="F481" s="121"/>
      <c r="G481" s="122"/>
      <c r="H481" s="123"/>
      <c r="I481" s="124"/>
      <c r="J481" s="31"/>
      <c r="L481" s="125"/>
      <c r="M481" s="126"/>
      <c r="N481" s="26"/>
    </row>
    <row r="482" spans="1:14" ht="20" customHeight="1">
      <c r="A482" s="121">
        <v>636.38000000000011</v>
      </c>
      <c r="B482" s="122">
        <v>25229.3675104412</v>
      </c>
      <c r="C482" s="123">
        <v>371.66426630000001</v>
      </c>
      <c r="D482" s="122">
        <v>3</v>
      </c>
      <c r="E482" s="124" t="s">
        <v>1065</v>
      </c>
      <c r="F482" s="121"/>
      <c r="G482" s="122"/>
      <c r="H482" s="123"/>
      <c r="I482" s="124"/>
      <c r="J482" s="31"/>
      <c r="L482" s="125"/>
      <c r="M482" s="126"/>
      <c r="N482" s="26"/>
    </row>
    <row r="483" spans="1:14" ht="20" customHeight="1">
      <c r="A483" s="121">
        <v>637.91000000000008</v>
      </c>
      <c r="B483" s="122">
        <v>25364.1871088722</v>
      </c>
      <c r="C483" s="123">
        <v>373.74590330000001</v>
      </c>
      <c r="D483" s="122">
        <v>3</v>
      </c>
      <c r="E483" s="124" t="s">
        <v>1065</v>
      </c>
      <c r="F483" s="121"/>
      <c r="G483" s="122"/>
      <c r="H483" s="123"/>
      <c r="I483" s="124"/>
      <c r="J483" s="31"/>
      <c r="L483" s="125"/>
      <c r="M483" s="126"/>
      <c r="N483" s="26"/>
    </row>
    <row r="484" spans="1:14" ht="20" customHeight="1">
      <c r="A484" s="129">
        <v>638.33000000000004</v>
      </c>
      <c r="B484" s="130">
        <v>25401.025565508</v>
      </c>
      <c r="C484" s="131">
        <v>373.8</v>
      </c>
      <c r="D484" s="130">
        <v>10</v>
      </c>
      <c r="E484" s="124" t="s">
        <v>1126</v>
      </c>
      <c r="F484" s="129"/>
      <c r="G484" s="129"/>
      <c r="H484" s="131"/>
      <c r="I484" s="124"/>
      <c r="J484" s="31"/>
      <c r="L484" s="125"/>
      <c r="M484" s="126"/>
      <c r="N484" s="26"/>
    </row>
    <row r="485" spans="1:14" ht="20" customHeight="1">
      <c r="A485" s="121">
        <v>639.30500000000006</v>
      </c>
      <c r="B485" s="122">
        <v>25487.732940460501</v>
      </c>
      <c r="C485" s="123">
        <v>370.30553140000001</v>
      </c>
      <c r="D485" s="122">
        <v>3</v>
      </c>
      <c r="E485" s="124" t="s">
        <v>1065</v>
      </c>
      <c r="F485" s="121"/>
      <c r="G485" s="122"/>
      <c r="H485" s="123"/>
      <c r="I485" s="124"/>
      <c r="J485" s="31"/>
      <c r="L485" s="125"/>
      <c r="M485" s="126"/>
      <c r="N485" s="26"/>
    </row>
    <row r="486" spans="1:14" ht="20" customHeight="1">
      <c r="A486" s="129">
        <v>640.79</v>
      </c>
      <c r="B486" s="130">
        <v>25620.333167713601</v>
      </c>
      <c r="C486" s="131">
        <v>369.3</v>
      </c>
      <c r="D486" s="130">
        <v>10</v>
      </c>
      <c r="E486" s="124" t="s">
        <v>1126</v>
      </c>
      <c r="F486" s="129"/>
      <c r="G486" s="129"/>
      <c r="H486" s="131"/>
      <c r="I486" s="124"/>
      <c r="J486" s="31"/>
      <c r="L486" s="125"/>
      <c r="M486" s="126"/>
      <c r="N486" s="26"/>
    </row>
    <row r="487" spans="1:14" ht="20" customHeight="1">
      <c r="A487" s="121">
        <v>640.86999999999989</v>
      </c>
      <c r="B487" s="122">
        <v>25627.459352164398</v>
      </c>
      <c r="C487" s="123">
        <v>371.43935499999998</v>
      </c>
      <c r="D487" s="122">
        <v>3</v>
      </c>
      <c r="E487" s="124" t="s">
        <v>1065</v>
      </c>
      <c r="F487" s="121"/>
      <c r="G487" s="122"/>
      <c r="H487" s="123"/>
      <c r="I487" s="124"/>
      <c r="J487" s="31"/>
      <c r="L487" s="125"/>
      <c r="M487" s="126"/>
      <c r="N487" s="26"/>
    </row>
    <row r="488" spans="1:14" ht="20" customHeight="1">
      <c r="A488" s="121">
        <v>642.24</v>
      </c>
      <c r="B488" s="122">
        <v>25756.199600645399</v>
      </c>
      <c r="C488" s="123">
        <v>367.04997880000002</v>
      </c>
      <c r="D488" s="122">
        <v>3</v>
      </c>
      <c r="E488" s="124" t="s">
        <v>1065</v>
      </c>
      <c r="F488" s="121"/>
      <c r="G488" s="122"/>
      <c r="H488" s="123"/>
      <c r="I488" s="124"/>
      <c r="J488" s="31"/>
      <c r="L488" s="125"/>
      <c r="M488" s="126"/>
      <c r="N488" s="26"/>
    </row>
    <row r="489" spans="1:14" ht="20" customHeight="1">
      <c r="A489" s="121">
        <v>643.24</v>
      </c>
      <c r="B489" s="122">
        <v>25860.0160242725</v>
      </c>
      <c r="C489" s="123">
        <v>366.51321890000003</v>
      </c>
      <c r="D489" s="122">
        <v>3</v>
      </c>
      <c r="E489" s="124" t="s">
        <v>1065</v>
      </c>
      <c r="F489" s="121"/>
      <c r="G489" s="122"/>
      <c r="H489" s="123"/>
      <c r="I489" s="124"/>
      <c r="J489" s="31"/>
      <c r="L489" s="125"/>
      <c r="M489" s="126"/>
      <c r="N489" s="26"/>
    </row>
    <row r="490" spans="1:14" ht="20" customHeight="1">
      <c r="A490" s="125">
        <v>643.85</v>
      </c>
      <c r="B490" s="127">
        <v>25924.3227005874</v>
      </c>
      <c r="C490" s="128">
        <v>364.7</v>
      </c>
      <c r="D490" s="144">
        <v>6</v>
      </c>
      <c r="E490" s="124" t="s">
        <v>1067</v>
      </c>
      <c r="F490" s="125"/>
      <c r="G490" s="125"/>
      <c r="H490" s="128"/>
      <c r="I490" s="124"/>
      <c r="J490" s="31"/>
      <c r="L490" s="125"/>
      <c r="M490" s="126"/>
      <c r="N490" s="26"/>
    </row>
    <row r="491" spans="1:14" ht="20" customHeight="1">
      <c r="A491" s="121">
        <v>645.24</v>
      </c>
      <c r="B491" s="122">
        <v>26062.111073984801</v>
      </c>
      <c r="C491" s="123">
        <v>375.25125029999998</v>
      </c>
      <c r="D491" s="122">
        <v>3</v>
      </c>
      <c r="E491" s="124" t="s">
        <v>1065</v>
      </c>
      <c r="F491" s="121"/>
      <c r="G491" s="122"/>
      <c r="H491" s="123"/>
      <c r="I491" s="124"/>
      <c r="J491" s="31"/>
      <c r="L491" s="125"/>
      <c r="M491" s="126"/>
      <c r="N491" s="26"/>
    </row>
    <row r="492" spans="1:14" ht="20" customHeight="1">
      <c r="A492" s="121">
        <v>646.24</v>
      </c>
      <c r="B492" s="122">
        <v>26156.43052691</v>
      </c>
      <c r="C492" s="123">
        <v>369.44211100000001</v>
      </c>
      <c r="D492" s="122">
        <v>3</v>
      </c>
      <c r="E492" s="124" t="s">
        <v>1065</v>
      </c>
      <c r="F492" s="121"/>
      <c r="G492" s="122"/>
      <c r="H492" s="123"/>
      <c r="I492" s="124"/>
      <c r="J492" s="31"/>
      <c r="L492" s="125"/>
      <c r="M492" s="126"/>
      <c r="N492" s="26"/>
    </row>
    <row r="493" spans="1:14" ht="20" customHeight="1">
      <c r="A493" s="129">
        <v>646.33000000000004</v>
      </c>
      <c r="B493" s="130">
        <v>26164.487931727999</v>
      </c>
      <c r="C493" s="131">
        <v>375.8</v>
      </c>
      <c r="D493" s="130">
        <v>10</v>
      </c>
      <c r="E493" s="124" t="s">
        <v>1126</v>
      </c>
      <c r="F493" s="129"/>
      <c r="G493" s="129"/>
      <c r="H493" s="131"/>
      <c r="I493" s="124"/>
      <c r="J493" s="31"/>
      <c r="L493" s="125"/>
      <c r="M493" s="126"/>
      <c r="N493" s="26"/>
    </row>
    <row r="494" spans="1:14" ht="20" customHeight="1">
      <c r="A494" s="121">
        <v>648.24</v>
      </c>
      <c r="B494" s="122">
        <v>26315.8522263821</v>
      </c>
      <c r="C494" s="123">
        <v>372.243111</v>
      </c>
      <c r="D494" s="122">
        <v>3</v>
      </c>
      <c r="E494" s="124" t="s">
        <v>1065</v>
      </c>
      <c r="F494" s="121"/>
      <c r="G494" s="122"/>
      <c r="H494" s="123"/>
      <c r="I494" s="124"/>
      <c r="J494" s="31"/>
      <c r="L494" s="125"/>
      <c r="M494" s="126"/>
      <c r="N494" s="26"/>
    </row>
    <row r="495" spans="1:14" ht="20" customHeight="1">
      <c r="A495" s="129">
        <v>648.83000000000004</v>
      </c>
      <c r="B495" s="130">
        <v>26356.615863302199</v>
      </c>
      <c r="C495" s="131">
        <v>362.7</v>
      </c>
      <c r="D495" s="130">
        <v>10</v>
      </c>
      <c r="E495" s="124" t="s">
        <v>1126</v>
      </c>
      <c r="F495" s="129"/>
      <c r="G495" s="129"/>
      <c r="H495" s="131"/>
      <c r="I495" s="124"/>
      <c r="J495" s="31"/>
      <c r="L495" s="125"/>
      <c r="M495" s="126"/>
      <c r="N495" s="26"/>
    </row>
    <row r="496" spans="1:14" ht="20" customHeight="1">
      <c r="A496" s="121">
        <v>650.3599999999999</v>
      </c>
      <c r="B496" s="122">
        <v>26462.774136432901</v>
      </c>
      <c r="C496" s="123">
        <v>378.11893679999997</v>
      </c>
      <c r="D496" s="122">
        <v>3</v>
      </c>
      <c r="E496" s="124" t="s">
        <v>1065</v>
      </c>
      <c r="F496" s="121"/>
      <c r="G496" s="122"/>
      <c r="H496" s="123"/>
      <c r="I496" s="124"/>
      <c r="J496" s="31"/>
      <c r="L496" s="125"/>
      <c r="M496" s="126"/>
      <c r="N496" s="26"/>
    </row>
    <row r="497" spans="1:14" ht="20" customHeight="1">
      <c r="A497" s="121">
        <v>651.36500000000001</v>
      </c>
      <c r="B497" s="122">
        <v>26537.162604093301</v>
      </c>
      <c r="C497" s="123">
        <v>375.11603100000002</v>
      </c>
      <c r="D497" s="122">
        <v>3</v>
      </c>
      <c r="E497" s="124" t="s">
        <v>1065</v>
      </c>
      <c r="F497" s="121"/>
      <c r="G497" s="122"/>
      <c r="H497" s="123"/>
      <c r="I497" s="124"/>
      <c r="J497" s="31"/>
      <c r="L497" s="125"/>
      <c r="M497" s="126"/>
      <c r="N497" s="26"/>
    </row>
    <row r="498" spans="1:14" ht="20" customHeight="1">
      <c r="A498" s="121">
        <v>653.69499999999994</v>
      </c>
      <c r="B498" s="122">
        <v>26719.429224941399</v>
      </c>
      <c r="C498" s="123">
        <v>383.4881345</v>
      </c>
      <c r="D498" s="122">
        <v>3</v>
      </c>
      <c r="E498" s="124" t="s">
        <v>1065</v>
      </c>
      <c r="F498" s="121"/>
      <c r="G498" s="122"/>
      <c r="H498" s="123"/>
      <c r="I498" s="124"/>
      <c r="J498" s="31"/>
      <c r="L498" s="125"/>
      <c r="M498" s="126"/>
      <c r="N498" s="26"/>
    </row>
    <row r="499" spans="1:14" ht="20" customHeight="1">
      <c r="A499" s="121">
        <v>656.26</v>
      </c>
      <c r="B499" s="122">
        <v>26948.363749534401</v>
      </c>
      <c r="C499" s="123">
        <v>390.14601090000002</v>
      </c>
      <c r="D499" s="122">
        <v>3</v>
      </c>
      <c r="E499" s="124" t="s">
        <v>1065</v>
      </c>
      <c r="F499" s="121"/>
      <c r="G499" s="122"/>
      <c r="H499" s="123"/>
      <c r="I499" s="124"/>
      <c r="J499" s="31"/>
      <c r="L499" s="125"/>
      <c r="M499" s="126"/>
      <c r="N499" s="26"/>
    </row>
    <row r="500" spans="1:14" ht="20" customHeight="1">
      <c r="A500" s="129">
        <v>657.73</v>
      </c>
      <c r="B500" s="130">
        <v>27097.744252836001</v>
      </c>
      <c r="C500" s="131">
        <v>392.6</v>
      </c>
      <c r="D500" s="130">
        <v>10</v>
      </c>
      <c r="E500" s="124" t="s">
        <v>1126</v>
      </c>
      <c r="F500" s="129"/>
      <c r="G500" s="129"/>
      <c r="H500" s="131"/>
      <c r="I500" s="124"/>
      <c r="J500" s="31"/>
      <c r="L500" s="125"/>
      <c r="M500" s="126"/>
      <c r="N500" s="26"/>
    </row>
    <row r="501" spans="1:14" ht="20" customHeight="1">
      <c r="A501" s="121">
        <v>657.81</v>
      </c>
      <c r="B501" s="122">
        <v>27106.210183318901</v>
      </c>
      <c r="C501" s="123">
        <v>393.39135820000001</v>
      </c>
      <c r="D501" s="122">
        <v>3</v>
      </c>
      <c r="E501" s="124" t="s">
        <v>1065</v>
      </c>
      <c r="F501" s="121"/>
      <c r="G501" s="122"/>
      <c r="H501" s="123"/>
      <c r="I501" s="124"/>
      <c r="J501" s="31"/>
      <c r="L501" s="125"/>
      <c r="M501" s="126"/>
      <c r="N501" s="26"/>
    </row>
    <row r="502" spans="1:14" ht="20" customHeight="1">
      <c r="A502" s="121">
        <v>658.69</v>
      </c>
      <c r="B502" s="122">
        <v>27197.624712467299</v>
      </c>
      <c r="C502" s="123">
        <v>400.0049909</v>
      </c>
      <c r="D502" s="122">
        <v>3</v>
      </c>
      <c r="E502" s="124" t="s">
        <v>1065</v>
      </c>
      <c r="F502" s="121"/>
      <c r="G502" s="122"/>
      <c r="H502" s="123"/>
      <c r="I502" s="124"/>
      <c r="J502" s="31"/>
      <c r="L502" s="125"/>
      <c r="M502" s="126"/>
      <c r="N502" s="26"/>
    </row>
    <row r="503" spans="1:14" ht="20" customHeight="1">
      <c r="A503" s="121">
        <v>660.26</v>
      </c>
      <c r="B503" s="122">
        <v>27348.821410987399</v>
      </c>
      <c r="C503" s="123">
        <v>399.54810650000002</v>
      </c>
      <c r="D503" s="122">
        <v>3</v>
      </c>
      <c r="E503" s="124" t="s">
        <v>1065</v>
      </c>
      <c r="F503" s="121"/>
      <c r="G503" s="122"/>
      <c r="H503" s="123"/>
      <c r="I503" s="124"/>
      <c r="J503" s="31"/>
      <c r="L503" s="125"/>
      <c r="M503" s="126"/>
      <c r="N503" s="26"/>
    </row>
    <row r="504" spans="1:14" ht="20" customHeight="1">
      <c r="A504" s="121">
        <v>661.80500000000006</v>
      </c>
      <c r="B504" s="122">
        <v>27476.700537577901</v>
      </c>
      <c r="C504" s="123">
        <v>411.35858510000003</v>
      </c>
      <c r="D504" s="122">
        <v>3</v>
      </c>
      <c r="E504" s="124" t="s">
        <v>1065</v>
      </c>
      <c r="F504" s="121"/>
      <c r="G504" s="122"/>
      <c r="H504" s="123"/>
      <c r="I504" s="124"/>
      <c r="J504" s="31"/>
      <c r="L504" s="125"/>
      <c r="M504" s="126"/>
      <c r="N504" s="26"/>
    </row>
    <row r="505" spans="1:14" ht="20" customHeight="1">
      <c r="A505" s="121">
        <v>663.33500000000004</v>
      </c>
      <c r="B505" s="122">
        <v>27583.803325793298</v>
      </c>
      <c r="C505" s="123">
        <v>423.78715949999997</v>
      </c>
      <c r="D505" s="122">
        <v>3</v>
      </c>
      <c r="E505" s="124" t="s">
        <v>1065</v>
      </c>
      <c r="F505" s="121"/>
      <c r="G505" s="122"/>
      <c r="H505" s="123"/>
      <c r="I505" s="124"/>
      <c r="J505" s="31"/>
      <c r="L505" s="125"/>
      <c r="M505" s="126"/>
      <c r="N505" s="26"/>
    </row>
    <row r="506" spans="1:14" ht="20" customHeight="1">
      <c r="A506" s="125">
        <v>664.51</v>
      </c>
      <c r="B506" s="127">
        <v>27661.0834535217</v>
      </c>
      <c r="C506" s="128">
        <v>417.5</v>
      </c>
      <c r="D506" s="144">
        <v>6</v>
      </c>
      <c r="E506" s="124" t="s">
        <v>1067</v>
      </c>
      <c r="F506" s="125"/>
      <c r="G506" s="125"/>
      <c r="H506" s="128"/>
      <c r="I506" s="124"/>
      <c r="J506" s="31"/>
      <c r="L506" s="125"/>
      <c r="M506" s="126"/>
      <c r="N506" s="26"/>
    </row>
    <row r="507" spans="1:14" ht="20" customHeight="1">
      <c r="A507" s="121">
        <v>664.8599999999999</v>
      </c>
      <c r="B507" s="122">
        <v>27684.286267869</v>
      </c>
      <c r="C507" s="123">
        <v>417.72012530000001</v>
      </c>
      <c r="D507" s="122">
        <v>3</v>
      </c>
      <c r="E507" s="124" t="s">
        <v>1065</v>
      </c>
      <c r="F507" s="121"/>
      <c r="G507" s="122"/>
      <c r="H507" s="123"/>
      <c r="I507" s="124"/>
      <c r="J507" s="31"/>
      <c r="L507" s="125"/>
      <c r="M507" s="126"/>
      <c r="N507" s="26"/>
    </row>
    <row r="508" spans="1:14" ht="20" customHeight="1">
      <c r="A508" s="121">
        <v>666.38000000000011</v>
      </c>
      <c r="B508" s="122">
        <v>27787.161426372</v>
      </c>
      <c r="C508" s="123">
        <v>383.34952040000002</v>
      </c>
      <c r="D508" s="122">
        <v>3</v>
      </c>
      <c r="E508" s="124" t="s">
        <v>1065</v>
      </c>
      <c r="F508" s="121"/>
      <c r="G508" s="122"/>
      <c r="H508" s="123"/>
      <c r="I508" s="124"/>
      <c r="J508" s="31"/>
      <c r="L508" s="125"/>
      <c r="M508" s="126"/>
      <c r="N508" s="26"/>
    </row>
    <row r="509" spans="1:14" ht="20" customHeight="1">
      <c r="A509" s="121">
        <v>667.88000000000011</v>
      </c>
      <c r="B509" s="122">
        <v>27883.335499999801</v>
      </c>
      <c r="C509" s="123">
        <v>376.93185949999997</v>
      </c>
      <c r="D509" s="122">
        <v>3</v>
      </c>
      <c r="E509" s="124" t="s">
        <v>1065</v>
      </c>
      <c r="F509" s="121"/>
      <c r="G509" s="122"/>
      <c r="H509" s="123"/>
      <c r="I509" s="124"/>
      <c r="J509" s="31"/>
      <c r="L509" s="125"/>
      <c r="M509" s="126"/>
      <c r="N509" s="26"/>
    </row>
    <row r="510" spans="1:14" ht="20" customHeight="1">
      <c r="A510" s="121">
        <v>669.28</v>
      </c>
      <c r="B510" s="122">
        <v>27969.493173434399</v>
      </c>
      <c r="C510" s="123">
        <v>381.6808317</v>
      </c>
      <c r="D510" s="122">
        <v>3</v>
      </c>
      <c r="E510" s="124" t="s">
        <v>1065</v>
      </c>
      <c r="F510" s="121"/>
      <c r="G510" s="122"/>
      <c r="H510" s="123"/>
      <c r="I510" s="124"/>
      <c r="J510" s="31"/>
      <c r="L510" s="125"/>
      <c r="M510" s="126"/>
      <c r="N510" s="26"/>
    </row>
    <row r="511" spans="1:14" ht="20" customHeight="1">
      <c r="A511" s="129">
        <v>670.43</v>
      </c>
      <c r="B511" s="130">
        <v>28040.046437384699</v>
      </c>
      <c r="C511" s="131">
        <v>377.5</v>
      </c>
      <c r="D511" s="130">
        <v>10</v>
      </c>
      <c r="E511" s="124" t="s">
        <v>1126</v>
      </c>
      <c r="F511" s="129"/>
      <c r="G511" s="129"/>
      <c r="H511" s="131"/>
      <c r="I511" s="124"/>
      <c r="J511" s="31"/>
      <c r="L511" s="125"/>
      <c r="M511" s="126"/>
      <c r="N511" s="26"/>
    </row>
    <row r="512" spans="1:14" ht="20" customHeight="1">
      <c r="A512" s="121">
        <v>670.96</v>
      </c>
      <c r="B512" s="122">
        <v>28074.058002515099</v>
      </c>
      <c r="C512" s="123">
        <v>389.45897580000002</v>
      </c>
      <c r="D512" s="122">
        <v>3</v>
      </c>
      <c r="E512" s="124" t="s">
        <v>1065</v>
      </c>
      <c r="F512" s="121"/>
      <c r="G512" s="122"/>
      <c r="H512" s="123"/>
      <c r="I512" s="124"/>
      <c r="J512" s="31"/>
      <c r="L512" s="125"/>
      <c r="M512" s="126"/>
      <c r="N512" s="26"/>
    </row>
    <row r="513" spans="1:14" ht="20" customHeight="1">
      <c r="A513" s="129">
        <v>672.93</v>
      </c>
      <c r="B513" s="130">
        <v>28201.959300189501</v>
      </c>
      <c r="C513" s="131">
        <v>390.9</v>
      </c>
      <c r="D513" s="130">
        <v>10</v>
      </c>
      <c r="E513" s="124" t="s">
        <v>1126</v>
      </c>
      <c r="F513" s="129"/>
      <c r="G513" s="129"/>
      <c r="H513" s="131"/>
      <c r="I513" s="124"/>
      <c r="J513" s="31"/>
      <c r="L513" s="125"/>
      <c r="M513" s="126"/>
      <c r="N513" s="26"/>
    </row>
    <row r="514" spans="1:14" ht="20" customHeight="1">
      <c r="A514" s="129">
        <v>675.42</v>
      </c>
      <c r="B514" s="130">
        <v>28358.497662907899</v>
      </c>
      <c r="C514" s="131">
        <v>420.1</v>
      </c>
      <c r="D514" s="130">
        <v>10</v>
      </c>
      <c r="E514" s="124" t="s">
        <v>1126</v>
      </c>
      <c r="F514" s="129"/>
      <c r="G514" s="129"/>
      <c r="H514" s="131"/>
      <c r="I514" s="124"/>
      <c r="J514" s="31"/>
      <c r="L514" s="125"/>
      <c r="M514" s="126"/>
      <c r="N514" s="26"/>
    </row>
    <row r="515" spans="1:14" ht="20" customHeight="1">
      <c r="A515" s="121">
        <v>677.91000000000008</v>
      </c>
      <c r="B515" s="122">
        <v>28545.330147122899</v>
      </c>
      <c r="C515" s="123">
        <v>451.59754750000002</v>
      </c>
      <c r="D515" s="122">
        <v>3</v>
      </c>
      <c r="E515" s="124" t="s">
        <v>1065</v>
      </c>
      <c r="F515" s="121"/>
      <c r="G515" s="122"/>
      <c r="H515" s="123"/>
      <c r="I515" s="124"/>
      <c r="J515" s="31"/>
      <c r="L515" s="125"/>
      <c r="M515" s="126"/>
      <c r="N515" s="26"/>
    </row>
    <row r="516" spans="1:14" ht="20" customHeight="1">
      <c r="A516" s="129">
        <v>678.38</v>
      </c>
      <c r="B516" s="130">
        <v>28588.330137986599</v>
      </c>
      <c r="C516" s="131">
        <v>460.6</v>
      </c>
      <c r="D516" s="130">
        <v>10</v>
      </c>
      <c r="E516" s="124" t="s">
        <v>1126</v>
      </c>
      <c r="F516" s="129"/>
      <c r="G516" s="129"/>
      <c r="H516" s="131"/>
      <c r="I516" s="124"/>
      <c r="J516" s="31"/>
      <c r="L516" s="125"/>
      <c r="M516" s="126"/>
      <c r="N516" s="26"/>
    </row>
    <row r="517" spans="1:14" ht="20" customHeight="1">
      <c r="A517" s="129">
        <v>681.4</v>
      </c>
      <c r="B517" s="130">
        <v>28864.692652792201</v>
      </c>
      <c r="C517" s="131">
        <v>439.8</v>
      </c>
      <c r="D517" s="130">
        <v>10</v>
      </c>
      <c r="E517" s="124" t="s">
        <v>1126</v>
      </c>
      <c r="F517" s="129"/>
      <c r="G517" s="129"/>
      <c r="H517" s="131"/>
      <c r="I517" s="124"/>
      <c r="J517" s="31"/>
      <c r="L517" s="125"/>
      <c r="M517" s="126"/>
      <c r="N517" s="26"/>
    </row>
    <row r="518" spans="1:14" ht="20" customHeight="1">
      <c r="A518" s="121">
        <v>684.33999999999992</v>
      </c>
      <c r="B518" s="122">
        <v>29113.493566197802</v>
      </c>
      <c r="C518" s="123">
        <v>394.25562300000001</v>
      </c>
      <c r="D518" s="122">
        <v>3</v>
      </c>
      <c r="E518" s="124" t="s">
        <v>1065</v>
      </c>
      <c r="F518" s="121"/>
      <c r="G518" s="122"/>
      <c r="H518" s="123"/>
      <c r="I518" s="124"/>
      <c r="J518" s="31"/>
      <c r="L518" s="125"/>
      <c r="M518" s="126"/>
      <c r="N518" s="26"/>
    </row>
    <row r="519" spans="1:14" ht="20" customHeight="1">
      <c r="A519" s="129">
        <v>687.4</v>
      </c>
      <c r="B519" s="130">
        <v>29355.66104454</v>
      </c>
      <c r="C519" s="131">
        <v>387.6</v>
      </c>
      <c r="D519" s="130">
        <v>10</v>
      </c>
      <c r="E519" s="124" t="s">
        <v>1126</v>
      </c>
      <c r="F519" s="129"/>
      <c r="G519" s="129"/>
      <c r="H519" s="131"/>
      <c r="I519" s="124"/>
      <c r="J519" s="31"/>
      <c r="L519" s="125"/>
      <c r="M519" s="126"/>
      <c r="N519" s="26"/>
    </row>
    <row r="520" spans="1:14" ht="20" customHeight="1">
      <c r="A520" s="129">
        <v>690.68</v>
      </c>
      <c r="B520" s="130">
        <v>29622.660551684799</v>
      </c>
      <c r="C520" s="131">
        <v>404.7</v>
      </c>
      <c r="D520" s="130">
        <v>10</v>
      </c>
      <c r="E520" s="124" t="s">
        <v>1126</v>
      </c>
      <c r="F520" s="129"/>
      <c r="G520" s="129"/>
      <c r="H520" s="131"/>
      <c r="I520" s="124"/>
      <c r="J520" s="31"/>
      <c r="L520" s="125"/>
      <c r="M520" s="126"/>
      <c r="N520" s="26"/>
    </row>
    <row r="521" spans="1:14" ht="20" customHeight="1">
      <c r="A521" s="121">
        <v>691.32999999999993</v>
      </c>
      <c r="B521" s="122">
        <v>29678.225025084001</v>
      </c>
      <c r="C521" s="123">
        <v>399.08128740000001</v>
      </c>
      <c r="D521" s="122">
        <v>3</v>
      </c>
      <c r="E521" s="124" t="s">
        <v>1065</v>
      </c>
      <c r="F521" s="121"/>
      <c r="G521" s="122"/>
      <c r="H521" s="123"/>
      <c r="I521" s="124"/>
      <c r="J521" s="31"/>
      <c r="L521" s="125"/>
      <c r="M521" s="126"/>
      <c r="N521" s="26"/>
    </row>
    <row r="522" spans="1:14" ht="20" customHeight="1">
      <c r="A522" s="125">
        <v>691.95</v>
      </c>
      <c r="B522" s="127">
        <v>29730.793188830899</v>
      </c>
      <c r="C522" s="128">
        <v>399.2</v>
      </c>
      <c r="D522" s="144">
        <v>6</v>
      </c>
      <c r="E522" s="124" t="s">
        <v>1067</v>
      </c>
      <c r="F522" s="125"/>
      <c r="G522" s="125"/>
      <c r="H522" s="128"/>
      <c r="I522" s="124"/>
      <c r="J522" s="31"/>
      <c r="L522" s="125"/>
      <c r="M522" s="126"/>
      <c r="N522" s="26"/>
    </row>
    <row r="523" spans="1:14" ht="20" customHeight="1">
      <c r="A523" s="121">
        <v>698.26</v>
      </c>
      <c r="B523" s="122">
        <v>30214.892684553801</v>
      </c>
      <c r="C523" s="123">
        <v>400.38455069999998</v>
      </c>
      <c r="D523" s="122">
        <v>3</v>
      </c>
      <c r="E523" s="124" t="s">
        <v>1065</v>
      </c>
      <c r="F523" s="121"/>
      <c r="G523" s="122"/>
      <c r="H523" s="123"/>
      <c r="I523" s="124"/>
      <c r="J523" s="31"/>
      <c r="L523" s="125"/>
      <c r="M523" s="126"/>
      <c r="N523" s="26"/>
    </row>
    <row r="524" spans="1:14" ht="20" customHeight="1">
      <c r="A524" s="125">
        <v>704.84</v>
      </c>
      <c r="B524" s="127">
        <v>30786.657528877298</v>
      </c>
      <c r="C524" s="128">
        <v>411.3</v>
      </c>
      <c r="D524" s="144">
        <v>6</v>
      </c>
      <c r="E524" s="124" t="s">
        <v>1067</v>
      </c>
      <c r="F524" s="125"/>
      <c r="G524" s="125"/>
      <c r="H524" s="128"/>
      <c r="I524" s="124"/>
      <c r="J524" s="31"/>
      <c r="L524" s="125"/>
      <c r="M524" s="126"/>
      <c r="N524" s="26"/>
    </row>
    <row r="525" spans="1:14" ht="20" customHeight="1">
      <c r="A525" s="121">
        <v>704.96</v>
      </c>
      <c r="B525" s="122">
        <v>30797.142656989799</v>
      </c>
      <c r="C525" s="123">
        <v>407.05510700000002</v>
      </c>
      <c r="D525" s="122">
        <v>3</v>
      </c>
      <c r="E525" s="124" t="s">
        <v>1065</v>
      </c>
      <c r="F525" s="121"/>
      <c r="G525" s="122"/>
      <c r="H525" s="123"/>
      <c r="I525" s="124"/>
      <c r="J525" s="31"/>
      <c r="L525" s="125"/>
      <c r="M525" s="126"/>
      <c r="N525" s="26"/>
    </row>
    <row r="526" spans="1:14" ht="20" customHeight="1">
      <c r="A526" s="125">
        <v>709.79</v>
      </c>
      <c r="B526" s="127">
        <v>31215.340005070899</v>
      </c>
      <c r="C526" s="128">
        <v>410.4</v>
      </c>
      <c r="D526" s="144">
        <v>6</v>
      </c>
      <c r="E526" s="124" t="s">
        <v>1067</v>
      </c>
      <c r="F526" s="125"/>
      <c r="G526" s="125"/>
      <c r="H526" s="128"/>
      <c r="I526" s="124"/>
      <c r="J526" s="31"/>
      <c r="L526" s="125"/>
      <c r="M526" s="126"/>
      <c r="N526" s="26"/>
    </row>
    <row r="527" spans="1:14" ht="20" customHeight="1">
      <c r="A527" s="121">
        <v>711.8599999999999</v>
      </c>
      <c r="B527" s="122">
        <v>31391.086649645302</v>
      </c>
      <c r="C527" s="123">
        <v>411.62912189999997</v>
      </c>
      <c r="D527" s="122">
        <v>3</v>
      </c>
      <c r="E527" s="124" t="s">
        <v>1065</v>
      </c>
      <c r="F527" s="121"/>
      <c r="G527" s="122"/>
      <c r="H527" s="123"/>
      <c r="I527" s="124"/>
      <c r="J527" s="31"/>
      <c r="L527" s="125"/>
      <c r="M527" s="126"/>
      <c r="N527" s="26"/>
    </row>
    <row r="528" spans="1:14" ht="20" customHeight="1">
      <c r="A528" s="121">
        <v>718.54</v>
      </c>
      <c r="B528" s="122">
        <v>31992.178801881</v>
      </c>
      <c r="C528" s="123">
        <v>435.2637297</v>
      </c>
      <c r="D528" s="122">
        <v>3</v>
      </c>
      <c r="E528" s="124" t="s">
        <v>1065</v>
      </c>
      <c r="F528" s="121"/>
      <c r="G528" s="122"/>
      <c r="H528" s="123"/>
      <c r="I528" s="124"/>
      <c r="J528" s="31"/>
      <c r="L528" s="125"/>
      <c r="M528" s="126"/>
      <c r="N528" s="26"/>
    </row>
    <row r="529" spans="1:14" ht="20" customHeight="1">
      <c r="A529" s="125">
        <v>719.53</v>
      </c>
      <c r="B529" s="127">
        <v>32082.032237995802</v>
      </c>
      <c r="C529" s="128">
        <v>475.4</v>
      </c>
      <c r="D529" s="144">
        <v>6</v>
      </c>
      <c r="E529" s="124" t="s">
        <v>1067</v>
      </c>
      <c r="F529" s="125"/>
      <c r="G529" s="125"/>
      <c r="H529" s="128"/>
      <c r="I529" s="124"/>
      <c r="J529" s="31"/>
      <c r="L529" s="125"/>
      <c r="M529" s="126"/>
      <c r="N529" s="26"/>
    </row>
    <row r="530" spans="1:14" ht="20" customHeight="1">
      <c r="A530" s="129">
        <v>720.53</v>
      </c>
      <c r="B530" s="130">
        <v>32168.695437021801</v>
      </c>
      <c r="C530" s="131">
        <v>469.9</v>
      </c>
      <c r="D530" s="130">
        <v>10</v>
      </c>
      <c r="E530" s="124" t="s">
        <v>1126</v>
      </c>
      <c r="F530" s="129"/>
      <c r="G530" s="129"/>
      <c r="H530" s="131"/>
      <c r="I530" s="124"/>
      <c r="J530" s="31"/>
      <c r="L530" s="125"/>
      <c r="M530" s="126"/>
      <c r="N530" s="26"/>
    </row>
    <row r="531" spans="1:14" ht="20" customHeight="1">
      <c r="A531" s="129">
        <v>723.58</v>
      </c>
      <c r="B531" s="130">
        <v>32414.896596727001</v>
      </c>
      <c r="C531" s="131">
        <v>492.7</v>
      </c>
      <c r="D531" s="130">
        <v>10</v>
      </c>
      <c r="E531" s="124" t="s">
        <v>1126</v>
      </c>
      <c r="F531" s="129"/>
      <c r="G531" s="129"/>
      <c r="H531" s="131"/>
      <c r="I531" s="124"/>
      <c r="J531" s="31"/>
      <c r="L531" s="125"/>
      <c r="M531" s="126"/>
      <c r="N531" s="26"/>
    </row>
    <row r="532" spans="1:14" ht="20" customHeight="1">
      <c r="A532" s="121">
        <v>725.61999999999989</v>
      </c>
      <c r="B532" s="122">
        <v>32584.590984541501</v>
      </c>
      <c r="C532" s="123">
        <v>418.0784256</v>
      </c>
      <c r="D532" s="122">
        <v>3</v>
      </c>
      <c r="E532" s="124" t="s">
        <v>1065</v>
      </c>
      <c r="F532" s="121"/>
      <c r="G532" s="122"/>
      <c r="H532" s="123"/>
      <c r="I532" s="124"/>
      <c r="J532" s="31"/>
      <c r="L532" s="125"/>
      <c r="M532" s="126"/>
      <c r="N532" s="26"/>
    </row>
    <row r="533" spans="1:14" ht="20" customHeight="1">
      <c r="A533" s="129">
        <v>726.58</v>
      </c>
      <c r="B533" s="130">
        <v>32659.5098037061</v>
      </c>
      <c r="C533" s="131">
        <v>415.6</v>
      </c>
      <c r="D533" s="130">
        <v>10</v>
      </c>
      <c r="E533" s="124" t="s">
        <v>1126</v>
      </c>
      <c r="F533" s="129"/>
      <c r="G533" s="129"/>
      <c r="H533" s="131"/>
      <c r="I533" s="124"/>
      <c r="J533" s="31"/>
      <c r="L533" s="125"/>
      <c r="M533" s="126"/>
      <c r="N533" s="26"/>
    </row>
    <row r="534" spans="1:14" ht="20" customHeight="1">
      <c r="A534" s="129">
        <v>728.98</v>
      </c>
      <c r="B534" s="130">
        <v>32833.0094886445</v>
      </c>
      <c r="C534" s="131">
        <v>421.9</v>
      </c>
      <c r="D534" s="130">
        <v>10</v>
      </c>
      <c r="E534" s="124" t="s">
        <v>1126</v>
      </c>
      <c r="F534" s="129"/>
      <c r="G534" s="129"/>
      <c r="H534" s="131"/>
      <c r="I534" s="124"/>
      <c r="J534" s="31"/>
      <c r="L534" s="125"/>
      <c r="M534" s="126"/>
      <c r="N534" s="26"/>
    </row>
    <row r="535" spans="1:14" ht="20" customHeight="1">
      <c r="A535" s="129">
        <v>731.53</v>
      </c>
      <c r="B535" s="130">
        <v>33015.890045059597</v>
      </c>
      <c r="C535" s="131">
        <v>423</v>
      </c>
      <c r="D535" s="130">
        <v>10</v>
      </c>
      <c r="E535" s="124" t="s">
        <v>1126</v>
      </c>
      <c r="F535" s="129"/>
      <c r="G535" s="129"/>
      <c r="H535" s="131"/>
      <c r="I535" s="124"/>
      <c r="J535" s="31"/>
      <c r="L535" s="125"/>
      <c r="M535" s="126"/>
      <c r="N535" s="26"/>
    </row>
    <row r="536" spans="1:14" ht="20" customHeight="1">
      <c r="A536" s="121">
        <v>732.56</v>
      </c>
      <c r="B536" s="122">
        <v>33092.899398255402</v>
      </c>
      <c r="C536" s="123">
        <v>422.86649569999997</v>
      </c>
      <c r="D536" s="122">
        <v>3</v>
      </c>
      <c r="E536" s="124" t="s">
        <v>1065</v>
      </c>
      <c r="F536" s="121"/>
      <c r="G536" s="122"/>
      <c r="H536" s="123"/>
      <c r="I536" s="124"/>
      <c r="J536" s="31"/>
      <c r="L536" s="125"/>
      <c r="M536" s="126"/>
      <c r="N536" s="26"/>
    </row>
    <row r="537" spans="1:14" ht="20" customHeight="1">
      <c r="A537" s="129">
        <v>734.03</v>
      </c>
      <c r="B537" s="130">
        <v>33203.999963546303</v>
      </c>
      <c r="C537" s="131">
        <v>426.4</v>
      </c>
      <c r="D537" s="130">
        <v>10</v>
      </c>
      <c r="E537" s="124" t="s">
        <v>1126</v>
      </c>
      <c r="F537" s="129"/>
      <c r="G537" s="129"/>
      <c r="H537" s="131"/>
      <c r="I537" s="124"/>
      <c r="J537" s="31"/>
      <c r="L537" s="125"/>
      <c r="M537" s="126"/>
      <c r="N537" s="26"/>
    </row>
    <row r="538" spans="1:14" ht="20" customHeight="1">
      <c r="A538" s="125">
        <v>734.56</v>
      </c>
      <c r="B538" s="127">
        <v>33244.047153473701</v>
      </c>
      <c r="C538" s="128">
        <v>435.8</v>
      </c>
      <c r="D538" s="144">
        <v>6</v>
      </c>
      <c r="E538" s="124" t="s">
        <v>1067</v>
      </c>
      <c r="F538" s="125"/>
      <c r="G538" s="125"/>
      <c r="H538" s="128"/>
      <c r="I538" s="124"/>
      <c r="J538" s="31"/>
      <c r="L538" s="125"/>
      <c r="M538" s="126"/>
      <c r="N538" s="26"/>
    </row>
    <row r="539" spans="1:14" ht="20" customHeight="1">
      <c r="A539" s="129">
        <v>737.03</v>
      </c>
      <c r="B539" s="130">
        <v>33430.589613093704</v>
      </c>
      <c r="C539" s="131">
        <v>468.9</v>
      </c>
      <c r="D539" s="130">
        <v>10</v>
      </c>
      <c r="E539" s="124" t="s">
        <v>1126</v>
      </c>
      <c r="F539" s="129"/>
      <c r="G539" s="129"/>
      <c r="H539" s="131"/>
      <c r="I539" s="124"/>
      <c r="J539" s="31"/>
      <c r="L539" s="125"/>
      <c r="M539" s="126"/>
      <c r="N539" s="26"/>
    </row>
    <row r="540" spans="1:14" ht="20" customHeight="1">
      <c r="A540" s="121">
        <v>739.56</v>
      </c>
      <c r="B540" s="122">
        <v>33611.677908837497</v>
      </c>
      <c r="C540" s="123">
        <v>477.6637561</v>
      </c>
      <c r="D540" s="122">
        <v>3</v>
      </c>
      <c r="E540" s="124" t="s">
        <v>1065</v>
      </c>
      <c r="F540" s="121"/>
      <c r="G540" s="122"/>
      <c r="H540" s="123"/>
      <c r="I540" s="124"/>
      <c r="J540" s="31"/>
      <c r="L540" s="125"/>
      <c r="M540" s="126"/>
      <c r="N540" s="26"/>
    </row>
    <row r="541" spans="1:14" ht="20" customHeight="1">
      <c r="A541" s="129">
        <v>740.07</v>
      </c>
      <c r="B541" s="130">
        <v>33647.254883870097</v>
      </c>
      <c r="C541" s="131">
        <v>478.7</v>
      </c>
      <c r="D541" s="130">
        <v>10</v>
      </c>
      <c r="E541" s="124" t="s">
        <v>1126</v>
      </c>
      <c r="F541" s="129"/>
      <c r="G541" s="129"/>
      <c r="H541" s="131"/>
      <c r="I541" s="124"/>
      <c r="J541" s="31"/>
      <c r="L541" s="125"/>
      <c r="M541" s="126"/>
      <c r="N541" s="26"/>
    </row>
    <row r="542" spans="1:14" ht="20" customHeight="1">
      <c r="A542" s="129">
        <v>741.55</v>
      </c>
      <c r="B542" s="130">
        <v>33747.895565699699</v>
      </c>
      <c r="C542" s="131">
        <v>465.7</v>
      </c>
      <c r="D542" s="130">
        <v>10</v>
      </c>
      <c r="E542" s="124" t="s">
        <v>1126</v>
      </c>
      <c r="F542" s="129"/>
      <c r="G542" s="129"/>
      <c r="H542" s="131"/>
      <c r="I542" s="124"/>
      <c r="J542" s="31"/>
      <c r="L542" s="125"/>
      <c r="M542" s="126"/>
      <c r="N542" s="26"/>
    </row>
    <row r="543" spans="1:14" ht="20" customHeight="1">
      <c r="A543" s="129">
        <v>744.03</v>
      </c>
      <c r="B543" s="130">
        <v>33916.954712319101</v>
      </c>
      <c r="C543" s="131">
        <v>437.7</v>
      </c>
      <c r="D543" s="130">
        <v>10</v>
      </c>
      <c r="E543" s="124" t="s">
        <v>1126</v>
      </c>
      <c r="F543" s="129"/>
      <c r="G543" s="129"/>
      <c r="H543" s="131"/>
      <c r="I543" s="124"/>
      <c r="J543" s="31"/>
      <c r="L543" s="125"/>
      <c r="M543" s="126"/>
      <c r="N543" s="26"/>
    </row>
    <row r="544" spans="1:14" ht="20" customHeight="1">
      <c r="A544" s="125">
        <v>744.55</v>
      </c>
      <c r="B544" s="127">
        <v>33954.262903189199</v>
      </c>
      <c r="C544" s="128">
        <v>431.7</v>
      </c>
      <c r="D544" s="144">
        <v>6</v>
      </c>
      <c r="E544" s="124" t="s">
        <v>1067</v>
      </c>
      <c r="F544" s="125"/>
      <c r="G544" s="125"/>
      <c r="H544" s="128"/>
      <c r="I544" s="124"/>
      <c r="J544" s="31"/>
      <c r="L544" s="125"/>
      <c r="M544" s="126"/>
      <c r="N544" s="26"/>
    </row>
    <row r="545" spans="1:14" ht="20" customHeight="1">
      <c r="A545" s="121">
        <v>746.61999999999989</v>
      </c>
      <c r="B545" s="122">
        <v>34118.545179833702</v>
      </c>
      <c r="C545" s="123">
        <v>429.82985650000001</v>
      </c>
      <c r="D545" s="122">
        <v>3</v>
      </c>
      <c r="E545" s="124" t="s">
        <v>1065</v>
      </c>
      <c r="F545" s="121"/>
      <c r="G545" s="122"/>
      <c r="H545" s="123"/>
      <c r="I545" s="124"/>
      <c r="J545" s="31"/>
      <c r="L545" s="125"/>
      <c r="M545" s="126"/>
      <c r="N545" s="26"/>
    </row>
    <row r="546" spans="1:14" ht="20" customHeight="1">
      <c r="A546" s="129">
        <v>747.58</v>
      </c>
      <c r="B546" s="130">
        <v>34199.067339954599</v>
      </c>
      <c r="C546" s="131">
        <v>440</v>
      </c>
      <c r="D546" s="130">
        <v>10</v>
      </c>
      <c r="E546" s="124" t="s">
        <v>1126</v>
      </c>
      <c r="F546" s="129"/>
      <c r="G546" s="129"/>
      <c r="H546" s="131"/>
      <c r="I546" s="124"/>
      <c r="J546" s="31"/>
      <c r="L546" s="125"/>
      <c r="M546" s="126"/>
      <c r="N546" s="26"/>
    </row>
    <row r="547" spans="1:14" ht="20" customHeight="1">
      <c r="A547" s="129">
        <v>750.08</v>
      </c>
      <c r="B547" s="130">
        <v>34411.816568511596</v>
      </c>
      <c r="C547" s="131">
        <v>448.4</v>
      </c>
      <c r="D547" s="130">
        <v>10</v>
      </c>
      <c r="E547" s="124" t="s">
        <v>1126</v>
      </c>
      <c r="F547" s="129"/>
      <c r="G547" s="129"/>
      <c r="H547" s="131"/>
      <c r="I547" s="124"/>
      <c r="J547" s="31"/>
      <c r="L547" s="125"/>
      <c r="M547" s="126"/>
      <c r="N547" s="26"/>
    </row>
    <row r="548" spans="1:14" ht="20" customHeight="1">
      <c r="A548" s="129">
        <v>752.83</v>
      </c>
      <c r="B548" s="130">
        <v>34657.296382590903</v>
      </c>
      <c r="C548" s="131">
        <v>464.1</v>
      </c>
      <c r="D548" s="130">
        <v>10</v>
      </c>
      <c r="E548" s="124" t="s">
        <v>1126</v>
      </c>
      <c r="F548" s="129"/>
      <c r="G548" s="129"/>
      <c r="H548" s="131"/>
      <c r="I548" s="124"/>
      <c r="J548" s="31"/>
      <c r="L548" s="125"/>
      <c r="M548" s="126"/>
      <c r="N548" s="26"/>
    </row>
    <row r="549" spans="1:14" ht="20" customHeight="1">
      <c r="A549" s="121">
        <v>753.91000000000008</v>
      </c>
      <c r="B549" s="122">
        <v>34754.108796232998</v>
      </c>
      <c r="C549" s="123">
        <v>476.2800355</v>
      </c>
      <c r="D549" s="122">
        <v>3</v>
      </c>
      <c r="E549" s="124" t="s">
        <v>1065</v>
      </c>
      <c r="F549" s="121"/>
      <c r="G549" s="122"/>
      <c r="H549" s="123"/>
      <c r="I549" s="124"/>
      <c r="J549" s="31"/>
      <c r="L549" s="125"/>
      <c r="M549" s="126"/>
      <c r="N549" s="26"/>
    </row>
    <row r="550" spans="1:14" ht="20" customHeight="1">
      <c r="A550" s="125">
        <v>754.36</v>
      </c>
      <c r="B550" s="127">
        <v>34794.5013217382</v>
      </c>
      <c r="C550" s="128">
        <v>487.2</v>
      </c>
      <c r="D550" s="144">
        <v>6</v>
      </c>
      <c r="E550" s="124" t="s">
        <v>1067</v>
      </c>
      <c r="F550" s="125"/>
      <c r="G550" s="125"/>
      <c r="H550" s="128"/>
      <c r="I550" s="124"/>
      <c r="J550" s="31"/>
      <c r="L550" s="125"/>
      <c r="M550" s="126"/>
      <c r="N550" s="26"/>
    </row>
    <row r="551" spans="1:14" ht="20" customHeight="1">
      <c r="A551" s="129">
        <v>755.83</v>
      </c>
      <c r="B551" s="130">
        <v>34925.892702520097</v>
      </c>
      <c r="C551" s="131">
        <v>500.8</v>
      </c>
      <c r="D551" s="130">
        <v>10</v>
      </c>
      <c r="E551" s="124" t="s">
        <v>1126</v>
      </c>
      <c r="F551" s="129"/>
      <c r="G551" s="129"/>
      <c r="H551" s="131"/>
      <c r="I551" s="124"/>
      <c r="J551" s="31"/>
      <c r="L551" s="125"/>
      <c r="M551" s="126"/>
      <c r="N551" s="26"/>
    </row>
    <row r="552" spans="1:14" ht="20" customHeight="1">
      <c r="A552" s="129">
        <v>758.78</v>
      </c>
      <c r="B552" s="130">
        <v>35196.820940504702</v>
      </c>
      <c r="C552" s="131">
        <v>512.70000000000005</v>
      </c>
      <c r="D552" s="130">
        <v>10</v>
      </c>
      <c r="E552" s="124" t="s">
        <v>1126</v>
      </c>
      <c r="F552" s="129"/>
      <c r="G552" s="129"/>
      <c r="H552" s="131"/>
      <c r="I552" s="124"/>
      <c r="J552" s="31"/>
      <c r="L552" s="125"/>
      <c r="M552" s="126"/>
      <c r="N552" s="26"/>
    </row>
    <row r="553" spans="1:14" ht="20" customHeight="1">
      <c r="A553" s="121">
        <v>760.81</v>
      </c>
      <c r="B553" s="122">
        <v>35373.206361630699</v>
      </c>
      <c r="C553" s="123">
        <v>526.19467659999998</v>
      </c>
      <c r="D553" s="122">
        <v>3</v>
      </c>
      <c r="E553" s="124" t="s">
        <v>1065</v>
      </c>
      <c r="F553" s="121"/>
      <c r="G553" s="122"/>
      <c r="H553" s="123"/>
      <c r="I553" s="124"/>
      <c r="J553" s="31"/>
      <c r="L553" s="125"/>
      <c r="M553" s="126"/>
      <c r="N553" s="26"/>
    </row>
    <row r="554" spans="1:14" ht="20" customHeight="1">
      <c r="A554" s="129">
        <v>761.78</v>
      </c>
      <c r="B554" s="130">
        <v>35450.171506993604</v>
      </c>
      <c r="C554" s="131">
        <v>526</v>
      </c>
      <c r="D554" s="130">
        <v>10</v>
      </c>
      <c r="E554" s="124" t="s">
        <v>1126</v>
      </c>
      <c r="F554" s="129"/>
      <c r="G554" s="129"/>
      <c r="H554" s="131"/>
      <c r="I554" s="124"/>
      <c r="J554" s="31"/>
      <c r="L554" s="125"/>
      <c r="M554" s="126"/>
      <c r="N554" s="26"/>
    </row>
    <row r="555" spans="1:14" ht="20" customHeight="1">
      <c r="A555" s="125">
        <v>764.85</v>
      </c>
      <c r="B555" s="127">
        <v>35695.895136156898</v>
      </c>
      <c r="C555" s="128">
        <v>439.5</v>
      </c>
      <c r="D555" s="144">
        <v>6</v>
      </c>
      <c r="E555" s="124" t="s">
        <v>1067</v>
      </c>
      <c r="F555" s="125"/>
      <c r="G555" s="125"/>
      <c r="H555" s="128"/>
      <c r="I555" s="124"/>
      <c r="J555" s="31"/>
      <c r="L555" s="125"/>
      <c r="M555" s="126"/>
      <c r="N555" s="26"/>
    </row>
    <row r="556" spans="1:14" ht="20" customHeight="1">
      <c r="A556" s="129">
        <v>765.33</v>
      </c>
      <c r="B556" s="130">
        <v>35735.712434392903</v>
      </c>
      <c r="C556" s="131">
        <v>430.3</v>
      </c>
      <c r="D556" s="130">
        <v>10</v>
      </c>
      <c r="E556" s="124" t="s">
        <v>1126</v>
      </c>
      <c r="F556" s="129"/>
      <c r="G556" s="129"/>
      <c r="H556" s="131"/>
      <c r="I556" s="124"/>
      <c r="J556" s="31"/>
      <c r="L556" s="125"/>
      <c r="M556" s="126"/>
      <c r="N556" s="26"/>
    </row>
    <row r="557" spans="1:14" ht="20" customHeight="1">
      <c r="A557" s="121">
        <v>768.84999999999991</v>
      </c>
      <c r="B557" s="122">
        <v>36035.819669131102</v>
      </c>
      <c r="C557" s="123">
        <v>433.99108419999999</v>
      </c>
      <c r="D557" s="122">
        <v>3</v>
      </c>
      <c r="E557" s="124" t="s">
        <v>1065</v>
      </c>
      <c r="F557" s="121"/>
      <c r="G557" s="122"/>
      <c r="H557" s="123"/>
      <c r="I557" s="124"/>
      <c r="J557" s="31"/>
      <c r="L557" s="125"/>
      <c r="M557" s="126"/>
      <c r="N557" s="26"/>
    </row>
    <row r="558" spans="1:14" ht="20" customHeight="1">
      <c r="A558" s="129">
        <v>771.98</v>
      </c>
      <c r="B558" s="130">
        <v>36276.243570884602</v>
      </c>
      <c r="C558" s="131">
        <v>455.7</v>
      </c>
      <c r="D558" s="130">
        <v>10</v>
      </c>
      <c r="E558" s="124" t="s">
        <v>1126</v>
      </c>
      <c r="F558" s="129"/>
      <c r="G558" s="129"/>
      <c r="H558" s="131"/>
      <c r="I558" s="124"/>
      <c r="J558" s="31"/>
      <c r="L558" s="125"/>
      <c r="M558" s="126"/>
      <c r="N558" s="26"/>
    </row>
    <row r="559" spans="1:14" ht="20" customHeight="1">
      <c r="A559" s="121">
        <v>774.79</v>
      </c>
      <c r="B559" s="122">
        <v>36514.9308413865</v>
      </c>
      <c r="C559" s="123">
        <v>462.1487755</v>
      </c>
      <c r="D559" s="122">
        <v>3</v>
      </c>
      <c r="E559" s="124" t="s">
        <v>1065</v>
      </c>
      <c r="F559" s="121"/>
      <c r="G559" s="122"/>
      <c r="H559" s="123"/>
      <c r="I559" s="124"/>
      <c r="J559" s="31"/>
      <c r="L559" s="125"/>
      <c r="M559" s="126"/>
      <c r="N559" s="26"/>
    </row>
    <row r="560" spans="1:14" ht="20" customHeight="1">
      <c r="A560" s="125">
        <v>774.90499999999997</v>
      </c>
      <c r="B560" s="127">
        <v>36525.745662080502</v>
      </c>
      <c r="C560" s="128">
        <v>475.4</v>
      </c>
      <c r="D560" s="144">
        <v>6</v>
      </c>
      <c r="E560" s="124" t="s">
        <v>1067</v>
      </c>
      <c r="F560" s="125"/>
      <c r="G560" s="125"/>
      <c r="H560" s="128"/>
      <c r="I560" s="124"/>
      <c r="J560" s="31"/>
      <c r="L560" s="125"/>
      <c r="M560" s="126"/>
      <c r="N560" s="26"/>
    </row>
    <row r="561" spans="1:14" ht="20" customHeight="1">
      <c r="A561" s="129">
        <v>777.88</v>
      </c>
      <c r="B561" s="130">
        <v>36798.588659531903</v>
      </c>
      <c r="C561" s="131">
        <v>519.4</v>
      </c>
      <c r="D561" s="130">
        <v>10</v>
      </c>
      <c r="E561" s="124" t="s">
        <v>1126</v>
      </c>
      <c r="F561" s="129"/>
      <c r="G561" s="129"/>
      <c r="H561" s="131"/>
      <c r="I561" s="124"/>
      <c r="J561" s="31"/>
      <c r="L561" s="125"/>
      <c r="M561" s="126"/>
      <c r="N561" s="26"/>
    </row>
    <row r="562" spans="1:14" ht="20" customHeight="1">
      <c r="A562" s="129">
        <v>780.38</v>
      </c>
      <c r="B562" s="130">
        <v>37033.545594672898</v>
      </c>
      <c r="C562" s="131">
        <v>522.6</v>
      </c>
      <c r="D562" s="130">
        <v>10</v>
      </c>
      <c r="E562" s="124" t="s">
        <v>1126</v>
      </c>
      <c r="F562" s="129"/>
      <c r="G562" s="129"/>
      <c r="H562" s="131"/>
      <c r="I562" s="124"/>
      <c r="J562" s="31"/>
      <c r="L562" s="125"/>
      <c r="M562" s="126"/>
      <c r="N562" s="26"/>
    </row>
    <row r="563" spans="1:14" ht="20" customHeight="1">
      <c r="A563" s="121">
        <v>780.93000000000006</v>
      </c>
      <c r="B563" s="122">
        <v>37083.493205988103</v>
      </c>
      <c r="C563" s="123">
        <v>523.79357130000005</v>
      </c>
      <c r="D563" s="122">
        <v>3</v>
      </c>
      <c r="E563" s="124" t="s">
        <v>1065</v>
      </c>
      <c r="F563" s="121"/>
      <c r="G563" s="122"/>
      <c r="H563" s="123"/>
      <c r="I563" s="124"/>
      <c r="J563" s="31"/>
      <c r="L563" s="125"/>
      <c r="M563" s="126"/>
      <c r="N563" s="26"/>
    </row>
    <row r="564" spans="1:14" ht="20" customHeight="1">
      <c r="A564" s="129">
        <v>783.49</v>
      </c>
      <c r="B564" s="130">
        <v>37303.914342761498</v>
      </c>
      <c r="C564" s="131">
        <v>533</v>
      </c>
      <c r="D564" s="130">
        <v>10</v>
      </c>
      <c r="E564" s="124" t="s">
        <v>1126</v>
      </c>
      <c r="F564" s="129"/>
      <c r="G564" s="129"/>
      <c r="H564" s="131"/>
      <c r="I564" s="124"/>
      <c r="J564" s="31"/>
      <c r="L564" s="125"/>
      <c r="M564" s="126"/>
      <c r="N564" s="26"/>
    </row>
    <row r="565" spans="1:14" ht="20" customHeight="1">
      <c r="A565" s="125">
        <v>784.93499999999995</v>
      </c>
      <c r="B565" s="127">
        <v>37420.631743667298</v>
      </c>
      <c r="C565" s="128">
        <v>568.9</v>
      </c>
      <c r="D565" s="144">
        <v>6</v>
      </c>
      <c r="E565" s="124" t="s">
        <v>1067</v>
      </c>
      <c r="F565" s="125"/>
      <c r="G565" s="125"/>
      <c r="H565" s="128"/>
      <c r="I565" s="124"/>
      <c r="J565" s="31"/>
      <c r="L565" s="125"/>
      <c r="M565" s="126"/>
      <c r="N565" s="26"/>
    </row>
    <row r="566" spans="1:14" ht="20" customHeight="1">
      <c r="A566" s="129">
        <v>787.01</v>
      </c>
      <c r="B566" s="130">
        <v>37565.8631630335</v>
      </c>
      <c r="C566" s="131">
        <v>569.6</v>
      </c>
      <c r="D566" s="130">
        <v>10</v>
      </c>
      <c r="E566" s="124" t="s">
        <v>1126</v>
      </c>
      <c r="F566" s="129"/>
      <c r="G566" s="129"/>
      <c r="H566" s="131"/>
      <c r="I566" s="124"/>
      <c r="J566" s="31"/>
      <c r="L566" s="125"/>
      <c r="M566" s="126"/>
      <c r="N566" s="26"/>
    </row>
    <row r="567" spans="1:14" ht="20" customHeight="1">
      <c r="A567" s="121">
        <v>787.97</v>
      </c>
      <c r="B567" s="122">
        <v>37638.3485311193</v>
      </c>
      <c r="C567" s="123">
        <v>559.3729376</v>
      </c>
      <c r="D567" s="122">
        <v>3</v>
      </c>
      <c r="E567" s="124" t="s">
        <v>1065</v>
      </c>
      <c r="F567" s="121"/>
      <c r="G567" s="122"/>
      <c r="H567" s="123"/>
      <c r="I567" s="124"/>
      <c r="J567" s="31"/>
      <c r="L567" s="125"/>
      <c r="M567" s="126"/>
      <c r="N567" s="26"/>
    </row>
    <row r="568" spans="1:14" ht="20" customHeight="1">
      <c r="A568" s="129">
        <v>793</v>
      </c>
      <c r="B568" s="130">
        <v>38004.522834003001</v>
      </c>
      <c r="C568" s="131">
        <v>565</v>
      </c>
      <c r="D568" s="130">
        <v>10</v>
      </c>
      <c r="E568" s="124" t="s">
        <v>1126</v>
      </c>
      <c r="F568" s="129"/>
      <c r="G568" s="129"/>
      <c r="H568" s="131"/>
      <c r="I568" s="124"/>
      <c r="J568" s="31"/>
      <c r="L568" s="125"/>
      <c r="M568" s="126"/>
      <c r="N568" s="26"/>
    </row>
    <row r="569" spans="1:14" ht="20" customHeight="1">
      <c r="A569" s="121">
        <v>794.04</v>
      </c>
      <c r="B569" s="122">
        <v>38072.0140424532</v>
      </c>
      <c r="C569" s="123">
        <v>547.53759590000004</v>
      </c>
      <c r="D569" s="122">
        <v>3</v>
      </c>
      <c r="E569" s="124" t="s">
        <v>1065</v>
      </c>
      <c r="F569" s="121"/>
      <c r="G569" s="122"/>
      <c r="H569" s="123"/>
      <c r="I569" s="124"/>
      <c r="J569" s="31"/>
      <c r="L569" s="125"/>
      <c r="M569" s="126"/>
      <c r="N569" s="26"/>
    </row>
    <row r="570" spans="1:14" ht="20" customHeight="1">
      <c r="A570" s="125">
        <v>794.53</v>
      </c>
      <c r="B570" s="127">
        <v>38101.267138483898</v>
      </c>
      <c r="C570" s="128">
        <v>547.29999999999995</v>
      </c>
      <c r="D570" s="144">
        <v>6</v>
      </c>
      <c r="E570" s="124" t="s">
        <v>1067</v>
      </c>
      <c r="F570" s="125"/>
      <c r="G570" s="125"/>
      <c r="H570" s="128"/>
      <c r="I570" s="124"/>
      <c r="J570" s="31"/>
      <c r="L570" s="125"/>
      <c r="M570" s="126"/>
      <c r="N570" s="26"/>
    </row>
    <row r="571" spans="1:14" ht="20" customHeight="1">
      <c r="A571" s="129">
        <v>795.51</v>
      </c>
      <c r="B571" s="130">
        <v>38155.814403063203</v>
      </c>
      <c r="C571" s="131">
        <v>543.79999999999995</v>
      </c>
      <c r="D571" s="130">
        <v>10</v>
      </c>
      <c r="E571" s="124" t="s">
        <v>1126</v>
      </c>
      <c r="F571" s="129"/>
      <c r="G571" s="129"/>
      <c r="H571" s="131"/>
      <c r="I571" s="124"/>
      <c r="J571" s="31"/>
      <c r="L571" s="125"/>
      <c r="M571" s="126"/>
      <c r="N571" s="26"/>
    </row>
    <row r="572" spans="1:14" ht="20" customHeight="1">
      <c r="A572" s="129">
        <v>798.53</v>
      </c>
      <c r="B572" s="130">
        <v>38328.778311285801</v>
      </c>
      <c r="C572" s="131">
        <v>503.5</v>
      </c>
      <c r="D572" s="130">
        <v>10</v>
      </c>
      <c r="E572" s="124" t="s">
        <v>1126</v>
      </c>
      <c r="F572" s="129"/>
      <c r="G572" s="129"/>
      <c r="H572" s="131"/>
      <c r="I572" s="124"/>
      <c r="J572" s="31"/>
      <c r="L572" s="125"/>
      <c r="M572" s="126"/>
      <c r="N572" s="26"/>
    </row>
    <row r="573" spans="1:14" ht="20" customHeight="1">
      <c r="A573" s="121">
        <v>800.59500000000003</v>
      </c>
      <c r="B573" s="122">
        <v>38468.804152163</v>
      </c>
      <c r="C573" s="123">
        <v>444.66487740000002</v>
      </c>
      <c r="D573" s="122">
        <v>3</v>
      </c>
      <c r="E573" s="124" t="s">
        <v>1065</v>
      </c>
      <c r="F573" s="121"/>
      <c r="G573" s="122"/>
      <c r="H573" s="123"/>
      <c r="I573" s="124"/>
      <c r="J573" s="31"/>
      <c r="L573" s="125"/>
      <c r="M573" s="126"/>
      <c r="N573" s="26"/>
    </row>
    <row r="574" spans="1:14" ht="20" customHeight="1">
      <c r="A574" s="129">
        <v>804.08</v>
      </c>
      <c r="B574" s="130">
        <v>38723.599231480002</v>
      </c>
      <c r="C574" s="131">
        <v>444.9</v>
      </c>
      <c r="D574" s="130">
        <v>10</v>
      </c>
      <c r="E574" s="124" t="s">
        <v>1126</v>
      </c>
      <c r="F574" s="129"/>
      <c r="G574" s="129"/>
      <c r="H574" s="131"/>
      <c r="I574" s="124"/>
      <c r="J574" s="31"/>
      <c r="L574" s="125"/>
      <c r="M574" s="126"/>
      <c r="N574" s="26"/>
    </row>
    <row r="575" spans="1:14" ht="20" customHeight="1">
      <c r="A575" s="129">
        <v>807.09</v>
      </c>
      <c r="B575" s="130">
        <v>38944.2997343471</v>
      </c>
      <c r="C575" s="131">
        <v>444.8</v>
      </c>
      <c r="D575" s="130">
        <v>10</v>
      </c>
      <c r="E575" s="124" t="s">
        <v>1126</v>
      </c>
      <c r="F575" s="129"/>
      <c r="G575" s="129"/>
      <c r="H575" s="131"/>
      <c r="I575" s="124"/>
      <c r="J575" s="31"/>
      <c r="L575" s="125"/>
      <c r="M575" s="126"/>
      <c r="N575" s="26"/>
    </row>
    <row r="576" spans="1:14" ht="20" customHeight="1">
      <c r="A576" s="121">
        <v>807.49</v>
      </c>
      <c r="B576" s="122">
        <v>38971.412096903499</v>
      </c>
      <c r="C576" s="123">
        <v>444.21235819999998</v>
      </c>
      <c r="D576" s="122">
        <v>3</v>
      </c>
      <c r="E576" s="124" t="s">
        <v>1065</v>
      </c>
      <c r="F576" s="121"/>
      <c r="G576" s="122"/>
      <c r="H576" s="123"/>
      <c r="I576" s="124"/>
      <c r="J576" s="31"/>
      <c r="L576" s="125"/>
      <c r="M576" s="126"/>
      <c r="N576" s="26"/>
    </row>
    <row r="577" spans="1:14" ht="20" customHeight="1">
      <c r="A577" s="121">
        <v>813.95749999999998</v>
      </c>
      <c r="B577" s="122">
        <v>39392.560745153198</v>
      </c>
      <c r="C577" s="123">
        <v>435.89986850000003</v>
      </c>
      <c r="D577" s="122">
        <v>3</v>
      </c>
      <c r="E577" s="124" t="s">
        <v>1065</v>
      </c>
      <c r="F577" s="121"/>
      <c r="G577" s="122"/>
      <c r="H577" s="123"/>
      <c r="I577" s="124"/>
      <c r="J577" s="31"/>
      <c r="L577" s="125"/>
      <c r="M577" s="126"/>
      <c r="N577" s="26"/>
    </row>
    <row r="578" spans="1:14" ht="20" customHeight="1">
      <c r="A578" s="129">
        <v>814.03</v>
      </c>
      <c r="B578" s="130">
        <v>39397.024272554401</v>
      </c>
      <c r="C578" s="131">
        <v>447.4</v>
      </c>
      <c r="D578" s="130">
        <v>10</v>
      </c>
      <c r="E578" s="124" t="s">
        <v>1126</v>
      </c>
      <c r="F578" s="129"/>
      <c r="G578" s="129"/>
      <c r="H578" s="131"/>
      <c r="I578" s="124"/>
      <c r="J578" s="31"/>
      <c r="L578" s="125"/>
      <c r="M578" s="126"/>
      <c r="N578" s="26"/>
    </row>
    <row r="579" spans="1:14" ht="20" customHeight="1">
      <c r="A579" s="125">
        <v>814.55499999999995</v>
      </c>
      <c r="B579" s="127">
        <v>39431.464633788397</v>
      </c>
      <c r="C579" s="128">
        <v>451.2</v>
      </c>
      <c r="D579" s="144">
        <v>6</v>
      </c>
      <c r="E579" s="124" t="s">
        <v>1067</v>
      </c>
      <c r="F579" s="125"/>
      <c r="G579" s="125"/>
      <c r="H579" s="128"/>
      <c r="I579" s="124"/>
      <c r="J579" s="31"/>
      <c r="L579" s="125"/>
      <c r="M579" s="126"/>
      <c r="N579" s="26"/>
    </row>
    <row r="580" spans="1:14" ht="20" customHeight="1">
      <c r="A580" s="129">
        <v>816.53</v>
      </c>
      <c r="B580" s="130">
        <v>39565.792934426398</v>
      </c>
      <c r="C580" s="131">
        <v>442.4</v>
      </c>
      <c r="D580" s="130">
        <v>10</v>
      </c>
      <c r="E580" s="124" t="s">
        <v>1126</v>
      </c>
      <c r="F580" s="129"/>
      <c r="G580" s="129"/>
      <c r="H580" s="131"/>
      <c r="I580" s="124"/>
      <c r="J580" s="31"/>
      <c r="L580" s="125"/>
      <c r="M580" s="126"/>
      <c r="N580" s="26"/>
    </row>
    <row r="581" spans="1:14" ht="20" customHeight="1">
      <c r="A581" s="129">
        <v>819.48</v>
      </c>
      <c r="B581" s="130">
        <v>39772.068009492199</v>
      </c>
      <c r="C581" s="131">
        <v>428.4</v>
      </c>
      <c r="D581" s="130">
        <v>10</v>
      </c>
      <c r="E581" s="124" t="s">
        <v>1126</v>
      </c>
      <c r="F581" s="129"/>
      <c r="G581" s="129"/>
      <c r="H581" s="131"/>
      <c r="I581" s="124"/>
      <c r="J581" s="31"/>
      <c r="L581" s="125"/>
      <c r="M581" s="126"/>
      <c r="N581" s="26"/>
    </row>
    <row r="582" spans="1:14" ht="20" customHeight="1">
      <c r="A582" s="121">
        <v>820.57999999999993</v>
      </c>
      <c r="B582" s="122">
        <v>39849.414995532898</v>
      </c>
      <c r="C582" s="123">
        <v>419.67208340000002</v>
      </c>
      <c r="D582" s="122">
        <v>3</v>
      </c>
      <c r="E582" s="124" t="s">
        <v>1065</v>
      </c>
      <c r="F582" s="121"/>
      <c r="G582" s="122"/>
      <c r="H582" s="123"/>
      <c r="I582" s="124"/>
      <c r="J582" s="31"/>
      <c r="L582" s="125"/>
      <c r="M582" s="126"/>
      <c r="N582" s="26"/>
    </row>
    <row r="583" spans="1:14" ht="20" customHeight="1">
      <c r="A583" s="129">
        <v>821.57</v>
      </c>
      <c r="B583" s="130">
        <v>39920.5016643868</v>
      </c>
      <c r="C583" s="131">
        <v>419.7</v>
      </c>
      <c r="D583" s="130">
        <v>10</v>
      </c>
      <c r="E583" s="124" t="s">
        <v>1126</v>
      </c>
      <c r="F583" s="129"/>
      <c r="G583" s="129"/>
      <c r="H583" s="131"/>
      <c r="I583" s="124"/>
      <c r="J583" s="31"/>
      <c r="L583" s="125"/>
      <c r="M583" s="126"/>
      <c r="N583" s="26"/>
    </row>
    <row r="584" spans="1:14" ht="20" customHeight="1">
      <c r="A584" s="129">
        <v>824.53</v>
      </c>
      <c r="B584" s="130">
        <v>40120.627172672597</v>
      </c>
      <c r="C584" s="131">
        <v>433</v>
      </c>
      <c r="D584" s="130">
        <v>10</v>
      </c>
      <c r="E584" s="124" t="s">
        <v>1126</v>
      </c>
      <c r="F584" s="129"/>
      <c r="G584" s="129"/>
      <c r="H584" s="131"/>
      <c r="I584" s="124"/>
      <c r="J584" s="31"/>
      <c r="L584" s="125"/>
      <c r="M584" s="126"/>
      <c r="N584" s="26"/>
    </row>
    <row r="585" spans="1:14" ht="20" customHeight="1">
      <c r="A585" s="129">
        <v>826.58</v>
      </c>
      <c r="B585" s="130">
        <v>40273.558940158597</v>
      </c>
      <c r="C585" s="131">
        <v>436.1</v>
      </c>
      <c r="D585" s="130">
        <v>10</v>
      </c>
      <c r="E585" s="124" t="s">
        <v>1126</v>
      </c>
      <c r="F585" s="129"/>
      <c r="G585" s="129"/>
      <c r="H585" s="131"/>
      <c r="I585" s="124"/>
      <c r="J585" s="31"/>
      <c r="L585" s="125"/>
      <c r="M585" s="126"/>
      <c r="N585" s="26"/>
    </row>
    <row r="586" spans="1:14" ht="20" customHeight="1">
      <c r="A586" s="121">
        <v>827.1099999999999</v>
      </c>
      <c r="B586" s="122">
        <v>40317.336489972397</v>
      </c>
      <c r="C586" s="123">
        <v>427.7230874</v>
      </c>
      <c r="D586" s="122">
        <v>3</v>
      </c>
      <c r="E586" s="124" t="s">
        <v>1065</v>
      </c>
      <c r="F586" s="121"/>
      <c r="G586" s="122"/>
      <c r="H586" s="123"/>
      <c r="I586" s="124"/>
      <c r="J586" s="31"/>
      <c r="L586" s="125"/>
      <c r="M586" s="126"/>
      <c r="N586" s="26"/>
    </row>
    <row r="587" spans="1:14" ht="20" customHeight="1">
      <c r="A587" s="129">
        <v>829.08</v>
      </c>
      <c r="B587" s="130">
        <v>40487.523696324497</v>
      </c>
      <c r="C587" s="131">
        <v>428.3</v>
      </c>
      <c r="D587" s="130">
        <v>10</v>
      </c>
      <c r="E587" s="124" t="s">
        <v>1126</v>
      </c>
      <c r="F587" s="129"/>
      <c r="G587" s="129"/>
      <c r="H587" s="131"/>
      <c r="I587" s="124"/>
      <c r="J587" s="31"/>
      <c r="L587" s="125"/>
      <c r="M587" s="126"/>
      <c r="N587" s="26"/>
    </row>
    <row r="588" spans="1:14" ht="20" customHeight="1">
      <c r="A588" s="121">
        <v>833.1099999999999</v>
      </c>
      <c r="B588" s="122">
        <v>40833.037025922698</v>
      </c>
      <c r="C588" s="123">
        <v>430.8371568</v>
      </c>
      <c r="D588" s="122">
        <v>3</v>
      </c>
      <c r="E588" s="124" t="s">
        <v>1065</v>
      </c>
      <c r="F588" s="121"/>
      <c r="G588" s="122"/>
      <c r="H588" s="123"/>
      <c r="I588" s="124"/>
      <c r="J588" s="31"/>
      <c r="L588" s="125"/>
      <c r="M588" s="126"/>
      <c r="N588" s="26"/>
    </row>
    <row r="589" spans="1:14" ht="20" customHeight="1">
      <c r="A589" s="129">
        <v>834.08</v>
      </c>
      <c r="B589" s="130">
        <v>40915.261902394101</v>
      </c>
      <c r="C589" s="131">
        <v>444.7</v>
      </c>
      <c r="D589" s="130">
        <v>10</v>
      </c>
      <c r="E589" s="124" t="s">
        <v>1126</v>
      </c>
      <c r="F589" s="129"/>
      <c r="G589" s="129"/>
      <c r="H589" s="131"/>
      <c r="I589" s="124"/>
      <c r="J589" s="31"/>
      <c r="L589" s="125"/>
      <c r="M589" s="126"/>
      <c r="N589" s="26"/>
    </row>
    <row r="590" spans="1:14" ht="20" customHeight="1">
      <c r="A590" s="125">
        <v>834.99</v>
      </c>
      <c r="B590" s="127">
        <v>40993.744276866397</v>
      </c>
      <c r="C590" s="128">
        <v>443.5</v>
      </c>
      <c r="D590" s="144">
        <v>6</v>
      </c>
      <c r="E590" s="124" t="s">
        <v>1067</v>
      </c>
      <c r="F590" s="125"/>
      <c r="G590" s="125"/>
      <c r="H590" s="128"/>
      <c r="I590" s="124"/>
      <c r="J590" s="31"/>
      <c r="L590" s="125"/>
      <c r="M590" s="126"/>
      <c r="N590" s="26"/>
    </row>
    <row r="591" spans="1:14" ht="20" customHeight="1">
      <c r="A591" s="129">
        <v>836.58</v>
      </c>
      <c r="B591" s="130">
        <v>41116.483215676402</v>
      </c>
      <c r="C591" s="131">
        <v>443.3</v>
      </c>
      <c r="D591" s="130">
        <v>10</v>
      </c>
      <c r="E591" s="124" t="s">
        <v>1126</v>
      </c>
      <c r="F591" s="129"/>
      <c r="G591" s="129"/>
      <c r="H591" s="131"/>
      <c r="I591" s="124"/>
      <c r="J591" s="31"/>
      <c r="L591" s="125"/>
      <c r="M591" s="126"/>
      <c r="N591" s="26"/>
    </row>
    <row r="592" spans="1:14" ht="20" customHeight="1">
      <c r="A592" s="129">
        <v>839.09</v>
      </c>
      <c r="B592" s="130">
        <v>41296.639933655897</v>
      </c>
      <c r="C592" s="131">
        <v>480.9</v>
      </c>
      <c r="D592" s="130">
        <v>10</v>
      </c>
      <c r="E592" s="124" t="s">
        <v>1126</v>
      </c>
      <c r="F592" s="129"/>
      <c r="G592" s="129"/>
      <c r="H592" s="131"/>
      <c r="I592" s="124"/>
      <c r="J592" s="31"/>
      <c r="L592" s="125"/>
      <c r="M592" s="126"/>
      <c r="N592" s="26"/>
    </row>
    <row r="593" spans="1:14" ht="20" customHeight="1">
      <c r="A593" s="121">
        <v>839.5</v>
      </c>
      <c r="B593" s="122">
        <v>41325.9192466815</v>
      </c>
      <c r="C593" s="123">
        <v>474.67575770000002</v>
      </c>
      <c r="D593" s="122">
        <v>3</v>
      </c>
      <c r="E593" s="124" t="s">
        <v>1065</v>
      </c>
      <c r="F593" s="121"/>
      <c r="G593" s="122"/>
      <c r="H593" s="123"/>
      <c r="I593" s="124"/>
      <c r="J593" s="31"/>
      <c r="L593" s="125"/>
      <c r="M593" s="126"/>
      <c r="N593" s="26"/>
    </row>
    <row r="594" spans="1:14" ht="20" customHeight="1">
      <c r="A594" s="129">
        <v>842.04</v>
      </c>
      <c r="B594" s="130">
        <v>41505.6924125562</v>
      </c>
      <c r="C594" s="131">
        <v>460.3</v>
      </c>
      <c r="D594" s="130">
        <v>10</v>
      </c>
      <c r="E594" s="124" t="s">
        <v>1126</v>
      </c>
      <c r="F594" s="129"/>
      <c r="G594" s="129"/>
      <c r="H594" s="131"/>
      <c r="I594" s="124"/>
      <c r="J594" s="31"/>
      <c r="L594" s="125"/>
      <c r="M594" s="126"/>
      <c r="N594" s="26"/>
    </row>
    <row r="595" spans="1:14" ht="20" customHeight="1">
      <c r="A595" s="129">
        <v>845.09</v>
      </c>
      <c r="B595" s="130">
        <v>41751.773057127597</v>
      </c>
      <c r="C595" s="131">
        <v>413.5</v>
      </c>
      <c r="D595" s="130">
        <v>10</v>
      </c>
      <c r="E595" s="124" t="s">
        <v>1126</v>
      </c>
      <c r="F595" s="129"/>
      <c r="G595" s="129"/>
      <c r="H595" s="131"/>
      <c r="I595" s="124"/>
      <c r="J595" s="31"/>
      <c r="L595" s="125"/>
      <c r="M595" s="126"/>
      <c r="N595" s="26"/>
    </row>
    <row r="596" spans="1:14" ht="20" customHeight="1">
      <c r="A596" s="125">
        <v>845.62</v>
      </c>
      <c r="B596" s="127">
        <v>41800.5918451611</v>
      </c>
      <c r="C596" s="128">
        <v>416.6</v>
      </c>
      <c r="D596" s="144">
        <v>6</v>
      </c>
      <c r="E596" s="124" t="s">
        <v>1067</v>
      </c>
      <c r="F596" s="125"/>
      <c r="G596" s="125"/>
      <c r="H596" s="128"/>
      <c r="I596" s="124"/>
      <c r="J596" s="31"/>
      <c r="L596" s="125"/>
      <c r="M596" s="126"/>
      <c r="N596" s="26"/>
    </row>
    <row r="597" spans="1:14" ht="20" customHeight="1">
      <c r="A597" s="121">
        <v>846.11999999999989</v>
      </c>
      <c r="B597" s="122">
        <v>41845.7151916613</v>
      </c>
      <c r="C597" s="123">
        <v>416.36292350000002</v>
      </c>
      <c r="D597" s="122">
        <v>3</v>
      </c>
      <c r="E597" s="124" t="s">
        <v>1065</v>
      </c>
      <c r="F597" s="121"/>
      <c r="G597" s="122"/>
      <c r="H597" s="123"/>
      <c r="I597" s="124"/>
      <c r="J597" s="31"/>
      <c r="L597" s="125"/>
      <c r="M597" s="126"/>
      <c r="N597" s="26"/>
    </row>
    <row r="598" spans="1:14" ht="20" customHeight="1">
      <c r="A598" s="129">
        <v>851.54</v>
      </c>
      <c r="B598" s="130">
        <v>42267.732195942197</v>
      </c>
      <c r="C598" s="131">
        <v>435.2</v>
      </c>
      <c r="D598" s="130">
        <v>10</v>
      </c>
      <c r="E598" s="124" t="s">
        <v>1126</v>
      </c>
      <c r="F598" s="129"/>
      <c r="G598" s="129"/>
      <c r="H598" s="131"/>
      <c r="I598" s="124"/>
      <c r="J598" s="31"/>
      <c r="L598" s="125"/>
      <c r="M598" s="126"/>
      <c r="N598" s="26"/>
    </row>
    <row r="599" spans="1:14" ht="20" customHeight="1">
      <c r="A599" s="121">
        <v>853.45</v>
      </c>
      <c r="B599" s="122">
        <v>42418.332727501504</v>
      </c>
      <c r="C599" s="123">
        <v>441.61901779999999</v>
      </c>
      <c r="D599" s="122">
        <v>3</v>
      </c>
      <c r="E599" s="124" t="s">
        <v>1065</v>
      </c>
      <c r="F599" s="121"/>
      <c r="G599" s="122"/>
      <c r="H599" s="123"/>
      <c r="I599" s="124"/>
      <c r="J599" s="31"/>
      <c r="L599" s="125"/>
      <c r="M599" s="126"/>
      <c r="N599" s="26"/>
    </row>
    <row r="600" spans="1:14" ht="20" customHeight="1">
      <c r="A600" s="129">
        <v>853.54</v>
      </c>
      <c r="B600" s="130">
        <v>42425.553804691401</v>
      </c>
      <c r="C600" s="131">
        <v>456.1</v>
      </c>
      <c r="D600" s="130">
        <v>10</v>
      </c>
      <c r="E600" s="124" t="s">
        <v>1126</v>
      </c>
      <c r="F600" s="129"/>
      <c r="G600" s="129"/>
      <c r="H600" s="131"/>
      <c r="I600" s="124"/>
      <c r="J600" s="31"/>
      <c r="L600" s="125"/>
      <c r="M600" s="126"/>
      <c r="N600" s="26"/>
    </row>
    <row r="601" spans="1:14" ht="20" customHeight="1">
      <c r="A601" s="129">
        <v>857.63</v>
      </c>
      <c r="B601" s="130">
        <v>42768.661570824697</v>
      </c>
      <c r="C601" s="131">
        <v>498.5</v>
      </c>
      <c r="D601" s="130">
        <v>10</v>
      </c>
      <c r="E601" s="124" t="s">
        <v>1126</v>
      </c>
      <c r="F601" s="129"/>
      <c r="G601" s="129"/>
      <c r="H601" s="131"/>
      <c r="I601" s="124"/>
      <c r="J601" s="31"/>
      <c r="L601" s="125"/>
      <c r="M601" s="126"/>
      <c r="N601" s="26"/>
    </row>
    <row r="602" spans="1:14" ht="20" customHeight="1">
      <c r="A602" s="125">
        <v>859.66</v>
      </c>
      <c r="B602" s="127">
        <v>42978.016782218801</v>
      </c>
      <c r="C602" s="128">
        <v>491.9</v>
      </c>
      <c r="D602" s="144">
        <v>6</v>
      </c>
      <c r="E602" s="124" t="s">
        <v>1067</v>
      </c>
      <c r="F602" s="125"/>
      <c r="G602" s="125"/>
      <c r="H602" s="128"/>
      <c r="I602" s="124"/>
      <c r="J602" s="31"/>
      <c r="L602" s="125"/>
      <c r="M602" s="126"/>
      <c r="N602" s="26"/>
    </row>
    <row r="603" spans="1:14" ht="20" customHeight="1">
      <c r="A603" s="129">
        <v>860.05</v>
      </c>
      <c r="B603" s="130">
        <v>43019.034186185003</v>
      </c>
      <c r="C603" s="131">
        <v>487.2</v>
      </c>
      <c r="D603" s="130">
        <v>10</v>
      </c>
      <c r="E603" s="124" t="s">
        <v>1126</v>
      </c>
      <c r="F603" s="129"/>
      <c r="G603" s="129"/>
      <c r="H603" s="131"/>
      <c r="I603" s="124"/>
      <c r="J603" s="31"/>
      <c r="L603" s="125"/>
      <c r="M603" s="126"/>
      <c r="N603" s="26"/>
    </row>
    <row r="604" spans="1:14" ht="20" customHeight="1">
      <c r="A604" s="121">
        <v>860.95</v>
      </c>
      <c r="B604" s="122">
        <v>43115.165784539902</v>
      </c>
      <c r="C604" s="123">
        <v>483.91297400000002</v>
      </c>
      <c r="D604" s="122">
        <v>3</v>
      </c>
      <c r="E604" s="124" t="s">
        <v>1065</v>
      </c>
      <c r="F604" s="121"/>
      <c r="G604" s="122"/>
      <c r="H604" s="123"/>
      <c r="I604" s="124"/>
      <c r="J604" s="31"/>
      <c r="L604" s="125"/>
      <c r="M604" s="126"/>
      <c r="N604" s="26"/>
    </row>
    <row r="605" spans="1:14" ht="20" customHeight="1">
      <c r="A605" s="129">
        <v>862.53</v>
      </c>
      <c r="B605" s="130">
        <v>43279.9744420321</v>
      </c>
      <c r="C605" s="131">
        <v>490.1</v>
      </c>
      <c r="D605" s="130">
        <v>10</v>
      </c>
      <c r="E605" s="124" t="s">
        <v>1126</v>
      </c>
      <c r="F605" s="129"/>
      <c r="G605" s="129"/>
      <c r="H605" s="131"/>
      <c r="I605" s="124"/>
      <c r="J605" s="31"/>
      <c r="L605" s="125"/>
      <c r="M605" s="126"/>
      <c r="N605" s="26"/>
    </row>
    <row r="606" spans="1:14" ht="20" customHeight="1">
      <c r="A606" s="129">
        <v>865</v>
      </c>
      <c r="B606" s="130">
        <v>43516.904447620997</v>
      </c>
      <c r="C606" s="131">
        <v>458.9</v>
      </c>
      <c r="D606" s="130">
        <v>10</v>
      </c>
      <c r="E606" s="124" t="s">
        <v>1126</v>
      </c>
      <c r="F606" s="129"/>
      <c r="G606" s="129"/>
      <c r="H606" s="131"/>
      <c r="I606" s="124"/>
      <c r="J606" s="31"/>
      <c r="L606" s="125"/>
      <c r="M606" s="126"/>
      <c r="N606" s="26"/>
    </row>
    <row r="607" spans="1:14" ht="20" customHeight="1">
      <c r="A607" s="121">
        <v>867.4425</v>
      </c>
      <c r="B607" s="122">
        <v>43741.627708831104</v>
      </c>
      <c r="C607" s="123">
        <v>419.64360959999999</v>
      </c>
      <c r="D607" s="122">
        <v>3</v>
      </c>
      <c r="E607" s="124" t="s">
        <v>1065</v>
      </c>
      <c r="F607" s="121"/>
      <c r="G607" s="122"/>
      <c r="H607" s="123"/>
      <c r="I607" s="124"/>
      <c r="J607" s="31"/>
      <c r="L607" s="125"/>
      <c r="M607" s="126"/>
      <c r="N607" s="26"/>
    </row>
    <row r="608" spans="1:14" ht="20" customHeight="1">
      <c r="A608" s="129">
        <v>867.53</v>
      </c>
      <c r="B608" s="130">
        <v>43750.446822726102</v>
      </c>
      <c r="C608" s="131">
        <v>421.8</v>
      </c>
      <c r="D608" s="130">
        <v>10</v>
      </c>
      <c r="E608" s="124" t="s">
        <v>1126</v>
      </c>
      <c r="F608" s="129"/>
      <c r="G608" s="129"/>
      <c r="H608" s="131"/>
      <c r="I608" s="124"/>
      <c r="J608" s="31"/>
      <c r="L608" s="125"/>
      <c r="M608" s="126"/>
      <c r="N608" s="26"/>
    </row>
    <row r="609" spans="1:14" ht="20" customHeight="1">
      <c r="A609" s="121">
        <v>873.94</v>
      </c>
      <c r="B609" s="122">
        <v>44402.169419692997</v>
      </c>
      <c r="C609" s="123">
        <v>423.99331319999999</v>
      </c>
      <c r="D609" s="122">
        <v>3</v>
      </c>
      <c r="E609" s="124" t="s">
        <v>1065</v>
      </c>
      <c r="F609" s="121"/>
      <c r="G609" s="122"/>
      <c r="H609" s="123"/>
      <c r="I609" s="124"/>
      <c r="J609" s="31"/>
      <c r="L609" s="125"/>
      <c r="M609" s="126"/>
      <c r="N609" s="26"/>
    </row>
    <row r="610" spans="1:14" ht="20" customHeight="1">
      <c r="A610" s="125">
        <v>874.56</v>
      </c>
      <c r="B610" s="127">
        <v>44459.828721944497</v>
      </c>
      <c r="C610" s="128">
        <v>431.9</v>
      </c>
      <c r="D610" s="144">
        <v>6</v>
      </c>
      <c r="E610" s="124" t="s">
        <v>1067</v>
      </c>
      <c r="F610" s="125"/>
      <c r="G610" s="125"/>
      <c r="H610" s="128"/>
      <c r="I610" s="124"/>
      <c r="J610" s="31"/>
      <c r="L610" s="125"/>
      <c r="M610" s="126"/>
      <c r="N610" s="26"/>
    </row>
    <row r="611" spans="1:14" ht="20" customHeight="1">
      <c r="A611" s="129">
        <v>875.53</v>
      </c>
      <c r="B611" s="130">
        <v>44542.719201702101</v>
      </c>
      <c r="C611" s="131">
        <v>431.7</v>
      </c>
      <c r="D611" s="130">
        <v>10</v>
      </c>
      <c r="E611" s="124" t="s">
        <v>1126</v>
      </c>
      <c r="F611" s="129"/>
      <c r="G611" s="129"/>
      <c r="H611" s="131"/>
      <c r="I611" s="124"/>
      <c r="J611" s="31"/>
      <c r="L611" s="125"/>
      <c r="M611" s="126"/>
      <c r="N611" s="26"/>
    </row>
    <row r="612" spans="1:14" ht="20" customHeight="1">
      <c r="A612" s="129">
        <v>879.03</v>
      </c>
      <c r="B612" s="130">
        <v>44850.4762030005</v>
      </c>
      <c r="C612" s="131">
        <v>466</v>
      </c>
      <c r="D612" s="130">
        <v>10</v>
      </c>
      <c r="E612" s="124" t="s">
        <v>1126</v>
      </c>
      <c r="F612" s="129"/>
      <c r="G612" s="129"/>
      <c r="H612" s="131"/>
      <c r="I612" s="124"/>
      <c r="J612" s="31"/>
      <c r="L612" s="125"/>
      <c r="M612" s="126"/>
      <c r="N612" s="26"/>
    </row>
    <row r="613" spans="1:14" ht="20" customHeight="1">
      <c r="A613" s="121">
        <v>880.56</v>
      </c>
      <c r="B613" s="122">
        <v>44999.210572324097</v>
      </c>
      <c r="C613" s="123">
        <v>459.4831428</v>
      </c>
      <c r="D613" s="122">
        <v>3</v>
      </c>
      <c r="E613" s="124" t="s">
        <v>1065</v>
      </c>
      <c r="F613" s="121"/>
      <c r="G613" s="122"/>
      <c r="H613" s="123"/>
      <c r="I613" s="124"/>
      <c r="J613" s="31"/>
      <c r="L613" s="125"/>
      <c r="M613" s="126"/>
      <c r="N613" s="26"/>
    </row>
    <row r="614" spans="1:14" ht="20" customHeight="1">
      <c r="A614" s="129">
        <v>881.53</v>
      </c>
      <c r="B614" s="130">
        <v>45101.336154350298</v>
      </c>
      <c r="C614" s="131">
        <v>463.2</v>
      </c>
      <c r="D614" s="130">
        <v>10</v>
      </c>
      <c r="E614" s="124" t="s">
        <v>1126</v>
      </c>
      <c r="F614" s="129"/>
      <c r="G614" s="129"/>
      <c r="H614" s="131"/>
      <c r="I614" s="124"/>
      <c r="J614" s="31"/>
      <c r="L614" s="125"/>
      <c r="M614" s="126"/>
      <c r="N614" s="26"/>
    </row>
    <row r="615" spans="1:14" ht="20" customHeight="1">
      <c r="A615" s="125">
        <v>882.55</v>
      </c>
      <c r="B615" s="127">
        <v>45207.315001495299</v>
      </c>
      <c r="C615" s="128">
        <v>476.5</v>
      </c>
      <c r="D615" s="144">
        <v>6</v>
      </c>
      <c r="E615" s="124" t="s">
        <v>1067</v>
      </c>
      <c r="F615" s="125"/>
      <c r="G615" s="125"/>
      <c r="H615" s="128"/>
      <c r="I615" s="124"/>
      <c r="J615" s="31"/>
      <c r="L615" s="125"/>
      <c r="M615" s="126"/>
      <c r="N615" s="26"/>
    </row>
    <row r="616" spans="1:14" ht="20" customHeight="1">
      <c r="A616" s="129">
        <v>883.99</v>
      </c>
      <c r="B616" s="130">
        <v>45338.663638646598</v>
      </c>
      <c r="C616" s="131">
        <v>486.8</v>
      </c>
      <c r="D616" s="130">
        <v>10</v>
      </c>
      <c r="E616" s="124" t="s">
        <v>1126</v>
      </c>
      <c r="F616" s="129"/>
      <c r="G616" s="129"/>
      <c r="H616" s="131"/>
      <c r="I616" s="124"/>
      <c r="J616" s="31"/>
      <c r="L616" s="125"/>
      <c r="M616" s="126"/>
      <c r="N616" s="26"/>
    </row>
    <row r="617" spans="1:14" ht="20" customHeight="1">
      <c r="A617" s="129">
        <v>886.53</v>
      </c>
      <c r="B617" s="130">
        <v>45536.9944463383</v>
      </c>
      <c r="C617" s="131">
        <v>492.9</v>
      </c>
      <c r="D617" s="130">
        <v>10</v>
      </c>
      <c r="E617" s="124" t="s">
        <v>1126</v>
      </c>
      <c r="F617" s="129"/>
      <c r="G617" s="129"/>
      <c r="H617" s="131"/>
      <c r="I617" s="124"/>
      <c r="J617" s="31"/>
      <c r="L617" s="125"/>
      <c r="M617" s="126"/>
      <c r="N617" s="26"/>
    </row>
    <row r="618" spans="1:14" ht="20" customHeight="1">
      <c r="A618" s="121">
        <v>886.94</v>
      </c>
      <c r="B618" s="122">
        <v>45567.867958870302</v>
      </c>
      <c r="C618" s="123">
        <v>481.54055990000001</v>
      </c>
      <c r="D618" s="122">
        <v>3</v>
      </c>
      <c r="E618" s="124" t="s">
        <v>1065</v>
      </c>
      <c r="F618" s="121"/>
      <c r="G618" s="122"/>
      <c r="H618" s="123"/>
      <c r="I618" s="124"/>
      <c r="J618" s="31"/>
      <c r="L618" s="125"/>
      <c r="M618" s="126"/>
      <c r="N618" s="26"/>
    </row>
    <row r="619" spans="1:14" ht="20" customHeight="1">
      <c r="A619" s="129">
        <v>889.03</v>
      </c>
      <c r="B619" s="130">
        <v>45723.948123062699</v>
      </c>
      <c r="C619" s="131">
        <v>491.3</v>
      </c>
      <c r="D619" s="130">
        <v>10</v>
      </c>
      <c r="E619" s="124" t="s">
        <v>1126</v>
      </c>
      <c r="F619" s="129"/>
      <c r="G619" s="129"/>
      <c r="H619" s="131"/>
      <c r="I619" s="124"/>
      <c r="J619" s="31"/>
      <c r="L619" s="125"/>
      <c r="M619" s="126"/>
      <c r="N619" s="26"/>
    </row>
    <row r="620" spans="1:14" ht="20" customHeight="1">
      <c r="A620" s="125">
        <v>891.45</v>
      </c>
      <c r="B620" s="127">
        <v>45891.656872095897</v>
      </c>
      <c r="C620" s="128">
        <v>501.9</v>
      </c>
      <c r="D620" s="144">
        <v>6</v>
      </c>
      <c r="E620" s="124" t="s">
        <v>1067</v>
      </c>
      <c r="F620" s="125"/>
      <c r="G620" s="125"/>
      <c r="H620" s="128"/>
      <c r="I620" s="124"/>
      <c r="J620" s="31"/>
      <c r="L620" s="125"/>
      <c r="M620" s="126"/>
      <c r="N620" s="26"/>
    </row>
    <row r="621" spans="1:14" ht="20" customHeight="1">
      <c r="A621" s="129">
        <v>891.53</v>
      </c>
      <c r="B621" s="130">
        <v>45897.222562738403</v>
      </c>
      <c r="C621" s="131">
        <v>497.2</v>
      </c>
      <c r="D621" s="130">
        <v>10</v>
      </c>
      <c r="E621" s="124" t="s">
        <v>1126</v>
      </c>
      <c r="F621" s="129"/>
      <c r="G621" s="129"/>
      <c r="H621" s="131"/>
      <c r="I621" s="124"/>
      <c r="J621" s="31"/>
      <c r="L621" s="125"/>
      <c r="M621" s="126"/>
      <c r="N621" s="26"/>
    </row>
    <row r="622" spans="1:14" ht="20" customHeight="1">
      <c r="A622" s="121">
        <v>892.94</v>
      </c>
      <c r="B622" s="122">
        <v>45997.9678646463</v>
      </c>
      <c r="C622" s="123">
        <v>507.9366306</v>
      </c>
      <c r="D622" s="122">
        <v>3</v>
      </c>
      <c r="E622" s="124" t="s">
        <v>1065</v>
      </c>
      <c r="F622" s="121"/>
      <c r="G622" s="122"/>
      <c r="H622" s="123"/>
      <c r="I622" s="124"/>
      <c r="J622" s="31"/>
      <c r="L622" s="125"/>
      <c r="M622" s="126"/>
      <c r="N622" s="26"/>
    </row>
    <row r="623" spans="1:14" ht="20" customHeight="1">
      <c r="A623" s="129">
        <v>894.03</v>
      </c>
      <c r="B623" s="130">
        <v>46080.754749485997</v>
      </c>
      <c r="C623" s="131">
        <v>516.70000000000005</v>
      </c>
      <c r="D623" s="130">
        <v>10</v>
      </c>
      <c r="E623" s="124" t="s">
        <v>1126</v>
      </c>
      <c r="F623" s="129"/>
      <c r="G623" s="129"/>
      <c r="H623" s="131"/>
      <c r="I623" s="124"/>
      <c r="J623" s="31"/>
      <c r="L623" s="125"/>
      <c r="M623" s="126"/>
      <c r="N623" s="26"/>
    </row>
    <row r="624" spans="1:14" ht="20" customHeight="1">
      <c r="A624" s="129">
        <v>899.06</v>
      </c>
      <c r="B624" s="130">
        <v>46454.894603875699</v>
      </c>
      <c r="C624" s="131">
        <v>507.4</v>
      </c>
      <c r="D624" s="130">
        <v>10</v>
      </c>
      <c r="E624" s="124" t="s">
        <v>1126</v>
      </c>
      <c r="F624" s="129"/>
      <c r="G624" s="129"/>
      <c r="H624" s="131"/>
      <c r="I624" s="124"/>
      <c r="J624" s="31"/>
      <c r="L624" s="125"/>
      <c r="M624" s="126"/>
      <c r="N624" s="26"/>
    </row>
    <row r="625" spans="1:14" ht="20" customHeight="1">
      <c r="A625" s="121">
        <v>899.1400000000001</v>
      </c>
      <c r="B625" s="122">
        <v>46460.537920528601</v>
      </c>
      <c r="C625" s="123">
        <v>509.89463569999998</v>
      </c>
      <c r="D625" s="122">
        <v>3</v>
      </c>
      <c r="E625" s="124" t="s">
        <v>1065</v>
      </c>
      <c r="F625" s="121"/>
      <c r="G625" s="122"/>
      <c r="H625" s="123"/>
      <c r="I625" s="124"/>
      <c r="J625" s="31"/>
      <c r="L625" s="125"/>
      <c r="M625" s="126"/>
      <c r="N625" s="26"/>
    </row>
    <row r="626" spans="1:14" ht="20" customHeight="1">
      <c r="A626" s="129">
        <v>901.62</v>
      </c>
      <c r="B626" s="130">
        <v>46638.220984271997</v>
      </c>
      <c r="C626" s="131">
        <v>517.5</v>
      </c>
      <c r="D626" s="130">
        <v>10</v>
      </c>
      <c r="E626" s="124" t="s">
        <v>1126</v>
      </c>
      <c r="F626" s="129"/>
      <c r="G626" s="129"/>
      <c r="H626" s="131"/>
      <c r="I626" s="124"/>
      <c r="J626" s="31"/>
      <c r="L626" s="125"/>
      <c r="M626" s="126"/>
      <c r="N626" s="26"/>
    </row>
    <row r="627" spans="1:14" ht="20" customHeight="1">
      <c r="A627" s="129">
        <v>904.58</v>
      </c>
      <c r="B627" s="130">
        <v>46832.070929595298</v>
      </c>
      <c r="C627" s="131">
        <v>504.9</v>
      </c>
      <c r="D627" s="130">
        <v>10</v>
      </c>
      <c r="E627" s="124" t="s">
        <v>1126</v>
      </c>
      <c r="F627" s="129"/>
      <c r="G627" s="129"/>
      <c r="H627" s="131"/>
      <c r="I627" s="124"/>
      <c r="J627" s="31"/>
      <c r="L627" s="125"/>
      <c r="M627" s="126"/>
      <c r="N627" s="26"/>
    </row>
    <row r="628" spans="1:14" ht="20" customHeight="1">
      <c r="A628" s="121">
        <v>905.16000000000008</v>
      </c>
      <c r="B628" s="122">
        <v>46867.650916436702</v>
      </c>
      <c r="C628" s="123">
        <v>499.53941500000002</v>
      </c>
      <c r="D628" s="122">
        <v>3</v>
      </c>
      <c r="E628" s="124" t="s">
        <v>1065</v>
      </c>
      <c r="F628" s="121"/>
      <c r="G628" s="122"/>
      <c r="H628" s="123"/>
      <c r="I628" s="124"/>
      <c r="J628" s="31"/>
      <c r="L628" s="125"/>
      <c r="M628" s="126"/>
      <c r="N628" s="26"/>
    </row>
    <row r="629" spans="1:14" ht="20" customHeight="1">
      <c r="A629" s="129">
        <v>906.63</v>
      </c>
      <c r="B629" s="130">
        <v>46953.1537021205</v>
      </c>
      <c r="C629" s="131">
        <v>493</v>
      </c>
      <c r="D629" s="130">
        <v>10</v>
      </c>
      <c r="E629" s="124" t="s">
        <v>1126</v>
      </c>
      <c r="F629" s="129"/>
      <c r="G629" s="129"/>
      <c r="H629" s="131"/>
      <c r="I629" s="124"/>
      <c r="J629" s="31"/>
      <c r="L629" s="125"/>
      <c r="M629" s="126"/>
      <c r="N629" s="26"/>
    </row>
    <row r="630" spans="1:14" ht="20" customHeight="1">
      <c r="A630" s="129">
        <v>909.13</v>
      </c>
      <c r="B630" s="130">
        <v>47103.362079235201</v>
      </c>
      <c r="C630" s="131">
        <v>456.3</v>
      </c>
      <c r="D630" s="130">
        <v>10</v>
      </c>
      <c r="E630" s="124" t="s">
        <v>1126</v>
      </c>
      <c r="F630" s="129"/>
      <c r="G630" s="129"/>
      <c r="H630" s="131"/>
      <c r="I630" s="124"/>
      <c r="J630" s="31"/>
      <c r="L630" s="125"/>
      <c r="M630" s="126"/>
      <c r="N630" s="26"/>
    </row>
    <row r="631" spans="1:14" ht="20" customHeight="1">
      <c r="A631" s="129">
        <v>911.63</v>
      </c>
      <c r="B631" s="130">
        <v>47277.047123947203</v>
      </c>
      <c r="C631" s="131">
        <v>455.4</v>
      </c>
      <c r="D631" s="130">
        <v>10</v>
      </c>
      <c r="E631" s="124" t="s">
        <v>1126</v>
      </c>
      <c r="F631" s="129"/>
      <c r="G631" s="129"/>
      <c r="H631" s="131"/>
      <c r="I631" s="124"/>
      <c r="J631" s="31"/>
      <c r="L631" s="125"/>
      <c r="M631" s="126"/>
      <c r="N631" s="26"/>
    </row>
    <row r="632" spans="1:14" ht="20" customHeight="1">
      <c r="A632" s="121">
        <v>911.71</v>
      </c>
      <c r="B632" s="122">
        <v>47283.041463471702</v>
      </c>
      <c r="C632" s="123">
        <v>454.49002280000002</v>
      </c>
      <c r="D632" s="122">
        <v>3</v>
      </c>
      <c r="E632" s="124" t="s">
        <v>1065</v>
      </c>
      <c r="F632" s="121"/>
      <c r="G632" s="122"/>
      <c r="H632" s="123"/>
      <c r="I632" s="124"/>
      <c r="J632" s="31"/>
      <c r="L632" s="125"/>
      <c r="M632" s="126"/>
      <c r="N632" s="26"/>
    </row>
    <row r="633" spans="1:14" ht="20" customHeight="1">
      <c r="A633" s="121">
        <v>917.66000000000008</v>
      </c>
      <c r="B633" s="122">
        <v>47729.538187922299</v>
      </c>
      <c r="C633" s="123">
        <v>448.22337420000002</v>
      </c>
      <c r="D633" s="122">
        <v>3</v>
      </c>
      <c r="E633" s="124" t="s">
        <v>1065</v>
      </c>
      <c r="F633" s="121"/>
      <c r="G633" s="122"/>
      <c r="H633" s="123"/>
      <c r="I633" s="124"/>
      <c r="J633" s="31"/>
      <c r="L633" s="125"/>
      <c r="M633" s="126"/>
      <c r="N633" s="26"/>
    </row>
    <row r="634" spans="1:14" ht="20" customHeight="1">
      <c r="A634" s="129">
        <v>919.58</v>
      </c>
      <c r="B634" s="130">
        <v>47864.108447327897</v>
      </c>
      <c r="C634" s="131">
        <v>453</v>
      </c>
      <c r="D634" s="130">
        <v>10</v>
      </c>
      <c r="E634" s="124" t="s">
        <v>1126</v>
      </c>
      <c r="F634" s="129"/>
      <c r="G634" s="129"/>
      <c r="H634" s="131"/>
      <c r="I634" s="124"/>
      <c r="J634" s="31"/>
      <c r="L634" s="125"/>
      <c r="M634" s="126"/>
      <c r="N634" s="26"/>
    </row>
    <row r="635" spans="1:14" ht="20" customHeight="1">
      <c r="A635" s="129">
        <v>921.63</v>
      </c>
      <c r="B635" s="130">
        <v>48006.090170481999</v>
      </c>
      <c r="C635" s="131">
        <v>456.7</v>
      </c>
      <c r="D635" s="130">
        <v>10</v>
      </c>
      <c r="E635" s="124" t="s">
        <v>1126</v>
      </c>
      <c r="F635" s="129"/>
      <c r="G635" s="129"/>
      <c r="H635" s="131"/>
      <c r="I635" s="124"/>
      <c r="J635" s="31"/>
      <c r="L635" s="125"/>
      <c r="M635" s="126"/>
      <c r="N635" s="26"/>
    </row>
    <row r="636" spans="1:14" ht="20" customHeight="1">
      <c r="A636" s="129">
        <v>924.13</v>
      </c>
      <c r="B636" s="130">
        <v>48199.132221927997</v>
      </c>
      <c r="C636" s="131">
        <v>438.9</v>
      </c>
      <c r="D636" s="130">
        <v>10</v>
      </c>
      <c r="E636" s="124" t="s">
        <v>1126</v>
      </c>
      <c r="F636" s="129"/>
      <c r="G636" s="129"/>
      <c r="H636" s="131"/>
      <c r="I636" s="124"/>
      <c r="J636" s="31"/>
      <c r="L636" s="125"/>
      <c r="M636" s="126"/>
      <c r="N636" s="26"/>
    </row>
    <row r="637" spans="1:14" ht="20" customHeight="1">
      <c r="A637" s="121">
        <v>924.54</v>
      </c>
      <c r="B637" s="122">
        <v>48234.915833656501</v>
      </c>
      <c r="C637" s="123">
        <v>433.66631219999999</v>
      </c>
      <c r="D637" s="122">
        <v>3</v>
      </c>
      <c r="E637" s="124" t="s">
        <v>1065</v>
      </c>
      <c r="F637" s="121"/>
      <c r="G637" s="122"/>
      <c r="H637" s="123"/>
      <c r="I637" s="124"/>
      <c r="J637" s="31"/>
      <c r="L637" s="125"/>
      <c r="M637" s="126"/>
      <c r="N637" s="26"/>
    </row>
    <row r="638" spans="1:14" ht="20" customHeight="1">
      <c r="A638" s="125">
        <v>926.54499999999996</v>
      </c>
      <c r="B638" s="127">
        <v>48383.824451724802</v>
      </c>
      <c r="C638" s="128">
        <v>427.5</v>
      </c>
      <c r="D638" s="144">
        <v>6</v>
      </c>
      <c r="E638" s="124" t="s">
        <v>1067</v>
      </c>
      <c r="F638" s="125"/>
      <c r="G638" s="125"/>
      <c r="H638" s="128"/>
      <c r="I638" s="124"/>
      <c r="L638" s="132"/>
      <c r="M638" s="31"/>
      <c r="N638" s="26"/>
    </row>
    <row r="639" spans="1:14" ht="20" customHeight="1">
      <c r="A639" s="129">
        <v>926.63</v>
      </c>
      <c r="B639" s="130">
        <v>48389.197096823002</v>
      </c>
      <c r="C639" s="131">
        <v>438.9</v>
      </c>
      <c r="D639" s="130">
        <v>10</v>
      </c>
      <c r="E639" s="124" t="s">
        <v>1126</v>
      </c>
      <c r="F639" s="129"/>
      <c r="G639" s="129"/>
      <c r="H639" s="131"/>
      <c r="I639" s="124"/>
      <c r="J639" s="31"/>
      <c r="L639" s="125"/>
      <c r="M639" s="126"/>
      <c r="N639" s="26"/>
    </row>
    <row r="640" spans="1:14" ht="20" customHeight="1">
      <c r="A640" s="129">
        <v>929.11</v>
      </c>
      <c r="B640" s="130">
        <v>48573.866063777699</v>
      </c>
      <c r="C640" s="131">
        <v>440.1</v>
      </c>
      <c r="D640" s="130">
        <v>10</v>
      </c>
      <c r="E640" s="124" t="s">
        <v>1126</v>
      </c>
      <c r="F640" s="129"/>
      <c r="G640" s="129"/>
      <c r="H640" s="131"/>
      <c r="I640" s="124"/>
      <c r="J640" s="31"/>
      <c r="L640" s="125"/>
      <c r="M640" s="126"/>
      <c r="N640" s="26"/>
    </row>
    <row r="641" spans="1:14" ht="20" customHeight="1">
      <c r="A641" s="121">
        <v>930.66000000000008</v>
      </c>
      <c r="B641" s="122">
        <v>48708.762869491402</v>
      </c>
      <c r="C641" s="123">
        <v>441.5042785</v>
      </c>
      <c r="D641" s="122">
        <v>3</v>
      </c>
      <c r="E641" s="124" t="s">
        <v>1065</v>
      </c>
      <c r="F641" s="121"/>
      <c r="G641" s="122"/>
      <c r="H641" s="123"/>
      <c r="I641" s="124"/>
      <c r="J641" s="31"/>
      <c r="L641" s="125"/>
      <c r="M641" s="126"/>
      <c r="N641" s="26"/>
    </row>
    <row r="642" spans="1:14" ht="20" customHeight="1">
      <c r="A642" s="129">
        <v>932.11</v>
      </c>
      <c r="B642" s="130">
        <v>48848.737650984403</v>
      </c>
      <c r="C642" s="131">
        <v>469.7</v>
      </c>
      <c r="D642" s="130">
        <v>10</v>
      </c>
      <c r="E642" s="124" t="s">
        <v>1126</v>
      </c>
      <c r="F642" s="129"/>
      <c r="G642" s="129"/>
      <c r="H642" s="131"/>
      <c r="I642" s="124"/>
      <c r="J642" s="31"/>
      <c r="L642" s="125"/>
      <c r="M642" s="126"/>
      <c r="N642" s="26"/>
    </row>
    <row r="643" spans="1:14" ht="20" customHeight="1">
      <c r="A643" s="129">
        <v>934.58</v>
      </c>
      <c r="B643" s="130">
        <v>49099.635873862702</v>
      </c>
      <c r="C643" s="131">
        <v>451.1</v>
      </c>
      <c r="D643" s="130">
        <v>10</v>
      </c>
      <c r="E643" s="124" t="s">
        <v>1126</v>
      </c>
      <c r="F643" s="129"/>
      <c r="G643" s="129"/>
      <c r="H643" s="131"/>
      <c r="I643" s="124"/>
      <c r="J643" s="31"/>
      <c r="L643" s="125"/>
      <c r="M643" s="126"/>
      <c r="N643" s="26"/>
    </row>
    <row r="644" spans="1:14" ht="20" customHeight="1">
      <c r="A644" s="125">
        <v>934.66</v>
      </c>
      <c r="B644" s="127">
        <v>49107.492156143897</v>
      </c>
      <c r="C644" s="128">
        <v>456.8</v>
      </c>
      <c r="D644" s="144">
        <v>6</v>
      </c>
      <c r="E644" s="124" t="s">
        <v>1067</v>
      </c>
      <c r="F644" s="125"/>
      <c r="G644" s="125"/>
      <c r="H644" s="128"/>
      <c r="I644" s="124"/>
      <c r="J644" s="31"/>
      <c r="L644" s="125"/>
      <c r="M644" s="126"/>
      <c r="N644" s="26"/>
    </row>
    <row r="645" spans="1:14" ht="20" customHeight="1">
      <c r="A645" s="121">
        <v>936.69</v>
      </c>
      <c r="B645" s="122">
        <v>49296.305064369502</v>
      </c>
      <c r="C645" s="123">
        <v>454.32589080000002</v>
      </c>
      <c r="D645" s="122">
        <v>3</v>
      </c>
      <c r="E645" s="124" t="s">
        <v>1065</v>
      </c>
      <c r="F645" s="121"/>
      <c r="G645" s="122"/>
      <c r="H645" s="123"/>
      <c r="I645" s="124"/>
      <c r="J645" s="31"/>
      <c r="L645" s="125"/>
      <c r="M645" s="126"/>
      <c r="N645" s="26"/>
    </row>
    <row r="646" spans="1:14" ht="20" customHeight="1">
      <c r="A646" s="129">
        <v>937.08</v>
      </c>
      <c r="B646" s="130">
        <v>49330.120339758003</v>
      </c>
      <c r="C646" s="131">
        <v>479.4</v>
      </c>
      <c r="D646" s="130">
        <v>10</v>
      </c>
      <c r="E646" s="124" t="s">
        <v>1126</v>
      </c>
      <c r="F646" s="129"/>
      <c r="G646" s="129"/>
      <c r="H646" s="131"/>
      <c r="I646" s="124"/>
      <c r="J646" s="31"/>
      <c r="L646" s="125"/>
      <c r="M646" s="126"/>
      <c r="N646" s="26"/>
    </row>
    <row r="647" spans="1:14" ht="20" customHeight="1">
      <c r="A647" s="125">
        <v>939.6</v>
      </c>
      <c r="B647" s="127">
        <v>49532.184416955402</v>
      </c>
      <c r="C647" s="128">
        <v>447.2</v>
      </c>
      <c r="D647" s="144">
        <v>6</v>
      </c>
      <c r="E647" s="124" t="s">
        <v>1067</v>
      </c>
      <c r="F647" s="125"/>
      <c r="G647" s="125"/>
      <c r="H647" s="128"/>
      <c r="I647" s="124"/>
      <c r="J647" s="31"/>
      <c r="L647" s="125"/>
      <c r="M647" s="126"/>
      <c r="N647" s="26"/>
    </row>
    <row r="648" spans="1:14" ht="20" customHeight="1">
      <c r="A648" s="121">
        <v>943.6099999999999</v>
      </c>
      <c r="B648" s="122">
        <v>49876.039805427499</v>
      </c>
      <c r="C648" s="123">
        <v>469.0701861</v>
      </c>
      <c r="D648" s="122">
        <v>3</v>
      </c>
      <c r="E648" s="124" t="s">
        <v>1065</v>
      </c>
      <c r="F648" s="121"/>
      <c r="G648" s="122"/>
      <c r="H648" s="123"/>
      <c r="I648" s="124"/>
      <c r="J648" s="31"/>
      <c r="L648" s="125"/>
      <c r="M648" s="126"/>
      <c r="N648" s="26"/>
    </row>
    <row r="649" spans="1:14" ht="20" customHeight="1">
      <c r="A649" s="121">
        <v>950.58999999999992</v>
      </c>
      <c r="B649" s="122">
        <v>50652.459742052801</v>
      </c>
      <c r="C649" s="123">
        <v>488.97960640000002</v>
      </c>
      <c r="D649" s="122">
        <v>3</v>
      </c>
      <c r="E649" s="124" t="s">
        <v>1065</v>
      </c>
      <c r="F649" s="121"/>
      <c r="G649" s="122"/>
      <c r="H649" s="123"/>
      <c r="I649" s="124"/>
      <c r="J649" s="31"/>
      <c r="L649" s="125"/>
      <c r="M649" s="126"/>
      <c r="N649" s="26"/>
    </row>
    <row r="650" spans="1:14" ht="20" customHeight="1">
      <c r="A650" s="125">
        <v>954.22</v>
      </c>
      <c r="B650" s="127">
        <v>51063.269209250502</v>
      </c>
      <c r="C650" s="128">
        <v>495.5</v>
      </c>
      <c r="D650" s="144">
        <v>6</v>
      </c>
      <c r="E650" s="124" t="s">
        <v>1067</v>
      </c>
      <c r="F650" s="125"/>
      <c r="G650" s="125"/>
      <c r="H650" s="128"/>
      <c r="I650" s="124"/>
      <c r="J650" s="31"/>
      <c r="L650" s="125"/>
      <c r="M650" s="126"/>
      <c r="N650" s="26"/>
    </row>
    <row r="651" spans="1:14" ht="20" customHeight="1">
      <c r="A651" s="121">
        <v>956.71</v>
      </c>
      <c r="B651" s="122">
        <v>51323.796291492203</v>
      </c>
      <c r="C651" s="123">
        <v>504.15457700000002</v>
      </c>
      <c r="D651" s="122">
        <v>3</v>
      </c>
      <c r="E651" s="124" t="s">
        <v>1065</v>
      </c>
      <c r="F651" s="121"/>
      <c r="G651" s="122"/>
      <c r="H651" s="123"/>
      <c r="I651" s="124"/>
      <c r="J651" s="31"/>
      <c r="L651" s="125"/>
      <c r="M651" s="126"/>
      <c r="N651" s="26"/>
    </row>
    <row r="652" spans="1:14" ht="20" customHeight="1">
      <c r="A652" s="121">
        <v>962.71</v>
      </c>
      <c r="B652" s="122">
        <v>51954.394727718398</v>
      </c>
      <c r="C652" s="123">
        <v>528.86534219999999</v>
      </c>
      <c r="D652" s="122">
        <v>3</v>
      </c>
      <c r="E652" s="124" t="s">
        <v>1065</v>
      </c>
      <c r="F652" s="121"/>
      <c r="G652" s="122"/>
      <c r="H652" s="123"/>
      <c r="I652" s="124"/>
      <c r="J652" s="31"/>
      <c r="L652" s="125"/>
      <c r="M652" s="126"/>
      <c r="N652" s="26"/>
    </row>
    <row r="653" spans="1:14" ht="20" customHeight="1">
      <c r="A653" s="125">
        <v>964.7</v>
      </c>
      <c r="B653" s="127">
        <v>52149.777523479599</v>
      </c>
      <c r="C653" s="128">
        <v>539.79999999999995</v>
      </c>
      <c r="D653" s="144">
        <v>6</v>
      </c>
      <c r="E653" s="124" t="s">
        <v>1067</v>
      </c>
      <c r="F653" s="125"/>
      <c r="G653" s="125"/>
      <c r="H653" s="128"/>
      <c r="I653" s="124"/>
      <c r="J653" s="31"/>
      <c r="L653" s="125"/>
      <c r="M653" s="126"/>
      <c r="N653" s="26"/>
    </row>
    <row r="654" spans="1:14" ht="20" customHeight="1">
      <c r="A654" s="121">
        <v>969.1400000000001</v>
      </c>
      <c r="B654" s="122">
        <v>52585.244843296903</v>
      </c>
      <c r="C654" s="123">
        <v>539.84501020000005</v>
      </c>
      <c r="D654" s="122">
        <v>3</v>
      </c>
      <c r="E654" s="124" t="s">
        <v>1065</v>
      </c>
      <c r="F654" s="121"/>
      <c r="G654" s="122"/>
      <c r="H654" s="123"/>
      <c r="I654" s="124"/>
      <c r="J654" s="31"/>
      <c r="L654" s="125"/>
      <c r="M654" s="126"/>
      <c r="N654" s="26"/>
    </row>
    <row r="655" spans="1:14" ht="20" customHeight="1">
      <c r="A655" s="121">
        <v>974.6400000000001</v>
      </c>
      <c r="B655" s="122">
        <v>53157.822395031602</v>
      </c>
      <c r="C655" s="123">
        <v>544.79190210000002</v>
      </c>
      <c r="D655" s="122">
        <v>3</v>
      </c>
      <c r="E655" s="124" t="s">
        <v>1065</v>
      </c>
      <c r="F655" s="121"/>
      <c r="G655" s="122"/>
      <c r="H655" s="123"/>
      <c r="I655" s="124"/>
      <c r="J655" s="31"/>
      <c r="L655" s="125"/>
      <c r="M655" s="126"/>
      <c r="N655" s="26"/>
    </row>
    <row r="656" spans="1:14" ht="20" customHeight="1">
      <c r="A656" s="121">
        <v>980.76</v>
      </c>
      <c r="B656" s="122">
        <v>53666.475171507598</v>
      </c>
      <c r="C656" s="123">
        <v>547.77367679999998</v>
      </c>
      <c r="D656" s="122">
        <v>3</v>
      </c>
      <c r="E656" s="124" t="s">
        <v>1065</v>
      </c>
      <c r="F656" s="121"/>
      <c r="G656" s="122"/>
      <c r="H656" s="123"/>
      <c r="I656" s="124"/>
      <c r="J656" s="31"/>
      <c r="L656" s="125"/>
      <c r="M656" s="126"/>
      <c r="N656" s="26"/>
    </row>
    <row r="657" spans="1:14" ht="20" customHeight="1">
      <c r="A657" s="125">
        <v>984.81</v>
      </c>
      <c r="B657" s="127">
        <v>54020.927322845899</v>
      </c>
      <c r="C657" s="128">
        <v>537.9</v>
      </c>
      <c r="D657" s="144">
        <v>6</v>
      </c>
      <c r="E657" s="124" t="s">
        <v>1067</v>
      </c>
      <c r="F657" s="125"/>
      <c r="G657" s="125"/>
      <c r="H657" s="128"/>
      <c r="I657" s="124"/>
      <c r="J657" s="31"/>
      <c r="L657" s="125"/>
      <c r="M657" s="126"/>
      <c r="N657" s="26"/>
    </row>
    <row r="658" spans="1:14" ht="20" customHeight="1">
      <c r="A658" s="121">
        <v>986.81</v>
      </c>
      <c r="B658" s="122">
        <v>54160.308081530602</v>
      </c>
      <c r="C658" s="123">
        <v>535.18063159999997</v>
      </c>
      <c r="D658" s="122">
        <v>3</v>
      </c>
      <c r="E658" s="124" t="s">
        <v>1065</v>
      </c>
      <c r="F658" s="121"/>
      <c r="G658" s="122"/>
      <c r="H658" s="123"/>
      <c r="I658" s="124"/>
      <c r="J658" s="31"/>
      <c r="L658" s="125"/>
      <c r="M658" s="126"/>
      <c r="N658" s="26"/>
    </row>
    <row r="659" spans="1:14" ht="20" customHeight="1">
      <c r="A659" s="125">
        <v>992.85</v>
      </c>
      <c r="B659" s="127">
        <v>54588.011571495997</v>
      </c>
      <c r="C659" s="128">
        <v>464.8</v>
      </c>
      <c r="D659" s="144">
        <v>6</v>
      </c>
      <c r="E659" s="124" t="s">
        <v>1067</v>
      </c>
      <c r="F659" s="125"/>
      <c r="G659" s="125"/>
      <c r="H659" s="128"/>
      <c r="I659" s="124"/>
      <c r="J659" s="31"/>
      <c r="L659" s="125"/>
      <c r="M659" s="126"/>
      <c r="N659" s="26"/>
    </row>
    <row r="660" spans="1:14" ht="20" customHeight="1">
      <c r="A660" s="121">
        <v>993.3599999999999</v>
      </c>
      <c r="B660" s="122">
        <v>54628.627986787003</v>
      </c>
      <c r="C660" s="123">
        <v>457.48045230000002</v>
      </c>
      <c r="D660" s="122">
        <v>3</v>
      </c>
      <c r="E660" s="124" t="s">
        <v>1065</v>
      </c>
      <c r="F660" s="121"/>
      <c r="G660" s="122"/>
      <c r="H660" s="123"/>
      <c r="I660" s="124"/>
      <c r="J660" s="31"/>
      <c r="L660" s="125"/>
      <c r="M660" s="126"/>
      <c r="N660" s="26"/>
    </row>
    <row r="661" spans="1:14" ht="20" customHeight="1">
      <c r="A661" s="121">
        <v>999.92000000000007</v>
      </c>
      <c r="B661" s="130">
        <v>55102.432738176904</v>
      </c>
      <c r="C661" s="123">
        <v>454.7885248</v>
      </c>
      <c r="D661" s="122">
        <v>3</v>
      </c>
      <c r="E661" s="124" t="s">
        <v>1065</v>
      </c>
      <c r="F661" s="121"/>
      <c r="G661" s="130"/>
      <c r="H661" s="123"/>
      <c r="I661" s="124"/>
      <c r="J661" s="31"/>
      <c r="L661" s="125"/>
      <c r="M661" s="126"/>
      <c r="N661" s="26"/>
    </row>
    <row r="662" spans="1:14" ht="20" customHeight="1">
      <c r="A662" s="125">
        <v>1001.4</v>
      </c>
      <c r="B662" s="127">
        <v>55223.214389605397</v>
      </c>
      <c r="C662" s="128">
        <v>470.2</v>
      </c>
      <c r="D662" s="144">
        <v>6</v>
      </c>
      <c r="E662" s="124" t="s">
        <v>1067</v>
      </c>
      <c r="F662" s="125"/>
      <c r="G662" s="125"/>
      <c r="H662" s="128"/>
      <c r="I662" s="124"/>
      <c r="J662" s="31"/>
      <c r="L662" s="125"/>
      <c r="M662" s="126"/>
      <c r="N662" s="26"/>
    </row>
    <row r="663" spans="1:14" ht="20" customHeight="1">
      <c r="A663" s="121">
        <v>1005.9549999999999</v>
      </c>
      <c r="B663" s="130">
        <v>55584.753991348603</v>
      </c>
      <c r="C663" s="123">
        <v>532.0025478</v>
      </c>
      <c r="D663" s="122">
        <v>3</v>
      </c>
      <c r="E663" s="124" t="s">
        <v>1065</v>
      </c>
      <c r="F663" s="121"/>
      <c r="G663" s="130"/>
      <c r="H663" s="123"/>
      <c r="I663" s="124"/>
      <c r="J663" s="31"/>
      <c r="L663" s="125"/>
      <c r="M663" s="126"/>
      <c r="N663" s="26"/>
    </row>
    <row r="664" spans="1:14" ht="20" customHeight="1">
      <c r="A664" s="125">
        <v>1009.91</v>
      </c>
      <c r="B664" s="127">
        <v>55913.586495131203</v>
      </c>
      <c r="C664" s="128">
        <v>538.1</v>
      </c>
      <c r="D664" s="144">
        <v>6</v>
      </c>
      <c r="E664" s="124" t="s">
        <v>1067</v>
      </c>
      <c r="F664" s="125"/>
      <c r="G664" s="125"/>
      <c r="H664" s="128"/>
      <c r="I664" s="124"/>
      <c r="J664" s="31"/>
      <c r="L664" s="125"/>
      <c r="M664" s="126"/>
      <c r="N664" s="26"/>
    </row>
    <row r="665" spans="1:14" ht="20" customHeight="1">
      <c r="A665" s="121">
        <v>1012.95</v>
      </c>
      <c r="B665" s="130">
        <v>56150.360153959999</v>
      </c>
      <c r="C665" s="123">
        <v>483.52009750000002</v>
      </c>
      <c r="D665" s="122">
        <v>3</v>
      </c>
      <c r="E665" s="124" t="s">
        <v>1065</v>
      </c>
      <c r="F665" s="121"/>
      <c r="G665" s="130"/>
      <c r="H665" s="123"/>
      <c r="I665" s="124"/>
      <c r="J665" s="31"/>
      <c r="L665" s="125"/>
      <c r="M665" s="126"/>
      <c r="N665" s="26"/>
    </row>
    <row r="666" spans="1:14" ht="20" customHeight="1">
      <c r="A666" s="121">
        <v>1019.45</v>
      </c>
      <c r="B666" s="130">
        <v>56728.765297289101</v>
      </c>
      <c r="C666" s="123">
        <v>494.39498220000002</v>
      </c>
      <c r="D666" s="122">
        <v>3</v>
      </c>
      <c r="E666" s="124" t="s">
        <v>1065</v>
      </c>
      <c r="F666" s="121"/>
      <c r="G666" s="130"/>
      <c r="H666" s="123"/>
      <c r="I666" s="124"/>
      <c r="J666" s="31"/>
      <c r="L666" s="125"/>
      <c r="M666" s="126"/>
      <c r="N666" s="26"/>
    </row>
    <row r="667" spans="1:14" ht="20" customHeight="1">
      <c r="A667" s="125">
        <v>1019.91</v>
      </c>
      <c r="B667" s="127">
        <v>56768.051398255302</v>
      </c>
      <c r="C667" s="128">
        <v>503.4</v>
      </c>
      <c r="D667" s="144">
        <v>6</v>
      </c>
      <c r="E667" s="124" t="s">
        <v>1067</v>
      </c>
      <c r="F667" s="125"/>
      <c r="G667" s="125"/>
      <c r="H667" s="128"/>
      <c r="I667" s="124"/>
      <c r="J667" s="31"/>
      <c r="L667" s="125"/>
      <c r="M667" s="126"/>
      <c r="N667" s="26"/>
    </row>
    <row r="668" spans="1:14" ht="20" customHeight="1">
      <c r="A668" s="121">
        <v>1022.45</v>
      </c>
      <c r="B668" s="130">
        <v>57000.9352174952</v>
      </c>
      <c r="C668" s="123">
        <v>471.68086649999998</v>
      </c>
      <c r="D668" s="122">
        <v>3</v>
      </c>
      <c r="E668" s="124" t="s">
        <v>1065</v>
      </c>
      <c r="F668" s="121"/>
      <c r="G668" s="130"/>
      <c r="H668" s="123"/>
      <c r="I668" s="124"/>
      <c r="J668" s="31"/>
      <c r="L668" s="125"/>
      <c r="M668" s="126"/>
      <c r="N668" s="26"/>
    </row>
    <row r="669" spans="1:14" ht="20" customHeight="1">
      <c r="A669" s="121">
        <v>1027.9499999999998</v>
      </c>
      <c r="B669" s="130">
        <v>57509.860754594098</v>
      </c>
      <c r="C669" s="123">
        <v>555.94063370000003</v>
      </c>
      <c r="D669" s="122">
        <v>3</v>
      </c>
      <c r="E669" s="124" t="s">
        <v>1065</v>
      </c>
      <c r="F669" s="121"/>
      <c r="G669" s="130"/>
      <c r="H669" s="123"/>
      <c r="I669" s="124"/>
      <c r="J669" s="31"/>
      <c r="L669" s="125"/>
      <c r="M669" s="126"/>
      <c r="N669" s="26"/>
    </row>
    <row r="670" spans="1:14" ht="20" customHeight="1">
      <c r="A670" s="125">
        <v>1029.9100000000001</v>
      </c>
      <c r="B670" s="127">
        <v>57678.835700867698</v>
      </c>
      <c r="C670" s="128">
        <v>546.4</v>
      </c>
      <c r="D670" s="144">
        <v>6</v>
      </c>
      <c r="E670" s="124" t="s">
        <v>1067</v>
      </c>
      <c r="F670" s="125"/>
      <c r="G670" s="125"/>
      <c r="H670" s="128"/>
      <c r="I670" s="124"/>
      <c r="J670" s="31"/>
      <c r="L670" s="125"/>
      <c r="M670" s="126"/>
      <c r="N670" s="26"/>
    </row>
    <row r="671" spans="1:14" ht="20" customHeight="1">
      <c r="A671" s="121">
        <v>1033.44</v>
      </c>
      <c r="B671" s="130">
        <v>57967.285829020002</v>
      </c>
      <c r="C671" s="123">
        <v>568.85620310000002</v>
      </c>
      <c r="D671" s="122">
        <v>3</v>
      </c>
      <c r="E671" s="124" t="s">
        <v>1065</v>
      </c>
      <c r="F671" s="121"/>
      <c r="G671" s="130"/>
      <c r="H671" s="123"/>
      <c r="I671" s="124"/>
      <c r="J671" s="31"/>
      <c r="L671" s="125"/>
      <c r="M671" s="126"/>
      <c r="N671" s="26"/>
    </row>
    <row r="672" spans="1:14" ht="20" customHeight="1">
      <c r="A672" s="125">
        <v>1037.0050000000001</v>
      </c>
      <c r="B672" s="127">
        <v>58254.376111124999</v>
      </c>
      <c r="C672" s="128">
        <v>546</v>
      </c>
      <c r="D672" s="144">
        <v>6</v>
      </c>
      <c r="E672" s="124" t="s">
        <v>1067</v>
      </c>
      <c r="F672" s="125"/>
      <c r="G672" s="125"/>
      <c r="H672" s="128"/>
      <c r="I672" s="124"/>
      <c r="J672" s="31"/>
      <c r="L672" s="125"/>
      <c r="M672" s="126"/>
      <c r="N672" s="26"/>
    </row>
    <row r="673" spans="1:14" ht="20" customHeight="1">
      <c r="A673" s="121">
        <v>1039.0500000000002</v>
      </c>
      <c r="B673" s="130">
        <v>58416.994663218597</v>
      </c>
      <c r="C673" s="123">
        <v>518.26121160000002</v>
      </c>
      <c r="D673" s="122">
        <v>3</v>
      </c>
      <c r="E673" s="124" t="s">
        <v>1065</v>
      </c>
      <c r="F673" s="121"/>
      <c r="G673" s="130"/>
      <c r="H673" s="123"/>
      <c r="I673" s="124"/>
      <c r="J673" s="31"/>
      <c r="L673" s="125"/>
      <c r="M673" s="126"/>
      <c r="N673" s="26"/>
    </row>
    <row r="674" spans="1:14" ht="20" customHeight="1">
      <c r="A674" s="121">
        <v>1046.9000000000001</v>
      </c>
      <c r="B674" s="130">
        <v>59032.308845010601</v>
      </c>
      <c r="C674" s="123">
        <v>578.07537070000001</v>
      </c>
      <c r="D674" s="122">
        <v>3</v>
      </c>
      <c r="E674" s="124" t="s">
        <v>1065</v>
      </c>
      <c r="F674" s="121"/>
      <c r="G674" s="130"/>
      <c r="H674" s="123"/>
      <c r="I674" s="124"/>
      <c r="J674" s="31"/>
      <c r="L674" s="125"/>
      <c r="M674" s="126"/>
      <c r="N674" s="26"/>
    </row>
    <row r="675" spans="1:14" ht="20" customHeight="1">
      <c r="A675" s="121">
        <v>1050.1099999999999</v>
      </c>
      <c r="B675" s="130">
        <v>59275.771047120499</v>
      </c>
      <c r="C675" s="123">
        <v>575.77758789999996</v>
      </c>
      <c r="D675" s="122">
        <v>3</v>
      </c>
      <c r="E675" s="124" t="s">
        <v>1065</v>
      </c>
      <c r="F675" s="121"/>
      <c r="G675" s="130"/>
      <c r="H675" s="123"/>
      <c r="I675" s="124"/>
      <c r="J675" s="31"/>
      <c r="L675" s="125"/>
      <c r="M675" s="126"/>
      <c r="N675" s="26"/>
    </row>
    <row r="676" spans="1:14" ht="20" customHeight="1">
      <c r="A676" s="125">
        <v>1052.105</v>
      </c>
      <c r="B676" s="127">
        <v>59416.286553661797</v>
      </c>
      <c r="C676" s="128">
        <v>534.4</v>
      </c>
      <c r="D676" s="144">
        <v>6</v>
      </c>
      <c r="E676" s="124" t="s">
        <v>1067</v>
      </c>
      <c r="F676" s="125"/>
      <c r="G676" s="125"/>
      <c r="H676" s="128"/>
      <c r="I676" s="124"/>
      <c r="J676" s="31"/>
      <c r="L676" s="125"/>
      <c r="M676" s="126"/>
      <c r="N676" s="26"/>
    </row>
    <row r="677" spans="1:14" ht="20" customHeight="1">
      <c r="A677" s="121">
        <v>1057.1500000000001</v>
      </c>
      <c r="B677" s="130">
        <v>59740.6113978418</v>
      </c>
      <c r="C677" s="123">
        <v>542.68905900000004</v>
      </c>
      <c r="D677" s="122">
        <v>3</v>
      </c>
      <c r="E677" s="124" t="s">
        <v>1065</v>
      </c>
      <c r="F677" s="121"/>
      <c r="G677" s="130"/>
      <c r="H677" s="123"/>
      <c r="I677" s="124"/>
      <c r="J677" s="31"/>
      <c r="L677" s="125"/>
      <c r="M677" s="126"/>
      <c r="N677" s="26"/>
    </row>
    <row r="678" spans="1:14" ht="20" customHeight="1">
      <c r="A678" s="125">
        <v>1060.105</v>
      </c>
      <c r="B678" s="127">
        <v>59944.202708110803</v>
      </c>
      <c r="C678" s="128">
        <v>445.2</v>
      </c>
      <c r="D678" s="144">
        <v>6</v>
      </c>
      <c r="E678" s="124" t="s">
        <v>1067</v>
      </c>
      <c r="F678" s="125"/>
      <c r="G678" s="125"/>
      <c r="H678" s="128"/>
      <c r="I678" s="124"/>
      <c r="J678" s="31"/>
      <c r="L678" s="125"/>
      <c r="M678" s="126"/>
      <c r="N678" s="26"/>
    </row>
    <row r="679" spans="1:14" ht="20" customHeight="1">
      <c r="A679" s="121">
        <v>1062.0999999999999</v>
      </c>
      <c r="B679" s="130">
        <v>60096.9554868626</v>
      </c>
      <c r="C679" s="123">
        <v>444.61180230000002</v>
      </c>
      <c r="D679" s="122">
        <v>3</v>
      </c>
      <c r="E679" s="124" t="s">
        <v>1065</v>
      </c>
      <c r="F679" s="121"/>
      <c r="G679" s="130"/>
      <c r="H679" s="123"/>
      <c r="I679" s="124"/>
      <c r="J679" s="31"/>
      <c r="L679" s="125"/>
      <c r="M679" s="126"/>
      <c r="N679" s="26"/>
    </row>
    <row r="680" spans="1:14" ht="20" customHeight="1">
      <c r="A680" s="121">
        <v>1068.1100000000001</v>
      </c>
      <c r="B680" s="130">
        <v>60535.815412021897</v>
      </c>
      <c r="C680" s="123">
        <v>433.36744090000002</v>
      </c>
      <c r="D680" s="122">
        <v>3</v>
      </c>
      <c r="E680" s="124" t="s">
        <v>1065</v>
      </c>
      <c r="F680" s="121"/>
      <c r="G680" s="130"/>
      <c r="H680" s="123"/>
      <c r="I680" s="124"/>
      <c r="J680" s="31"/>
      <c r="L680" s="125"/>
      <c r="M680" s="126"/>
      <c r="N680" s="26"/>
    </row>
    <row r="681" spans="1:14" ht="20" customHeight="1">
      <c r="A681" s="121">
        <v>1073.0999999999999</v>
      </c>
      <c r="B681" s="130">
        <v>60893.4052094</v>
      </c>
      <c r="C681" s="123">
        <v>441.04323060000002</v>
      </c>
      <c r="D681" s="122">
        <v>3</v>
      </c>
      <c r="E681" s="124" t="s">
        <v>1065</v>
      </c>
      <c r="F681" s="121"/>
      <c r="G681" s="130"/>
      <c r="H681" s="123"/>
      <c r="I681" s="124"/>
      <c r="J681" s="31"/>
      <c r="L681" s="125"/>
      <c r="M681" s="126"/>
      <c r="N681" s="26"/>
    </row>
    <row r="682" spans="1:14" ht="20" customHeight="1">
      <c r="A682" s="125">
        <v>1075.0550000000001</v>
      </c>
      <c r="B682" s="127">
        <v>61046.101616386601</v>
      </c>
      <c r="C682" s="128">
        <v>439.5</v>
      </c>
      <c r="D682" s="144">
        <v>6</v>
      </c>
      <c r="E682" s="124" t="s">
        <v>1067</v>
      </c>
      <c r="F682" s="125"/>
      <c r="G682" s="125"/>
      <c r="H682" s="128"/>
      <c r="I682" s="124"/>
      <c r="J682" s="31"/>
      <c r="L682" s="125"/>
      <c r="M682" s="126"/>
      <c r="N682" s="26"/>
    </row>
    <row r="683" spans="1:14" ht="20" customHeight="1">
      <c r="A683" s="121">
        <v>1077.0999999999999</v>
      </c>
      <c r="B683" s="130">
        <v>61186.440771268899</v>
      </c>
      <c r="C683" s="123">
        <v>438.23753010000001</v>
      </c>
      <c r="D683" s="122">
        <v>3</v>
      </c>
      <c r="E683" s="124" t="s">
        <v>1065</v>
      </c>
      <c r="F683" s="121"/>
      <c r="G683" s="130"/>
      <c r="H683" s="123"/>
      <c r="I683" s="124"/>
      <c r="J683" s="31"/>
      <c r="L683" s="125"/>
      <c r="M683" s="126"/>
      <c r="N683" s="26"/>
    </row>
    <row r="684" spans="1:14" ht="20" customHeight="1">
      <c r="A684" s="121">
        <v>1081.9000000000001</v>
      </c>
      <c r="B684" s="130">
        <v>61571.392505558702</v>
      </c>
      <c r="C684" s="123">
        <v>439.22650299999998</v>
      </c>
      <c r="D684" s="122">
        <v>3</v>
      </c>
      <c r="E684" s="124" t="s">
        <v>1065</v>
      </c>
      <c r="F684" s="121"/>
      <c r="G684" s="130"/>
      <c r="H684" s="123"/>
      <c r="I684" s="124"/>
      <c r="J684" s="31"/>
      <c r="L684" s="125"/>
      <c r="M684" s="126"/>
      <c r="N684" s="26"/>
    </row>
    <row r="685" spans="1:14" ht="20" customHeight="1">
      <c r="A685" s="125">
        <v>1082.5550000000001</v>
      </c>
      <c r="B685" s="127">
        <v>61625.469564054503</v>
      </c>
      <c r="C685" s="128">
        <v>436.6</v>
      </c>
      <c r="D685" s="144">
        <v>6</v>
      </c>
      <c r="E685" s="124" t="s">
        <v>1067</v>
      </c>
      <c r="F685" s="125"/>
      <c r="G685" s="125"/>
      <c r="H685" s="128"/>
      <c r="I685" s="124"/>
      <c r="J685" s="31"/>
      <c r="L685" s="125"/>
      <c r="M685" s="126"/>
      <c r="N685" s="26"/>
    </row>
    <row r="686" spans="1:14" ht="20" customHeight="1">
      <c r="A686" s="121">
        <v>1087.5999999999999</v>
      </c>
      <c r="B686" s="130">
        <v>62055.269855931299</v>
      </c>
      <c r="C686" s="123">
        <v>442.22197449999999</v>
      </c>
      <c r="D686" s="122">
        <v>3</v>
      </c>
      <c r="E686" s="124" t="s">
        <v>1065</v>
      </c>
      <c r="F686" s="121"/>
      <c r="G686" s="130"/>
      <c r="H686" s="123"/>
      <c r="I686" s="124"/>
      <c r="J686" s="31"/>
      <c r="L686" s="125"/>
      <c r="M686" s="126"/>
      <c r="N686" s="26"/>
    </row>
    <row r="687" spans="1:14" ht="20" customHeight="1">
      <c r="A687" s="125">
        <v>1090.55</v>
      </c>
      <c r="B687" s="127">
        <v>62324.609851724897</v>
      </c>
      <c r="C687" s="128">
        <v>440.9</v>
      </c>
      <c r="D687" s="144">
        <v>6</v>
      </c>
      <c r="E687" s="124" t="s">
        <v>1067</v>
      </c>
      <c r="F687" s="125"/>
      <c r="G687" s="125"/>
      <c r="H687" s="128"/>
      <c r="I687" s="124"/>
      <c r="J687" s="31"/>
      <c r="L687" s="125"/>
      <c r="M687" s="126"/>
      <c r="N687" s="26"/>
    </row>
    <row r="688" spans="1:14" ht="20" customHeight="1">
      <c r="A688" s="121">
        <v>1092.06</v>
      </c>
      <c r="B688" s="130">
        <v>62467.056544036197</v>
      </c>
      <c r="C688" s="123">
        <v>433.68366959999997</v>
      </c>
      <c r="D688" s="122">
        <v>3</v>
      </c>
      <c r="E688" s="124" t="s">
        <v>1065</v>
      </c>
      <c r="F688" s="121"/>
      <c r="G688" s="130"/>
      <c r="H688" s="123"/>
      <c r="I688" s="124"/>
      <c r="J688" s="31"/>
      <c r="L688" s="125"/>
      <c r="M688" s="126"/>
      <c r="N688" s="26"/>
    </row>
    <row r="689" spans="1:14" ht="20" customHeight="1">
      <c r="A689" s="121">
        <v>1097.9000000000001</v>
      </c>
      <c r="B689" s="130">
        <v>63015.601733784497</v>
      </c>
      <c r="C689" s="123">
        <v>441.08165100000002</v>
      </c>
      <c r="D689" s="122">
        <v>3</v>
      </c>
      <c r="E689" s="124" t="s">
        <v>1065</v>
      </c>
      <c r="F689" s="121"/>
      <c r="G689" s="130"/>
      <c r="H689" s="123"/>
      <c r="I689" s="124"/>
      <c r="J689" s="31"/>
      <c r="L689" s="125"/>
      <c r="M689" s="126"/>
      <c r="N689" s="26"/>
    </row>
    <row r="690" spans="1:14" ht="20" customHeight="1">
      <c r="A690" s="125">
        <v>1099.56</v>
      </c>
      <c r="B690" s="127">
        <v>63180.345241040603</v>
      </c>
      <c r="C690" s="128">
        <v>442.4</v>
      </c>
      <c r="D690" s="144">
        <v>6</v>
      </c>
      <c r="E690" s="124" t="s">
        <v>1067</v>
      </c>
      <c r="F690" s="125"/>
      <c r="G690" s="125"/>
      <c r="H690" s="128"/>
      <c r="I690" s="124"/>
      <c r="J690" s="31"/>
      <c r="L690" s="125"/>
      <c r="M690" s="126"/>
      <c r="N690" s="26"/>
    </row>
    <row r="691" spans="1:14" ht="20" customHeight="1">
      <c r="A691" s="121">
        <v>1101.56</v>
      </c>
      <c r="B691" s="130">
        <v>63384.007644229598</v>
      </c>
      <c r="C691" s="123">
        <v>449.12406920000001</v>
      </c>
      <c r="D691" s="122">
        <v>3</v>
      </c>
      <c r="E691" s="124" t="s">
        <v>1065</v>
      </c>
      <c r="F691" s="121"/>
      <c r="G691" s="130"/>
      <c r="H691" s="123"/>
      <c r="I691" s="124"/>
      <c r="J691" s="31"/>
      <c r="L691" s="125"/>
      <c r="M691" s="126"/>
      <c r="N691" s="26"/>
    </row>
    <row r="692" spans="1:14" ht="20" customHeight="1">
      <c r="A692" s="121">
        <v>1105.9000000000001</v>
      </c>
      <c r="B692" s="130">
        <v>63844.491589908597</v>
      </c>
      <c r="C692" s="123">
        <v>447.6580907</v>
      </c>
      <c r="D692" s="122">
        <v>3</v>
      </c>
      <c r="E692" s="124" t="s">
        <v>1065</v>
      </c>
      <c r="F692" s="121"/>
      <c r="G692" s="130"/>
      <c r="H692" s="123"/>
      <c r="I692" s="124"/>
      <c r="J692" s="31"/>
      <c r="L692" s="125"/>
      <c r="M692" s="126"/>
      <c r="N692" s="26"/>
    </row>
    <row r="693" spans="1:14" ht="20" customHeight="1">
      <c r="A693" s="125">
        <v>1107.0550000000001</v>
      </c>
      <c r="B693" s="127">
        <v>63983.2884696986</v>
      </c>
      <c r="C693" s="128">
        <v>457.7</v>
      </c>
      <c r="D693" s="144">
        <v>6</v>
      </c>
      <c r="E693" s="124" t="s">
        <v>1067</v>
      </c>
      <c r="F693" s="125"/>
      <c r="G693" s="125"/>
      <c r="H693" s="128"/>
      <c r="I693" s="124"/>
      <c r="J693" s="31"/>
      <c r="L693" s="125"/>
      <c r="M693" s="126"/>
      <c r="N693" s="26"/>
    </row>
    <row r="694" spans="1:14" ht="20" customHeight="1">
      <c r="A694" s="121">
        <v>1110.56</v>
      </c>
      <c r="B694" s="130">
        <v>64400.461169463699</v>
      </c>
      <c r="C694" s="123">
        <v>468.49293560000001</v>
      </c>
      <c r="D694" s="122">
        <v>3</v>
      </c>
      <c r="E694" s="124" t="s">
        <v>1065</v>
      </c>
      <c r="F694" s="121"/>
      <c r="G694" s="130"/>
      <c r="H694" s="123"/>
      <c r="I694" s="124"/>
      <c r="J694" s="31"/>
      <c r="L694" s="125"/>
      <c r="M694" s="126"/>
      <c r="N694" s="26"/>
    </row>
    <row r="695" spans="1:14" ht="20" customHeight="1">
      <c r="A695" s="121">
        <v>1114.06</v>
      </c>
      <c r="B695" s="130">
        <v>64764.874608550097</v>
      </c>
      <c r="C695" s="123">
        <v>494.61574109999998</v>
      </c>
      <c r="D695" s="122">
        <v>3</v>
      </c>
      <c r="E695" s="124" t="s">
        <v>1065</v>
      </c>
      <c r="F695" s="121"/>
      <c r="G695" s="130"/>
      <c r="H695" s="123"/>
      <c r="I695" s="124"/>
      <c r="J695" s="31"/>
      <c r="L695" s="125"/>
      <c r="M695" s="126"/>
      <c r="N695" s="26"/>
    </row>
    <row r="696" spans="1:14" ht="20" customHeight="1">
      <c r="A696" s="125">
        <v>1116.05</v>
      </c>
      <c r="B696" s="127">
        <v>64948.236372462103</v>
      </c>
      <c r="C696" s="128">
        <v>504.9</v>
      </c>
      <c r="D696" s="144">
        <v>6</v>
      </c>
      <c r="E696" s="124" t="s">
        <v>1067</v>
      </c>
      <c r="F696" s="125"/>
      <c r="G696" s="125"/>
      <c r="H696" s="128"/>
      <c r="I696" s="124"/>
      <c r="J696" s="31"/>
      <c r="L696" s="125"/>
      <c r="M696" s="126"/>
      <c r="N696" s="26"/>
    </row>
    <row r="697" spans="1:14" ht="20" customHeight="1">
      <c r="A697" s="121">
        <v>1119.56</v>
      </c>
      <c r="B697" s="130">
        <v>65270.677290756299</v>
      </c>
      <c r="C697" s="123">
        <v>446.64357360000002</v>
      </c>
      <c r="D697" s="122">
        <v>3</v>
      </c>
      <c r="E697" s="124" t="s">
        <v>1065</v>
      </c>
      <c r="F697" s="121"/>
      <c r="G697" s="130"/>
      <c r="H697" s="123"/>
      <c r="I697" s="124"/>
      <c r="J697" s="31"/>
      <c r="L697" s="125"/>
      <c r="M697" s="126"/>
      <c r="N697" s="26"/>
    </row>
    <row r="698" spans="1:14" ht="20" customHeight="1">
      <c r="A698" s="121">
        <v>1123.56</v>
      </c>
      <c r="B698" s="130">
        <v>65609.650351412303</v>
      </c>
      <c r="C698" s="123">
        <v>450.4126091</v>
      </c>
      <c r="D698" s="122">
        <v>3</v>
      </c>
      <c r="E698" s="124" t="s">
        <v>1065</v>
      </c>
      <c r="F698" s="121"/>
      <c r="G698" s="130"/>
      <c r="H698" s="123"/>
      <c r="I698" s="124"/>
      <c r="J698" s="31"/>
      <c r="L698" s="125"/>
      <c r="M698" s="126"/>
      <c r="N698" s="26"/>
    </row>
    <row r="699" spans="1:14" ht="20" customHeight="1">
      <c r="A699" s="125">
        <v>1124.95</v>
      </c>
      <c r="B699" s="127">
        <v>65732.840148930904</v>
      </c>
      <c r="C699" s="128">
        <v>468.5</v>
      </c>
      <c r="D699" s="144">
        <v>6</v>
      </c>
      <c r="E699" s="124" t="s">
        <v>1067</v>
      </c>
      <c r="F699" s="125"/>
      <c r="G699" s="125"/>
      <c r="H699" s="128"/>
      <c r="I699" s="124"/>
      <c r="J699" s="31"/>
      <c r="L699" s="125"/>
      <c r="M699" s="126"/>
      <c r="N699" s="26"/>
    </row>
    <row r="700" spans="1:14" ht="20" customHeight="1">
      <c r="A700" s="121">
        <v>1128.56</v>
      </c>
      <c r="B700" s="130">
        <v>66085.409095207797</v>
      </c>
      <c r="C700" s="123">
        <v>462.37679780000002</v>
      </c>
      <c r="D700" s="122">
        <v>3</v>
      </c>
      <c r="E700" s="124" t="s">
        <v>1065</v>
      </c>
      <c r="F700" s="121"/>
      <c r="G700" s="130"/>
      <c r="H700" s="123"/>
      <c r="I700" s="124"/>
      <c r="J700" s="31"/>
      <c r="L700" s="125"/>
      <c r="M700" s="126"/>
      <c r="N700" s="26"/>
    </row>
    <row r="701" spans="1:14" ht="20" customHeight="1">
      <c r="A701" s="125">
        <v>1132.0550000000001</v>
      </c>
      <c r="B701" s="127">
        <v>66426.723943765697</v>
      </c>
      <c r="C701" s="133">
        <v>471.5</v>
      </c>
      <c r="D701" s="144">
        <v>6</v>
      </c>
      <c r="E701" s="124" t="s">
        <v>1067</v>
      </c>
      <c r="F701" s="125"/>
      <c r="G701" s="125"/>
      <c r="H701" s="133"/>
      <c r="I701" s="124"/>
      <c r="J701" s="31"/>
      <c r="L701" s="125"/>
      <c r="M701" s="126"/>
      <c r="N701" s="26"/>
    </row>
    <row r="702" spans="1:14" ht="20" customHeight="1">
      <c r="A702" s="121">
        <v>1133.557</v>
      </c>
      <c r="B702" s="130">
        <v>66577.470840533497</v>
      </c>
      <c r="C702" s="123">
        <v>468.25907849999999</v>
      </c>
      <c r="D702" s="122">
        <v>3</v>
      </c>
      <c r="E702" s="124" t="s">
        <v>1065</v>
      </c>
      <c r="F702" s="121"/>
      <c r="G702" s="130"/>
      <c r="H702" s="123"/>
      <c r="I702" s="124"/>
      <c r="J702" s="31"/>
      <c r="L702" s="125"/>
      <c r="M702" s="126"/>
      <c r="N702" s="26"/>
    </row>
    <row r="703" spans="1:14" ht="20" customHeight="1">
      <c r="A703" s="121">
        <v>1138.0999999999999</v>
      </c>
      <c r="B703" s="130">
        <v>67012.474278772395</v>
      </c>
      <c r="C703" s="123">
        <v>462.8800698</v>
      </c>
      <c r="D703" s="122">
        <v>3</v>
      </c>
      <c r="E703" s="124" t="s">
        <v>1065</v>
      </c>
      <c r="F703" s="121"/>
      <c r="G703" s="130"/>
      <c r="H703" s="123"/>
      <c r="I703" s="124"/>
      <c r="J703" s="31"/>
      <c r="L703" s="125"/>
      <c r="M703" s="126"/>
      <c r="N703" s="26"/>
    </row>
    <row r="704" spans="1:14" ht="20" customHeight="1">
      <c r="A704" s="125">
        <v>1139.94</v>
      </c>
      <c r="B704" s="127">
        <v>67211.843734667898</v>
      </c>
      <c r="C704" s="133">
        <v>462.2</v>
      </c>
      <c r="D704" s="144">
        <v>6</v>
      </c>
      <c r="E704" s="124" t="s">
        <v>1067</v>
      </c>
      <c r="F704" s="125"/>
      <c r="G704" s="125"/>
      <c r="H704" s="133"/>
      <c r="I704" s="124"/>
      <c r="J704" s="31"/>
      <c r="L704" s="125"/>
      <c r="M704" s="126"/>
      <c r="N704" s="26"/>
    </row>
    <row r="705" spans="1:14" ht="20" customHeight="1">
      <c r="A705" s="121">
        <v>1143.06</v>
      </c>
      <c r="B705" s="130">
        <v>67554.127443627207</v>
      </c>
      <c r="C705" s="123">
        <v>460.13376599999998</v>
      </c>
      <c r="D705" s="122">
        <v>3</v>
      </c>
      <c r="E705" s="124" t="s">
        <v>1065</v>
      </c>
      <c r="F705" s="121"/>
      <c r="G705" s="130"/>
      <c r="H705" s="123"/>
      <c r="I705" s="124"/>
      <c r="J705" s="31"/>
      <c r="L705" s="125"/>
      <c r="M705" s="126"/>
      <c r="N705" s="26"/>
    </row>
    <row r="706" spans="1:14" ht="20" customHeight="1">
      <c r="A706" s="121">
        <v>1148.06</v>
      </c>
      <c r="B706" s="130">
        <v>68133.522234825097</v>
      </c>
      <c r="C706" s="123">
        <v>462.44556920000002</v>
      </c>
      <c r="D706" s="122">
        <v>3</v>
      </c>
      <c r="E706" s="124" t="s">
        <v>1065</v>
      </c>
      <c r="F706" s="121"/>
      <c r="G706" s="130"/>
      <c r="H706" s="123"/>
      <c r="I706" s="124"/>
      <c r="J706" s="31"/>
      <c r="L706" s="125"/>
      <c r="M706" s="126"/>
      <c r="N706" s="26"/>
    </row>
    <row r="707" spans="1:14" ht="20" customHeight="1">
      <c r="A707" s="125">
        <v>1149.94</v>
      </c>
      <c r="B707" s="127">
        <v>68342.489354607504</v>
      </c>
      <c r="C707" s="133">
        <v>463.8</v>
      </c>
      <c r="D707" s="144">
        <v>6</v>
      </c>
      <c r="E707" s="124" t="s">
        <v>1067</v>
      </c>
      <c r="F707" s="125"/>
      <c r="G707" s="125"/>
      <c r="H707" s="133"/>
      <c r="I707" s="124"/>
      <c r="J707" s="31"/>
      <c r="L707" s="125"/>
      <c r="M707" s="126"/>
      <c r="N707" s="26"/>
    </row>
    <row r="708" spans="1:14" ht="20" customHeight="1">
      <c r="A708" s="121">
        <v>1153.56</v>
      </c>
      <c r="B708" s="130">
        <v>68761.946188506394</v>
      </c>
      <c r="C708" s="123">
        <v>462.00456589999999</v>
      </c>
      <c r="D708" s="122">
        <v>3</v>
      </c>
      <c r="E708" s="124" t="s">
        <v>1065</v>
      </c>
      <c r="F708" s="121"/>
      <c r="G708" s="130"/>
      <c r="H708" s="123"/>
      <c r="I708" s="124"/>
      <c r="J708" s="31"/>
      <c r="L708" s="125"/>
      <c r="M708" s="126"/>
      <c r="N708" s="26"/>
    </row>
    <row r="709" spans="1:14" ht="20" customHeight="1">
      <c r="A709" s="125">
        <v>1157.0550000000001</v>
      </c>
      <c r="B709" s="127">
        <v>69159.960171341896</v>
      </c>
      <c r="C709" s="133">
        <v>473.2</v>
      </c>
      <c r="D709" s="144">
        <v>6</v>
      </c>
      <c r="E709" s="124" t="s">
        <v>1067</v>
      </c>
      <c r="F709" s="125"/>
      <c r="G709" s="125"/>
      <c r="H709" s="133"/>
      <c r="I709" s="124"/>
      <c r="J709" s="31"/>
      <c r="L709" s="125"/>
      <c r="M709" s="126"/>
      <c r="N709" s="26"/>
    </row>
    <row r="710" spans="1:14" ht="20" customHeight="1">
      <c r="A710" s="121">
        <v>1158.56</v>
      </c>
      <c r="B710" s="130">
        <v>69310.680241380396</v>
      </c>
      <c r="C710" s="123">
        <v>458.55475009999998</v>
      </c>
      <c r="D710" s="122">
        <v>3</v>
      </c>
      <c r="E710" s="124" t="s">
        <v>1065</v>
      </c>
      <c r="F710" s="121"/>
      <c r="G710" s="130"/>
      <c r="H710" s="123"/>
      <c r="I710" s="124"/>
      <c r="J710" s="31"/>
      <c r="L710" s="125"/>
      <c r="M710" s="126"/>
      <c r="N710" s="26"/>
    </row>
    <row r="711" spans="1:14" ht="20" customHeight="1">
      <c r="A711" s="121">
        <v>1163.135</v>
      </c>
      <c r="B711" s="130">
        <v>69798.808355490095</v>
      </c>
      <c r="C711" s="123">
        <v>470.1981475</v>
      </c>
      <c r="D711" s="122">
        <v>3</v>
      </c>
      <c r="E711" s="124" t="s">
        <v>1065</v>
      </c>
      <c r="F711" s="121"/>
      <c r="G711" s="130"/>
      <c r="H711" s="123"/>
      <c r="I711" s="124"/>
      <c r="J711" s="31"/>
      <c r="L711" s="125"/>
      <c r="M711" s="126"/>
      <c r="N711" s="26"/>
    </row>
    <row r="712" spans="1:14" ht="20" customHeight="1">
      <c r="A712" s="125">
        <v>1164.56</v>
      </c>
      <c r="B712" s="127">
        <v>69958.071460196297</v>
      </c>
      <c r="C712" s="133">
        <v>487.7</v>
      </c>
      <c r="D712" s="144">
        <v>6</v>
      </c>
      <c r="E712" s="124" t="s">
        <v>1067</v>
      </c>
      <c r="F712" s="125"/>
      <c r="G712" s="125"/>
      <c r="H712" s="133"/>
      <c r="I712" s="124"/>
      <c r="J712" s="31"/>
      <c r="L712" s="125"/>
      <c r="M712" s="126"/>
      <c r="N712" s="26"/>
    </row>
    <row r="713" spans="1:14" ht="20" customHeight="1">
      <c r="A713" s="121">
        <v>1168.06</v>
      </c>
      <c r="B713" s="130">
        <v>70330.591078481695</v>
      </c>
      <c r="C713" s="123">
        <v>469.21320100000003</v>
      </c>
      <c r="D713" s="122">
        <v>3</v>
      </c>
      <c r="E713" s="124" t="s">
        <v>1065</v>
      </c>
      <c r="F713" s="121"/>
      <c r="G713" s="130"/>
      <c r="H713" s="123"/>
      <c r="I713" s="124"/>
      <c r="J713" s="31"/>
      <c r="L713" s="125"/>
      <c r="M713" s="126"/>
      <c r="N713" s="26"/>
    </row>
    <row r="714" spans="1:14" ht="20" customHeight="1">
      <c r="A714" s="121">
        <v>1173.56</v>
      </c>
      <c r="B714" s="130">
        <v>70868.102927541899</v>
      </c>
      <c r="C714" s="123">
        <v>459.99208290000001</v>
      </c>
      <c r="D714" s="122">
        <v>3</v>
      </c>
      <c r="E714" s="124" t="s">
        <v>1065</v>
      </c>
      <c r="F714" s="121"/>
      <c r="G714" s="130"/>
      <c r="H714" s="123"/>
      <c r="I714" s="124"/>
      <c r="J714" s="31"/>
      <c r="L714" s="125"/>
      <c r="M714" s="126"/>
      <c r="N714" s="26"/>
    </row>
    <row r="715" spans="1:14" ht="20" customHeight="1">
      <c r="A715" s="125">
        <v>1174.56</v>
      </c>
      <c r="B715" s="127">
        <v>70962.682101170794</v>
      </c>
      <c r="C715" s="133">
        <v>446.2</v>
      </c>
      <c r="D715" s="144">
        <v>6</v>
      </c>
      <c r="E715" s="124" t="s">
        <v>1067</v>
      </c>
      <c r="F715" s="125"/>
      <c r="G715" s="125"/>
      <c r="H715" s="133"/>
      <c r="I715" s="124"/>
      <c r="J715" s="31"/>
      <c r="L715" s="125"/>
      <c r="M715" s="126"/>
      <c r="N715" s="26"/>
    </row>
    <row r="716" spans="1:14" ht="20" customHeight="1">
      <c r="A716" s="121">
        <v>1178.02</v>
      </c>
      <c r="B716" s="130">
        <v>71282.459787209606</v>
      </c>
      <c r="C716" s="123">
        <v>477.99186609999998</v>
      </c>
      <c r="D716" s="122">
        <v>3</v>
      </c>
      <c r="E716" s="124" t="s">
        <v>1065</v>
      </c>
      <c r="F716" s="121"/>
      <c r="G716" s="130"/>
      <c r="H716" s="123"/>
      <c r="I716" s="124"/>
      <c r="J716" s="31"/>
      <c r="L716" s="125"/>
      <c r="M716" s="126"/>
      <c r="N716" s="26"/>
    </row>
    <row r="717" spans="1:14" ht="20" customHeight="1">
      <c r="A717" s="121">
        <v>1183.56</v>
      </c>
      <c r="B717" s="130">
        <v>71811.3506739359</v>
      </c>
      <c r="C717" s="123">
        <v>487.55026789999999</v>
      </c>
      <c r="D717" s="122">
        <v>3</v>
      </c>
      <c r="E717" s="124" t="s">
        <v>1065</v>
      </c>
      <c r="F717" s="121"/>
      <c r="G717" s="130"/>
      <c r="H717" s="123"/>
      <c r="I717" s="124"/>
      <c r="J717" s="31"/>
      <c r="L717" s="125"/>
      <c r="M717" s="126"/>
      <c r="N717" s="26"/>
    </row>
    <row r="718" spans="1:14" ht="20" customHeight="1">
      <c r="A718" s="125">
        <v>1184.56</v>
      </c>
      <c r="B718" s="127">
        <v>71906.581055846895</v>
      </c>
      <c r="C718" s="133">
        <v>474.5</v>
      </c>
      <c r="D718" s="144">
        <v>6</v>
      </c>
      <c r="E718" s="124" t="s">
        <v>1067</v>
      </c>
      <c r="F718" s="125"/>
      <c r="G718" s="125"/>
      <c r="H718" s="133"/>
      <c r="I718" s="124"/>
      <c r="J718" s="31"/>
      <c r="L718" s="125"/>
      <c r="M718" s="126"/>
      <c r="N718" s="26"/>
    </row>
    <row r="719" spans="1:14" ht="20" customHeight="1">
      <c r="A719" s="121">
        <v>1188.55</v>
      </c>
      <c r="B719" s="130">
        <v>72263.096088083897</v>
      </c>
      <c r="C719" s="123">
        <v>487.05847260000002</v>
      </c>
      <c r="D719" s="122">
        <v>3</v>
      </c>
      <c r="E719" s="124" t="s">
        <v>1065</v>
      </c>
      <c r="F719" s="121"/>
      <c r="G719" s="130"/>
      <c r="H719" s="123"/>
      <c r="I719" s="124"/>
      <c r="J719" s="31"/>
      <c r="L719" s="125"/>
      <c r="M719" s="126"/>
      <c r="N719" s="26"/>
    </row>
    <row r="720" spans="1:14" ht="20" customHeight="1">
      <c r="A720" s="121">
        <v>1193.56</v>
      </c>
      <c r="B720" s="130">
        <v>72701.366222456505</v>
      </c>
      <c r="C720" s="123">
        <v>442.76253939999998</v>
      </c>
      <c r="D720" s="122">
        <v>3</v>
      </c>
      <c r="E720" s="124" t="s">
        <v>1065</v>
      </c>
      <c r="F720" s="121"/>
      <c r="G720" s="130"/>
      <c r="H720" s="123"/>
      <c r="I720" s="124"/>
      <c r="J720" s="31"/>
      <c r="L720" s="125"/>
      <c r="M720" s="126"/>
      <c r="N720" s="26"/>
    </row>
    <row r="721" spans="1:14" ht="20" customHeight="1">
      <c r="A721" s="125">
        <v>1194.95</v>
      </c>
      <c r="B721" s="127">
        <v>72826.989025811694</v>
      </c>
      <c r="C721" s="133">
        <v>442.9</v>
      </c>
      <c r="D721" s="144">
        <v>6</v>
      </c>
      <c r="E721" s="124" t="s">
        <v>1067</v>
      </c>
      <c r="F721" s="125"/>
      <c r="G721" s="125"/>
      <c r="H721" s="133"/>
      <c r="I721" s="124"/>
      <c r="J721" s="31"/>
      <c r="L721" s="125"/>
      <c r="M721" s="126"/>
      <c r="N721" s="26"/>
    </row>
    <row r="722" spans="1:14" ht="20" customHeight="1">
      <c r="A722" s="121">
        <v>1198.56</v>
      </c>
      <c r="B722" s="130">
        <v>73147.497084531598</v>
      </c>
      <c r="C722" s="123">
        <v>445.88512029999998</v>
      </c>
      <c r="D722" s="122">
        <v>3</v>
      </c>
      <c r="E722" s="124" t="s">
        <v>1065</v>
      </c>
      <c r="F722" s="121"/>
      <c r="G722" s="130"/>
      <c r="H722" s="123"/>
      <c r="I722" s="124"/>
      <c r="J722" s="31"/>
      <c r="L722" s="125"/>
      <c r="M722" s="126"/>
      <c r="N722" s="26"/>
    </row>
    <row r="723" spans="1:14" ht="20" customHeight="1">
      <c r="A723" s="121">
        <v>1202.56</v>
      </c>
      <c r="B723" s="130">
        <v>73554.935779324602</v>
      </c>
      <c r="C723" s="123">
        <v>465.41480990000002</v>
      </c>
      <c r="D723" s="122">
        <v>3</v>
      </c>
      <c r="E723" s="124" t="s">
        <v>1065</v>
      </c>
      <c r="F723" s="121"/>
      <c r="G723" s="130"/>
      <c r="H723" s="123"/>
      <c r="I723" s="124"/>
      <c r="J723" s="31"/>
      <c r="L723" s="125"/>
      <c r="M723" s="126"/>
      <c r="N723" s="26"/>
    </row>
    <row r="724" spans="1:14" ht="20" customHeight="1">
      <c r="A724" s="125">
        <v>1204.05</v>
      </c>
      <c r="B724" s="127">
        <v>73697.081243557303</v>
      </c>
      <c r="C724" s="133">
        <v>466.6</v>
      </c>
      <c r="D724" s="144">
        <v>6</v>
      </c>
      <c r="E724" s="124" t="s">
        <v>1067</v>
      </c>
      <c r="F724" s="125"/>
      <c r="G724" s="125"/>
      <c r="H724" s="133"/>
      <c r="I724" s="124"/>
      <c r="J724" s="31"/>
      <c r="L724" s="125"/>
      <c r="M724" s="126"/>
      <c r="N724" s="26"/>
    </row>
    <row r="725" spans="1:14" ht="20" customHeight="1">
      <c r="A725" s="121">
        <v>1208.06</v>
      </c>
      <c r="B725" s="130">
        <v>74087.352456977998</v>
      </c>
      <c r="C725" s="123">
        <v>459.63758469999999</v>
      </c>
      <c r="D725" s="122">
        <v>3</v>
      </c>
      <c r="E725" s="124" t="s">
        <v>1065</v>
      </c>
      <c r="F725" s="121"/>
      <c r="G725" s="130"/>
      <c r="H725" s="123"/>
      <c r="I725" s="124"/>
      <c r="J725" s="31"/>
      <c r="L725" s="125"/>
      <c r="M725" s="126"/>
      <c r="N725" s="26"/>
    </row>
    <row r="726" spans="1:14" ht="20" customHeight="1">
      <c r="A726" s="121">
        <v>1213.06</v>
      </c>
      <c r="B726" s="130">
        <v>74586.061825411307</v>
      </c>
      <c r="C726" s="123">
        <v>458.63357480000002</v>
      </c>
      <c r="D726" s="122">
        <v>3</v>
      </c>
      <c r="E726" s="124" t="s">
        <v>1065</v>
      </c>
      <c r="F726" s="121"/>
      <c r="G726" s="130"/>
      <c r="H726" s="123"/>
      <c r="I726" s="124"/>
      <c r="J726" s="31"/>
      <c r="L726" s="125"/>
      <c r="M726" s="126"/>
      <c r="N726" s="26"/>
    </row>
    <row r="727" spans="1:14" ht="20" customHeight="1">
      <c r="A727" s="125">
        <v>1214.56</v>
      </c>
      <c r="B727" s="127">
        <v>74711.685360929594</v>
      </c>
      <c r="C727" s="133">
        <v>468.1</v>
      </c>
      <c r="D727" s="144">
        <v>6</v>
      </c>
      <c r="E727" s="124" t="s">
        <v>1067</v>
      </c>
      <c r="F727" s="125"/>
      <c r="G727" s="125"/>
      <c r="H727" s="133"/>
      <c r="I727" s="124"/>
      <c r="J727" s="31"/>
      <c r="L727" s="125"/>
      <c r="M727" s="126"/>
      <c r="N727" s="26"/>
    </row>
    <row r="728" spans="1:14" ht="20" customHeight="1">
      <c r="A728" s="121">
        <v>1217.56</v>
      </c>
      <c r="B728" s="130">
        <v>74955.618234967696</v>
      </c>
      <c r="C728" s="123">
        <v>475.74335280000003</v>
      </c>
      <c r="D728" s="122">
        <v>3</v>
      </c>
      <c r="E728" s="124" t="s">
        <v>1065</v>
      </c>
      <c r="F728" s="121"/>
      <c r="G728" s="130"/>
      <c r="H728" s="123"/>
      <c r="I728" s="124"/>
      <c r="J728" s="31"/>
      <c r="L728" s="125"/>
      <c r="M728" s="126"/>
      <c r="N728" s="26"/>
    </row>
    <row r="729" spans="1:14" ht="20" customHeight="1">
      <c r="A729" s="125">
        <v>1222.05</v>
      </c>
      <c r="B729" s="127">
        <v>75343.126519473997</v>
      </c>
      <c r="C729" s="133">
        <v>472.2</v>
      </c>
      <c r="D729" s="144">
        <v>6</v>
      </c>
      <c r="E729" s="124" t="s">
        <v>1067</v>
      </c>
      <c r="F729" s="125"/>
      <c r="G729" s="125"/>
      <c r="H729" s="133"/>
      <c r="I729" s="124"/>
      <c r="J729" s="31"/>
      <c r="L729" s="125"/>
      <c r="M729" s="126"/>
      <c r="N729" s="26"/>
    </row>
    <row r="730" spans="1:14" ht="20" customHeight="1">
      <c r="A730" s="121">
        <v>1223.56</v>
      </c>
      <c r="B730" s="130">
        <v>75468.081024240004</v>
      </c>
      <c r="C730" s="123">
        <v>476.5383708</v>
      </c>
      <c r="D730" s="122">
        <v>3</v>
      </c>
      <c r="E730" s="124" t="s">
        <v>1065</v>
      </c>
      <c r="F730" s="121"/>
      <c r="G730" s="130"/>
      <c r="H730" s="123"/>
      <c r="I730" s="124"/>
      <c r="J730" s="31"/>
      <c r="L730" s="125"/>
      <c r="M730" s="126"/>
      <c r="N730" s="26"/>
    </row>
    <row r="731" spans="1:14" ht="20" customHeight="1">
      <c r="A731" s="121">
        <v>1228.56</v>
      </c>
      <c r="B731" s="130">
        <v>75876.918163684895</v>
      </c>
      <c r="C731" s="123">
        <v>497.21878839999999</v>
      </c>
      <c r="D731" s="122">
        <v>3</v>
      </c>
      <c r="E731" s="124" t="s">
        <v>1065</v>
      </c>
      <c r="F731" s="121"/>
      <c r="G731" s="130"/>
      <c r="H731" s="123"/>
      <c r="I731" s="124"/>
      <c r="J731" s="31"/>
      <c r="L731" s="125"/>
      <c r="M731" s="126"/>
      <c r="N731" s="26"/>
    </row>
    <row r="732" spans="1:14" ht="20" customHeight="1">
      <c r="A732" s="125">
        <v>1229.56</v>
      </c>
      <c r="B732" s="127">
        <v>75961.523360729407</v>
      </c>
      <c r="C732" s="133">
        <v>458.2</v>
      </c>
      <c r="D732" s="144">
        <v>6</v>
      </c>
      <c r="E732" s="124" t="s">
        <v>1067</v>
      </c>
      <c r="F732" s="125"/>
      <c r="G732" s="125"/>
      <c r="H732" s="133"/>
      <c r="I732" s="124"/>
      <c r="J732" s="31"/>
      <c r="L732" s="125"/>
      <c r="M732" s="126"/>
      <c r="N732" s="26"/>
    </row>
    <row r="733" spans="1:14" ht="20" customHeight="1">
      <c r="A733" s="121">
        <v>1233.56</v>
      </c>
      <c r="B733" s="130">
        <v>76303.301472233303</v>
      </c>
      <c r="C733" s="123">
        <v>417.67159700000002</v>
      </c>
      <c r="D733" s="122">
        <v>3</v>
      </c>
      <c r="E733" s="124" t="s">
        <v>1065</v>
      </c>
      <c r="F733" s="121"/>
      <c r="G733" s="130"/>
      <c r="H733" s="123"/>
      <c r="I733" s="124"/>
      <c r="J733" s="31"/>
      <c r="L733" s="125"/>
      <c r="M733" s="126"/>
      <c r="N733" s="26"/>
    </row>
    <row r="734" spans="1:14" ht="20" customHeight="1">
      <c r="A734" s="121">
        <v>1239.56</v>
      </c>
      <c r="B734" s="130">
        <v>76808.566263782501</v>
      </c>
      <c r="C734" s="123">
        <v>440.55508859999998</v>
      </c>
      <c r="D734" s="122">
        <v>3</v>
      </c>
      <c r="E734" s="124" t="s">
        <v>1065</v>
      </c>
      <c r="F734" s="121"/>
      <c r="G734" s="130"/>
      <c r="H734" s="123"/>
      <c r="I734" s="124"/>
      <c r="J734" s="31"/>
      <c r="L734" s="125"/>
      <c r="M734" s="126"/>
      <c r="N734" s="26"/>
    </row>
    <row r="735" spans="1:14" ht="20" customHeight="1">
      <c r="A735" s="125">
        <v>1242.05</v>
      </c>
      <c r="B735" s="127">
        <v>77036.381346145106</v>
      </c>
      <c r="C735" s="133">
        <v>432.5</v>
      </c>
      <c r="D735" s="144">
        <v>6</v>
      </c>
      <c r="E735" s="124" t="s">
        <v>1067</v>
      </c>
      <c r="F735" s="125"/>
      <c r="G735" s="125"/>
      <c r="H735" s="133"/>
      <c r="I735" s="124"/>
      <c r="J735" s="31"/>
      <c r="L735" s="125"/>
      <c r="M735" s="126"/>
      <c r="N735" s="26"/>
    </row>
    <row r="736" spans="1:14" ht="20" customHeight="1">
      <c r="A736" s="121">
        <v>1245.06</v>
      </c>
      <c r="B736" s="130">
        <v>77335.389705838897</v>
      </c>
      <c r="C736" s="123">
        <v>458.29788789999998</v>
      </c>
      <c r="D736" s="122">
        <v>3</v>
      </c>
      <c r="E736" s="124" t="s">
        <v>1065</v>
      </c>
      <c r="F736" s="121"/>
      <c r="G736" s="130"/>
      <c r="H736" s="123"/>
      <c r="I736" s="124"/>
      <c r="J736" s="31"/>
      <c r="L736" s="125"/>
      <c r="M736" s="126"/>
      <c r="N736" s="26"/>
    </row>
    <row r="737" spans="1:14" ht="20" customHeight="1">
      <c r="A737" s="121">
        <v>1249.55</v>
      </c>
      <c r="B737" s="130">
        <v>77703.402576618304</v>
      </c>
      <c r="C737" s="123">
        <v>452.0180565</v>
      </c>
      <c r="D737" s="122">
        <v>3</v>
      </c>
      <c r="E737" s="124" t="s">
        <v>1065</v>
      </c>
      <c r="F737" s="121"/>
      <c r="G737" s="130"/>
      <c r="H737" s="123"/>
      <c r="I737" s="124"/>
      <c r="J737" s="31"/>
      <c r="L737" s="125"/>
      <c r="M737" s="126"/>
      <c r="N737" s="26"/>
    </row>
    <row r="738" spans="1:14" ht="20" customHeight="1">
      <c r="A738" s="125">
        <v>1254.56</v>
      </c>
      <c r="B738" s="127">
        <v>78126.627108783199</v>
      </c>
      <c r="C738" s="133">
        <v>481.2</v>
      </c>
      <c r="D738" s="144">
        <v>6</v>
      </c>
      <c r="E738" s="124" t="s">
        <v>1067</v>
      </c>
      <c r="F738" s="125"/>
      <c r="G738" s="125"/>
      <c r="H738" s="133"/>
      <c r="I738" s="124"/>
      <c r="J738" s="31"/>
      <c r="L738" s="125"/>
      <c r="M738" s="126"/>
      <c r="N738" s="26"/>
    </row>
    <row r="739" spans="1:14" ht="20" customHeight="1">
      <c r="A739" s="121">
        <v>1256.06</v>
      </c>
      <c r="B739" s="130">
        <v>78259.911333086202</v>
      </c>
      <c r="C739" s="123">
        <v>483.2922949</v>
      </c>
      <c r="D739" s="122">
        <v>3</v>
      </c>
      <c r="E739" s="124" t="s">
        <v>1065</v>
      </c>
      <c r="F739" s="121"/>
      <c r="G739" s="130"/>
      <c r="H739" s="123"/>
      <c r="I739" s="124"/>
      <c r="J739" s="31"/>
      <c r="L739" s="125"/>
      <c r="M739" s="126"/>
      <c r="N739" s="26"/>
    </row>
    <row r="740" spans="1:14" ht="20" customHeight="1">
      <c r="A740" s="125">
        <v>1265.4449999999999</v>
      </c>
      <c r="B740" s="127">
        <v>79144.420836842095</v>
      </c>
      <c r="C740" s="133">
        <v>476.2</v>
      </c>
      <c r="D740" s="144">
        <v>6</v>
      </c>
      <c r="E740" s="124" t="s">
        <v>1067</v>
      </c>
      <c r="F740" s="125"/>
      <c r="G740" s="125"/>
      <c r="H740" s="133"/>
      <c r="I740" s="124"/>
      <c r="J740" s="31"/>
      <c r="L740" s="125"/>
      <c r="M740" s="126"/>
      <c r="N740" s="26"/>
    </row>
    <row r="741" spans="1:14" ht="20" customHeight="1">
      <c r="A741" s="121">
        <v>1267.06</v>
      </c>
      <c r="B741" s="130">
        <v>79285.318592369906</v>
      </c>
      <c r="C741" s="123">
        <v>499.25159029999998</v>
      </c>
      <c r="D741" s="122">
        <v>3</v>
      </c>
      <c r="E741" s="124" t="s">
        <v>1065</v>
      </c>
      <c r="F741" s="121"/>
      <c r="G741" s="130"/>
      <c r="H741" s="123"/>
      <c r="I741" s="124"/>
      <c r="J741" s="31"/>
      <c r="L741" s="125"/>
      <c r="M741" s="126"/>
      <c r="N741" s="26"/>
    </row>
    <row r="742" spans="1:14" ht="20" customHeight="1">
      <c r="A742" s="121">
        <v>1272.0374999999999</v>
      </c>
      <c r="B742" s="130">
        <v>79745.047214402395</v>
      </c>
      <c r="C742" s="123">
        <v>504.37849619999997</v>
      </c>
      <c r="D742" s="122">
        <v>3</v>
      </c>
      <c r="E742" s="124" t="s">
        <v>1065</v>
      </c>
      <c r="F742" s="121"/>
      <c r="G742" s="130"/>
      <c r="H742" s="123"/>
      <c r="I742" s="124"/>
      <c r="J742" s="31"/>
      <c r="L742" s="125"/>
      <c r="M742" s="126"/>
      <c r="N742" s="26"/>
    </row>
    <row r="743" spans="1:14" ht="20" customHeight="1">
      <c r="A743" s="125">
        <v>1274.56</v>
      </c>
      <c r="B743" s="127">
        <v>79973.7629745624</v>
      </c>
      <c r="C743" s="133">
        <v>513.70000000000005</v>
      </c>
      <c r="D743" s="144">
        <v>6</v>
      </c>
      <c r="E743" s="124" t="s">
        <v>1067</v>
      </c>
      <c r="F743" s="125"/>
      <c r="G743" s="125"/>
      <c r="H743" s="133"/>
      <c r="I743" s="124"/>
      <c r="J743" s="31"/>
      <c r="L743" s="125"/>
      <c r="M743" s="126"/>
      <c r="N743" s="26"/>
    </row>
    <row r="744" spans="1:14" ht="20" customHeight="1">
      <c r="A744" s="121">
        <v>1277.06</v>
      </c>
      <c r="B744" s="130">
        <v>80179.332655546095</v>
      </c>
      <c r="C744" s="123">
        <v>528.16828299999997</v>
      </c>
      <c r="D744" s="122">
        <v>3</v>
      </c>
      <c r="E744" s="124" t="s">
        <v>1065</v>
      </c>
      <c r="F744" s="121"/>
      <c r="G744" s="130"/>
      <c r="H744" s="123"/>
      <c r="I744" s="124"/>
      <c r="J744" s="31"/>
      <c r="L744" s="125"/>
      <c r="M744" s="126"/>
      <c r="N744" s="26"/>
    </row>
    <row r="745" spans="1:14" ht="20" customHeight="1">
      <c r="A745" s="121">
        <v>1283.06</v>
      </c>
      <c r="B745" s="130">
        <v>80713.772559438294</v>
      </c>
      <c r="C745" s="123">
        <v>550.48133770000004</v>
      </c>
      <c r="D745" s="122">
        <v>3</v>
      </c>
      <c r="E745" s="124" t="s">
        <v>1065</v>
      </c>
      <c r="F745" s="121"/>
      <c r="G745" s="130"/>
      <c r="H745" s="123"/>
      <c r="I745" s="124"/>
      <c r="J745" s="31"/>
      <c r="L745" s="125"/>
      <c r="M745" s="126"/>
      <c r="N745" s="26"/>
    </row>
    <row r="746" spans="1:14" ht="20" customHeight="1">
      <c r="A746" s="125">
        <v>1284.94</v>
      </c>
      <c r="B746" s="127">
        <v>80869.749873790803</v>
      </c>
      <c r="C746" s="133">
        <v>552.5</v>
      </c>
      <c r="D746" s="144">
        <v>6</v>
      </c>
      <c r="E746" s="124" t="s">
        <v>1067</v>
      </c>
      <c r="F746" s="125"/>
      <c r="G746" s="125"/>
      <c r="H746" s="133"/>
      <c r="I746" s="124"/>
      <c r="J746" s="31"/>
      <c r="L746" s="125"/>
      <c r="M746" s="126"/>
      <c r="N746" s="26"/>
    </row>
    <row r="747" spans="1:14" ht="20" customHeight="1">
      <c r="A747" s="121">
        <v>1288.06</v>
      </c>
      <c r="B747" s="130">
        <v>81111.309684148</v>
      </c>
      <c r="C747" s="123">
        <v>544.19790620000003</v>
      </c>
      <c r="D747" s="122">
        <v>3</v>
      </c>
      <c r="E747" s="124" t="s">
        <v>1065</v>
      </c>
      <c r="F747" s="121"/>
      <c r="G747" s="130"/>
      <c r="H747" s="123"/>
      <c r="I747" s="124"/>
      <c r="J747" s="31"/>
      <c r="L747" s="125"/>
      <c r="M747" s="126"/>
      <c r="N747" s="26"/>
    </row>
    <row r="748" spans="1:14" ht="20" customHeight="1">
      <c r="A748" s="121">
        <v>1292.56</v>
      </c>
      <c r="B748" s="130">
        <v>81449.983244824398</v>
      </c>
      <c r="C748" s="123">
        <v>564.97950370000001</v>
      </c>
      <c r="D748" s="122">
        <v>3</v>
      </c>
      <c r="E748" s="124" t="s">
        <v>1065</v>
      </c>
      <c r="F748" s="121"/>
      <c r="G748" s="130"/>
      <c r="H748" s="123"/>
      <c r="I748" s="124"/>
      <c r="J748" s="31"/>
      <c r="L748" s="125"/>
      <c r="M748" s="126"/>
      <c r="N748" s="26"/>
    </row>
    <row r="749" spans="1:14" ht="20" customHeight="1">
      <c r="A749" s="125">
        <v>1293.9024999999999</v>
      </c>
      <c r="B749" s="127">
        <v>81553.363391314298</v>
      </c>
      <c r="C749" s="133">
        <v>563.6</v>
      </c>
      <c r="D749" s="144">
        <v>6</v>
      </c>
      <c r="E749" s="124" t="s">
        <v>1067</v>
      </c>
      <c r="F749" s="125"/>
      <c r="G749" s="125"/>
      <c r="H749" s="133"/>
      <c r="I749" s="124"/>
      <c r="J749" s="31"/>
      <c r="L749" s="125"/>
      <c r="M749" s="126"/>
      <c r="N749" s="26"/>
    </row>
    <row r="750" spans="1:14" ht="20" customHeight="1">
      <c r="A750" s="121">
        <v>1297.57</v>
      </c>
      <c r="B750" s="130">
        <v>81833.747468701098</v>
      </c>
      <c r="C750" s="123">
        <v>579.36183140000003</v>
      </c>
      <c r="D750" s="122">
        <v>3</v>
      </c>
      <c r="E750" s="124" t="s">
        <v>1065</v>
      </c>
      <c r="F750" s="121"/>
      <c r="G750" s="130"/>
      <c r="H750" s="123"/>
      <c r="I750" s="124"/>
      <c r="J750" s="31"/>
      <c r="L750" s="125"/>
      <c r="M750" s="126"/>
      <c r="N750" s="26"/>
    </row>
    <row r="751" spans="1:14" ht="20" customHeight="1">
      <c r="A751" s="121">
        <v>1303.54</v>
      </c>
      <c r="B751" s="130">
        <v>82290.458699417999</v>
      </c>
      <c r="C751" s="123">
        <v>581.63522390000003</v>
      </c>
      <c r="D751" s="122">
        <v>3</v>
      </c>
      <c r="E751" s="124" t="s">
        <v>1065</v>
      </c>
      <c r="F751" s="121"/>
      <c r="G751" s="130"/>
      <c r="H751" s="123"/>
      <c r="I751" s="124"/>
      <c r="J751" s="31"/>
      <c r="L751" s="125"/>
      <c r="M751" s="126"/>
      <c r="N751" s="26"/>
    </row>
    <row r="752" spans="1:14" ht="20" customHeight="1">
      <c r="A752" s="125">
        <v>1304.56</v>
      </c>
      <c r="B752" s="127">
        <v>82374.353658590597</v>
      </c>
      <c r="C752" s="133">
        <v>593.9</v>
      </c>
      <c r="D752" s="144">
        <v>6</v>
      </c>
      <c r="E752" s="124" t="s">
        <v>1067</v>
      </c>
      <c r="F752" s="125"/>
      <c r="G752" s="125"/>
      <c r="H752" s="133"/>
      <c r="I752" s="124"/>
      <c r="J752" s="31"/>
      <c r="L752" s="125"/>
      <c r="M752" s="126"/>
      <c r="N752" s="26"/>
    </row>
    <row r="753" spans="1:14" ht="20" customHeight="1">
      <c r="A753" s="121">
        <v>1308.06</v>
      </c>
      <c r="B753" s="130">
        <v>82664.273284654497</v>
      </c>
      <c r="C753" s="123">
        <v>601.03387329999998</v>
      </c>
      <c r="D753" s="122">
        <v>3</v>
      </c>
      <c r="E753" s="124" t="s">
        <v>1065</v>
      </c>
      <c r="F753" s="121"/>
      <c r="G753" s="130"/>
      <c r="H753" s="123"/>
      <c r="I753" s="124"/>
      <c r="J753" s="31"/>
      <c r="L753" s="125"/>
      <c r="M753" s="126"/>
      <c r="N753" s="26"/>
    </row>
    <row r="754" spans="1:14" ht="20" customHeight="1">
      <c r="A754" s="125">
        <v>1312.4449999999999</v>
      </c>
      <c r="B754" s="127">
        <v>83048.3374155489</v>
      </c>
      <c r="C754" s="133">
        <v>626.6</v>
      </c>
      <c r="D754" s="144">
        <v>6</v>
      </c>
      <c r="E754" s="124" t="s">
        <v>1067</v>
      </c>
      <c r="F754" s="125"/>
      <c r="G754" s="125"/>
      <c r="H754" s="133"/>
      <c r="I754" s="124"/>
      <c r="J754" s="31"/>
      <c r="L754" s="125"/>
      <c r="M754" s="126"/>
      <c r="N754" s="26"/>
    </row>
    <row r="755" spans="1:14" ht="20" customHeight="1">
      <c r="A755" s="121">
        <v>1313.56</v>
      </c>
      <c r="B755" s="130">
        <v>83148.715932684601</v>
      </c>
      <c r="C755" s="123">
        <v>625.69090359999996</v>
      </c>
      <c r="D755" s="122">
        <v>3</v>
      </c>
      <c r="E755" s="124" t="s">
        <v>1065</v>
      </c>
      <c r="F755" s="121"/>
      <c r="G755" s="130"/>
      <c r="H755" s="123"/>
      <c r="I755" s="124"/>
      <c r="J755" s="31"/>
      <c r="L755" s="125"/>
      <c r="M755" s="126"/>
      <c r="N755" s="26"/>
    </row>
    <row r="756" spans="1:14" ht="20" customHeight="1">
      <c r="A756" s="121">
        <v>1318.05</v>
      </c>
      <c r="B756" s="130">
        <v>83488.244551241398</v>
      </c>
      <c r="C756" s="123">
        <v>628.34292960000005</v>
      </c>
      <c r="D756" s="122">
        <v>3</v>
      </c>
      <c r="E756" s="124" t="s">
        <v>1065</v>
      </c>
      <c r="F756" s="121"/>
      <c r="G756" s="130"/>
      <c r="H756" s="123"/>
      <c r="I756" s="124"/>
      <c r="J756" s="31"/>
      <c r="L756" s="125"/>
      <c r="M756" s="126"/>
      <c r="N756" s="26"/>
    </row>
    <row r="757" spans="1:14" ht="20" customHeight="1">
      <c r="A757" s="125">
        <v>1319.5875000000001</v>
      </c>
      <c r="B757" s="127">
        <v>83617.922699700706</v>
      </c>
      <c r="C757" s="133">
        <v>607.1</v>
      </c>
      <c r="D757" s="144">
        <v>6</v>
      </c>
      <c r="E757" s="124" t="s">
        <v>1067</v>
      </c>
      <c r="F757" s="125"/>
      <c r="G757" s="125"/>
      <c r="H757" s="133"/>
      <c r="I757" s="124"/>
      <c r="J757" s="31"/>
      <c r="L757" s="125"/>
      <c r="M757" s="126"/>
      <c r="N757" s="26"/>
    </row>
    <row r="758" spans="1:14" ht="20" customHeight="1">
      <c r="A758" s="121">
        <v>1322.08</v>
      </c>
      <c r="B758" s="130">
        <v>83807.906581618794</v>
      </c>
      <c r="C758" s="123">
        <v>629.59217950000004</v>
      </c>
      <c r="D758" s="122">
        <v>3</v>
      </c>
      <c r="E758" s="124" t="s">
        <v>1065</v>
      </c>
      <c r="F758" s="121"/>
      <c r="G758" s="130"/>
      <c r="H758" s="123"/>
      <c r="I758" s="124"/>
      <c r="J758" s="31"/>
      <c r="L758" s="125"/>
      <c r="M758" s="126"/>
      <c r="N758" s="26"/>
    </row>
    <row r="759" spans="1:14" ht="20" customHeight="1">
      <c r="A759" s="125">
        <v>1329.57</v>
      </c>
      <c r="B759" s="127">
        <v>84403.762105821996</v>
      </c>
      <c r="C759" s="133">
        <v>547.1</v>
      </c>
      <c r="D759" s="144">
        <v>6</v>
      </c>
      <c r="E759" s="124" t="s">
        <v>1067</v>
      </c>
      <c r="F759" s="125"/>
      <c r="G759" s="125"/>
      <c r="H759" s="133"/>
      <c r="I759" s="124"/>
      <c r="J759" s="31"/>
      <c r="L759" s="125"/>
      <c r="M759" s="126"/>
      <c r="N759" s="26"/>
    </row>
    <row r="760" spans="1:14" ht="20" customHeight="1">
      <c r="A760" s="121">
        <v>1331.06</v>
      </c>
      <c r="B760" s="130">
        <v>84521.817537514493</v>
      </c>
      <c r="C760" s="123">
        <v>502.38438309999998</v>
      </c>
      <c r="D760" s="122">
        <v>3</v>
      </c>
      <c r="E760" s="124" t="s">
        <v>1065</v>
      </c>
      <c r="F760" s="121"/>
      <c r="G760" s="130"/>
      <c r="H760" s="123"/>
      <c r="I760" s="124"/>
      <c r="J760" s="31"/>
      <c r="L760" s="125"/>
      <c r="M760" s="126"/>
      <c r="N760" s="26"/>
    </row>
    <row r="761" spans="1:14" ht="20" customHeight="1">
      <c r="A761" s="121">
        <v>1335.56</v>
      </c>
      <c r="B761" s="130">
        <v>84901.231580284002</v>
      </c>
      <c r="C761" s="123">
        <v>467.07462279999999</v>
      </c>
      <c r="D761" s="122">
        <v>3</v>
      </c>
      <c r="E761" s="124" t="s">
        <v>1065</v>
      </c>
      <c r="F761" s="121"/>
      <c r="G761" s="130"/>
      <c r="H761" s="123"/>
      <c r="I761" s="124"/>
      <c r="J761" s="31"/>
      <c r="L761" s="125"/>
      <c r="M761" s="126"/>
      <c r="N761" s="26"/>
    </row>
    <row r="762" spans="1:14" ht="20" customHeight="1">
      <c r="A762" s="125">
        <v>1339.56</v>
      </c>
      <c r="B762" s="127">
        <v>85241.765804397903</v>
      </c>
      <c r="C762" s="133">
        <v>457.4</v>
      </c>
      <c r="D762" s="144">
        <v>6</v>
      </c>
      <c r="E762" s="124" t="s">
        <v>1067</v>
      </c>
      <c r="F762" s="125"/>
      <c r="G762" s="125"/>
      <c r="H762" s="133"/>
      <c r="I762" s="124"/>
      <c r="J762" s="31"/>
      <c r="L762" s="125"/>
      <c r="M762" s="126"/>
      <c r="N762" s="26"/>
    </row>
    <row r="763" spans="1:14" ht="20" customHeight="1">
      <c r="A763" s="121">
        <v>1340.5325</v>
      </c>
      <c r="B763" s="130">
        <v>85320.7290728363</v>
      </c>
      <c r="C763" s="123">
        <v>474.55799359999997</v>
      </c>
      <c r="D763" s="122">
        <v>3</v>
      </c>
      <c r="E763" s="124" t="s">
        <v>1065</v>
      </c>
      <c r="F763" s="121"/>
      <c r="G763" s="130"/>
      <c r="H763" s="123"/>
      <c r="I763" s="124"/>
      <c r="J763" s="31"/>
      <c r="L763" s="125"/>
      <c r="M763" s="126"/>
      <c r="N763" s="26"/>
    </row>
    <row r="764" spans="1:14" ht="20" customHeight="1">
      <c r="A764" s="121">
        <v>1340.5925</v>
      </c>
      <c r="B764" s="130">
        <v>85325.295473432998</v>
      </c>
      <c r="C764" s="123">
        <v>475.24536419999998</v>
      </c>
      <c r="D764" s="122">
        <v>3</v>
      </c>
      <c r="E764" s="124" t="s">
        <v>1065</v>
      </c>
      <c r="F764" s="121"/>
      <c r="G764" s="130"/>
      <c r="H764" s="123"/>
      <c r="I764" s="124"/>
      <c r="J764" s="31"/>
      <c r="L764" s="125"/>
      <c r="M764" s="126"/>
      <c r="N764" s="26"/>
    </row>
    <row r="765" spans="1:14" ht="20" customHeight="1">
      <c r="A765" s="121">
        <v>1344.56</v>
      </c>
      <c r="B765" s="130">
        <v>85669.883402095395</v>
      </c>
      <c r="C765" s="123">
        <v>461.44862660000001</v>
      </c>
      <c r="D765" s="122">
        <v>3</v>
      </c>
      <c r="E765" s="124" t="s">
        <v>1065</v>
      </c>
      <c r="F765" s="121"/>
      <c r="G765" s="130"/>
      <c r="H765" s="123"/>
      <c r="I765" s="124"/>
      <c r="J765" s="31"/>
      <c r="L765" s="125"/>
      <c r="M765" s="126"/>
      <c r="N765" s="26"/>
    </row>
    <row r="766" spans="1:14" ht="20" customHeight="1">
      <c r="A766" s="125">
        <v>1348.56</v>
      </c>
      <c r="B766" s="127">
        <v>86007.020713896098</v>
      </c>
      <c r="C766" s="133">
        <v>451</v>
      </c>
      <c r="D766" s="144">
        <v>6</v>
      </c>
      <c r="E766" s="124" t="s">
        <v>1067</v>
      </c>
      <c r="F766" s="125"/>
      <c r="G766" s="125"/>
      <c r="H766" s="133"/>
      <c r="I766" s="124"/>
      <c r="J766" s="31"/>
      <c r="L766" s="125"/>
      <c r="M766" s="126"/>
      <c r="N766" s="26"/>
    </row>
    <row r="767" spans="1:14" ht="20" customHeight="1">
      <c r="A767" s="121">
        <v>1349.5374999999999</v>
      </c>
      <c r="B767" s="130">
        <v>86097.121199583693</v>
      </c>
      <c r="C767" s="123">
        <v>443.72051249999998</v>
      </c>
      <c r="D767" s="122">
        <v>3</v>
      </c>
      <c r="E767" s="124" t="s">
        <v>1065</v>
      </c>
      <c r="F767" s="121"/>
      <c r="G767" s="130"/>
      <c r="H767" s="123"/>
      <c r="I767" s="124"/>
      <c r="J767" s="31"/>
      <c r="L767" s="125"/>
      <c r="M767" s="126"/>
      <c r="N767" s="26"/>
    </row>
    <row r="768" spans="1:14" ht="20" customHeight="1">
      <c r="A768" s="121">
        <v>1353.56</v>
      </c>
      <c r="B768" s="130">
        <v>86476.856788285499</v>
      </c>
      <c r="C768" s="123">
        <v>455.91448689999999</v>
      </c>
      <c r="D768" s="122">
        <v>3</v>
      </c>
      <c r="E768" s="124" t="s">
        <v>1065</v>
      </c>
      <c r="F768" s="121"/>
      <c r="G768" s="130"/>
      <c r="H768" s="123"/>
      <c r="I768" s="124"/>
      <c r="J768" s="31"/>
      <c r="L768" s="125"/>
      <c r="M768" s="126"/>
      <c r="N768" s="26"/>
    </row>
    <row r="769" spans="1:14" ht="20" customHeight="1">
      <c r="A769" s="121">
        <v>1357.0325</v>
      </c>
      <c r="B769" s="130">
        <v>86827.149961743999</v>
      </c>
      <c r="C769" s="123">
        <v>451.22354009999998</v>
      </c>
      <c r="D769" s="122">
        <v>3</v>
      </c>
      <c r="E769" s="124" t="s">
        <v>1065</v>
      </c>
      <c r="F769" s="121"/>
      <c r="G769" s="130"/>
      <c r="H769" s="123"/>
      <c r="I769" s="124"/>
      <c r="J769" s="31"/>
      <c r="L769" s="125"/>
      <c r="M769" s="126"/>
      <c r="N769" s="26"/>
    </row>
    <row r="770" spans="1:14" ht="20" customHeight="1">
      <c r="A770" s="121">
        <v>1357.0925</v>
      </c>
      <c r="B770" s="130">
        <v>86832.987599079905</v>
      </c>
      <c r="C770" s="123">
        <v>449.52099770000001</v>
      </c>
      <c r="D770" s="122">
        <v>3</v>
      </c>
      <c r="E770" s="124" t="s">
        <v>1065</v>
      </c>
      <c r="F770" s="121"/>
      <c r="G770" s="130"/>
      <c r="H770" s="123"/>
      <c r="I770" s="124"/>
      <c r="J770" s="31"/>
      <c r="L770" s="125"/>
      <c r="M770" s="126"/>
      <c r="N770" s="26"/>
    </row>
    <row r="771" spans="1:14" ht="20" customHeight="1">
      <c r="A771" s="125">
        <v>1358.95</v>
      </c>
      <c r="B771" s="127">
        <v>87009.179158806204</v>
      </c>
      <c r="C771" s="133">
        <v>460.9</v>
      </c>
      <c r="D771" s="144">
        <v>6</v>
      </c>
      <c r="E771" s="124" t="s">
        <v>1067</v>
      </c>
      <c r="F771" s="125"/>
      <c r="G771" s="125"/>
      <c r="H771" s="133"/>
      <c r="I771" s="124"/>
      <c r="J771" s="31"/>
      <c r="L771" s="125"/>
      <c r="M771" s="126"/>
      <c r="N771" s="26"/>
    </row>
    <row r="772" spans="1:14" ht="20" customHeight="1">
      <c r="A772" s="121">
        <v>1361.06</v>
      </c>
      <c r="B772" s="130">
        <v>87222.420070259104</v>
      </c>
      <c r="C772" s="123">
        <v>439.55239840000002</v>
      </c>
      <c r="D772" s="122">
        <v>3</v>
      </c>
      <c r="E772" s="124" t="s">
        <v>1065</v>
      </c>
      <c r="F772" s="121"/>
      <c r="G772" s="130"/>
      <c r="H772" s="123"/>
      <c r="I772" s="124"/>
      <c r="J772" s="31"/>
      <c r="L772" s="125"/>
      <c r="M772" s="126"/>
      <c r="N772" s="26"/>
    </row>
    <row r="773" spans="1:14" ht="20" customHeight="1">
      <c r="A773" s="121">
        <v>1365.06</v>
      </c>
      <c r="B773" s="130">
        <v>87630.441877002202</v>
      </c>
      <c r="C773" s="123">
        <v>444.041516</v>
      </c>
      <c r="D773" s="122">
        <v>3</v>
      </c>
      <c r="E773" s="124" t="s">
        <v>1065</v>
      </c>
      <c r="F773" s="121"/>
      <c r="G773" s="130"/>
      <c r="H773" s="123"/>
      <c r="I773" s="124"/>
      <c r="J773" s="31"/>
      <c r="L773" s="125"/>
      <c r="M773" s="126"/>
      <c r="N773" s="26"/>
    </row>
    <row r="774" spans="1:14" ht="20" customHeight="1">
      <c r="A774" s="121">
        <v>1368.56</v>
      </c>
      <c r="B774" s="130">
        <v>87981.298246313905</v>
      </c>
      <c r="C774" s="123">
        <v>446.39483510000002</v>
      </c>
      <c r="D774" s="122">
        <v>3</v>
      </c>
      <c r="E774" s="124" t="s">
        <v>1065</v>
      </c>
      <c r="F774" s="121"/>
      <c r="G774" s="130"/>
      <c r="H774" s="123"/>
      <c r="I774" s="124"/>
      <c r="J774" s="31"/>
      <c r="L774" s="125"/>
      <c r="M774" s="126"/>
      <c r="N774" s="26"/>
    </row>
    <row r="775" spans="1:14" ht="20" customHeight="1">
      <c r="A775" s="125">
        <v>1369.5550000000001</v>
      </c>
      <c r="B775" s="127">
        <v>88079.856886187801</v>
      </c>
      <c r="C775" s="133">
        <v>449.1</v>
      </c>
      <c r="D775" s="144">
        <v>6</v>
      </c>
      <c r="E775" s="124" t="s">
        <v>1067</v>
      </c>
      <c r="F775" s="125"/>
      <c r="G775" s="125"/>
      <c r="H775" s="133"/>
      <c r="I775" s="124"/>
      <c r="J775" s="31"/>
      <c r="L775" s="125"/>
      <c r="M775" s="126"/>
      <c r="N775" s="26"/>
    </row>
    <row r="776" spans="1:14" ht="20" customHeight="1">
      <c r="A776" s="121">
        <v>1373.56</v>
      </c>
      <c r="B776" s="130">
        <v>88489.334443004496</v>
      </c>
      <c r="C776" s="123">
        <v>463.60494440000002</v>
      </c>
      <c r="D776" s="122">
        <v>3</v>
      </c>
      <c r="E776" s="124" t="s">
        <v>1065</v>
      </c>
      <c r="F776" s="121"/>
      <c r="G776" s="130"/>
      <c r="H776" s="123"/>
      <c r="I776" s="124"/>
      <c r="J776" s="31"/>
      <c r="L776" s="125"/>
      <c r="M776" s="126"/>
      <c r="N776" s="26"/>
    </row>
    <row r="777" spans="1:14" ht="20" customHeight="1">
      <c r="A777" s="121">
        <v>1378.56</v>
      </c>
      <c r="B777" s="130">
        <v>89027.047989212704</v>
      </c>
      <c r="C777" s="123">
        <v>509.78825019999999</v>
      </c>
      <c r="D777" s="122">
        <v>3</v>
      </c>
      <c r="E777" s="124" t="s">
        <v>1065</v>
      </c>
      <c r="F777" s="121"/>
      <c r="G777" s="130"/>
      <c r="H777" s="123"/>
      <c r="I777" s="124"/>
      <c r="J777" s="31"/>
      <c r="L777" s="125"/>
      <c r="M777" s="126"/>
      <c r="N777" s="26"/>
    </row>
    <row r="778" spans="1:14" ht="20" customHeight="1">
      <c r="A778" s="125">
        <v>1379.5550000000001</v>
      </c>
      <c r="B778" s="127">
        <v>89146.406208175205</v>
      </c>
      <c r="C778" s="133">
        <v>501.6</v>
      </c>
      <c r="D778" s="144">
        <v>6</v>
      </c>
      <c r="E778" s="124" t="s">
        <v>1067</v>
      </c>
      <c r="F778" s="125"/>
      <c r="G778" s="125"/>
      <c r="H778" s="133"/>
      <c r="I778" s="124"/>
      <c r="J778" s="31"/>
      <c r="L778" s="125"/>
      <c r="M778" s="126"/>
      <c r="N778" s="26"/>
    </row>
    <row r="779" spans="1:14" ht="20" customHeight="1">
      <c r="A779" s="121">
        <v>1384.0374999999999</v>
      </c>
      <c r="B779" s="130">
        <v>89642.056904774901</v>
      </c>
      <c r="C779" s="123">
        <v>520.47453080000003</v>
      </c>
      <c r="D779" s="122">
        <v>3</v>
      </c>
      <c r="E779" s="124" t="s">
        <v>1065</v>
      </c>
      <c r="F779" s="121"/>
      <c r="G779" s="130"/>
      <c r="H779" s="123"/>
      <c r="I779" s="124"/>
      <c r="J779" s="31"/>
      <c r="L779" s="125"/>
      <c r="M779" s="126"/>
      <c r="N779" s="26"/>
    </row>
    <row r="780" spans="1:14" ht="20" customHeight="1">
      <c r="A780" s="121">
        <v>1390.06</v>
      </c>
      <c r="B780" s="130">
        <v>90316.409809908902</v>
      </c>
      <c r="C780" s="123">
        <v>498.3930077</v>
      </c>
      <c r="D780" s="122">
        <v>3</v>
      </c>
      <c r="E780" s="124" t="s">
        <v>1065</v>
      </c>
      <c r="F780" s="121"/>
      <c r="G780" s="130"/>
      <c r="H780" s="123"/>
      <c r="I780" s="124"/>
      <c r="J780" s="31"/>
      <c r="L780" s="125"/>
      <c r="M780" s="126"/>
      <c r="N780" s="26"/>
    </row>
    <row r="781" spans="1:14" ht="20" customHeight="1">
      <c r="A781" s="125">
        <v>1394.5775000000001</v>
      </c>
      <c r="B781" s="127">
        <v>90789.023914375604</v>
      </c>
      <c r="C781" s="133">
        <v>489.9</v>
      </c>
      <c r="D781" s="144">
        <v>6</v>
      </c>
      <c r="E781" s="124" t="s">
        <v>1067</v>
      </c>
      <c r="F781" s="125"/>
      <c r="G781" s="125"/>
      <c r="H781" s="133"/>
      <c r="I781" s="124"/>
      <c r="J781" s="31"/>
      <c r="L781" s="125"/>
      <c r="M781" s="126"/>
      <c r="N781" s="26"/>
    </row>
    <row r="782" spans="1:14" ht="20" customHeight="1">
      <c r="A782" s="121">
        <v>1396.5325</v>
      </c>
      <c r="B782" s="130">
        <v>90972.441119069801</v>
      </c>
      <c r="C782" s="123">
        <v>482.90558800000002</v>
      </c>
      <c r="D782" s="122">
        <v>3</v>
      </c>
      <c r="E782" s="124" t="s">
        <v>1065</v>
      </c>
      <c r="F782" s="121"/>
      <c r="G782" s="130"/>
      <c r="H782" s="123"/>
      <c r="I782" s="124"/>
      <c r="J782" s="31"/>
      <c r="L782" s="125"/>
      <c r="M782" s="126"/>
      <c r="N782" s="26"/>
    </row>
    <row r="783" spans="1:14" ht="20" customHeight="1">
      <c r="A783" s="121">
        <v>1396.5925</v>
      </c>
      <c r="B783" s="130">
        <v>90978.124974013495</v>
      </c>
      <c r="C783" s="123">
        <v>492.59689759999998</v>
      </c>
      <c r="D783" s="122">
        <v>3</v>
      </c>
      <c r="E783" s="124" t="s">
        <v>1065</v>
      </c>
      <c r="F783" s="121"/>
      <c r="G783" s="130"/>
      <c r="H783" s="123"/>
      <c r="I783" s="124"/>
      <c r="J783" s="31"/>
      <c r="L783" s="125"/>
      <c r="M783" s="126"/>
      <c r="N783" s="26"/>
    </row>
    <row r="784" spans="1:14" ht="20" customHeight="1">
      <c r="A784" s="121">
        <v>1401.06</v>
      </c>
      <c r="B784" s="130">
        <v>91425.079421256305</v>
      </c>
      <c r="C784" s="123">
        <v>453.58988729999999</v>
      </c>
      <c r="D784" s="122">
        <v>3</v>
      </c>
      <c r="E784" s="124" t="s">
        <v>1065</v>
      </c>
      <c r="F784" s="121"/>
      <c r="G784" s="130"/>
      <c r="H784" s="123"/>
      <c r="I784" s="124"/>
      <c r="J784" s="31"/>
      <c r="L784" s="125"/>
      <c r="M784" s="126"/>
      <c r="N784" s="26"/>
    </row>
    <row r="785" spans="1:14" ht="20" customHeight="1">
      <c r="A785" s="121">
        <v>1407.5374999999999</v>
      </c>
      <c r="B785" s="130">
        <v>92090.539402208102</v>
      </c>
      <c r="C785" s="123">
        <v>445.9949585</v>
      </c>
      <c r="D785" s="122">
        <v>3</v>
      </c>
      <c r="E785" s="124" t="s">
        <v>1065</v>
      </c>
      <c r="F785" s="121"/>
      <c r="G785" s="130"/>
      <c r="H785" s="123"/>
      <c r="I785" s="124"/>
      <c r="J785" s="31"/>
      <c r="L785" s="125"/>
      <c r="M785" s="126"/>
      <c r="N785" s="26"/>
    </row>
    <row r="786" spans="1:14" ht="20" customHeight="1">
      <c r="A786" s="125">
        <v>1409.5474999999999</v>
      </c>
      <c r="B786" s="127">
        <v>92287.720543024101</v>
      </c>
      <c r="C786" s="133">
        <v>451.9</v>
      </c>
      <c r="D786" s="144">
        <v>6</v>
      </c>
      <c r="E786" s="124" t="s">
        <v>1067</v>
      </c>
      <c r="F786" s="125"/>
      <c r="G786" s="125"/>
      <c r="H786" s="133"/>
      <c r="I786" s="124"/>
      <c r="J786" s="31"/>
      <c r="L786" s="125"/>
      <c r="M786" s="126"/>
      <c r="N786" s="26"/>
    </row>
    <row r="787" spans="1:14" ht="20" customHeight="1">
      <c r="A787" s="121">
        <v>1414.5374999999999</v>
      </c>
      <c r="B787" s="130">
        <v>92746.372724081593</v>
      </c>
      <c r="C787" s="123">
        <v>446.57171169999998</v>
      </c>
      <c r="D787" s="122">
        <v>3</v>
      </c>
      <c r="E787" s="124" t="s">
        <v>1065</v>
      </c>
      <c r="F787" s="121"/>
      <c r="G787" s="130"/>
      <c r="H787" s="123"/>
      <c r="I787" s="124"/>
      <c r="J787" s="31"/>
      <c r="L787" s="125"/>
      <c r="M787" s="126"/>
      <c r="N787" s="26"/>
    </row>
    <row r="788" spans="1:14" ht="20" customHeight="1">
      <c r="A788" s="121">
        <v>1419.0325</v>
      </c>
      <c r="B788" s="130">
        <v>93198.890895874007</v>
      </c>
      <c r="C788" s="123">
        <v>459.71295909999998</v>
      </c>
      <c r="D788" s="122">
        <v>3</v>
      </c>
      <c r="E788" s="124" t="s">
        <v>1065</v>
      </c>
      <c r="F788" s="121"/>
      <c r="G788" s="130"/>
      <c r="H788" s="123"/>
      <c r="I788" s="124"/>
      <c r="J788" s="31"/>
      <c r="L788" s="125"/>
      <c r="M788" s="126"/>
      <c r="N788" s="26"/>
    </row>
    <row r="789" spans="1:14" ht="20" customHeight="1">
      <c r="A789" s="121">
        <v>1419.06</v>
      </c>
      <c r="B789" s="122">
        <v>93202.138028431102</v>
      </c>
      <c r="C789" s="123">
        <v>454.22775890000003</v>
      </c>
      <c r="D789" s="122">
        <v>3</v>
      </c>
      <c r="E789" s="124" t="s">
        <v>1065</v>
      </c>
      <c r="F789" s="121"/>
      <c r="G789" s="122"/>
      <c r="H789" s="123"/>
      <c r="I789" s="124"/>
      <c r="J789" s="31"/>
      <c r="L789" s="125"/>
      <c r="M789" s="126"/>
      <c r="N789" s="26"/>
    </row>
    <row r="790" spans="1:14" ht="20" customHeight="1">
      <c r="A790" s="121">
        <v>1419.0925</v>
      </c>
      <c r="B790" s="122">
        <v>93205.385160988095</v>
      </c>
      <c r="C790" s="123">
        <v>453.6286164</v>
      </c>
      <c r="D790" s="122">
        <v>3</v>
      </c>
      <c r="E790" s="124" t="s">
        <v>1065</v>
      </c>
      <c r="F790" s="121"/>
      <c r="G790" s="122"/>
      <c r="H790" s="123"/>
      <c r="I790" s="124"/>
      <c r="J790" s="31"/>
      <c r="L790" s="125"/>
      <c r="M790" s="126"/>
      <c r="N790" s="26"/>
    </row>
    <row r="791" spans="1:14" ht="20" customHeight="1">
      <c r="A791" s="125">
        <v>1422.05</v>
      </c>
      <c r="B791" s="127">
        <v>93507.3232545426</v>
      </c>
      <c r="C791" s="133">
        <v>449.2</v>
      </c>
      <c r="D791" s="144">
        <v>6</v>
      </c>
      <c r="E791" s="124" t="s">
        <v>1067</v>
      </c>
      <c r="F791" s="125"/>
      <c r="G791" s="125"/>
      <c r="H791" s="133"/>
      <c r="I791" s="124"/>
      <c r="J791" s="31"/>
      <c r="L791" s="125"/>
      <c r="M791" s="126"/>
      <c r="N791" s="26"/>
    </row>
    <row r="792" spans="1:14" ht="20" customHeight="1">
      <c r="A792" s="121">
        <v>1425.0475000000001</v>
      </c>
      <c r="B792" s="130">
        <v>93858.379931668998</v>
      </c>
      <c r="C792" s="123">
        <v>442.10301870000001</v>
      </c>
      <c r="D792" s="122">
        <v>3</v>
      </c>
      <c r="E792" s="124" t="s">
        <v>1065</v>
      </c>
      <c r="F792" s="121"/>
      <c r="G792" s="130"/>
      <c r="H792" s="123"/>
      <c r="I792" s="124"/>
      <c r="J792" s="31"/>
      <c r="L792" s="125"/>
      <c r="M792" s="126"/>
      <c r="N792" s="26"/>
    </row>
    <row r="793" spans="1:14" ht="20" customHeight="1">
      <c r="A793" s="121">
        <v>1431.5374999999999</v>
      </c>
      <c r="B793" s="130">
        <v>94569.648146317893</v>
      </c>
      <c r="C793" s="123">
        <v>451.56599160000002</v>
      </c>
      <c r="D793" s="122">
        <v>3</v>
      </c>
      <c r="E793" s="124" t="s">
        <v>1065</v>
      </c>
      <c r="F793" s="121"/>
      <c r="G793" s="130"/>
      <c r="H793" s="123"/>
      <c r="I793" s="124"/>
      <c r="J793" s="31"/>
      <c r="L793" s="125"/>
      <c r="M793" s="126"/>
      <c r="N793" s="26"/>
    </row>
    <row r="794" spans="1:14" ht="20" customHeight="1">
      <c r="A794" s="125">
        <v>1434.56</v>
      </c>
      <c r="B794" s="127">
        <v>94876.711098949498</v>
      </c>
      <c r="C794" s="133">
        <v>444.8</v>
      </c>
      <c r="D794" s="144">
        <v>6</v>
      </c>
      <c r="E794" s="124" t="s">
        <v>1067</v>
      </c>
      <c r="F794" s="125"/>
      <c r="G794" s="125"/>
      <c r="H794" s="133"/>
      <c r="I794" s="124"/>
      <c r="J794" s="31"/>
      <c r="L794" s="125"/>
      <c r="M794" s="126"/>
      <c r="N794" s="26"/>
    </row>
    <row r="795" spans="1:14" ht="20" customHeight="1">
      <c r="A795" s="121">
        <v>1437.0475000000001</v>
      </c>
      <c r="B795" s="130">
        <v>95123.759994166307</v>
      </c>
      <c r="C795" s="123">
        <v>436.10203159999998</v>
      </c>
      <c r="D795" s="122">
        <v>3</v>
      </c>
      <c r="E795" s="124" t="s">
        <v>1065</v>
      </c>
      <c r="F795" s="121"/>
      <c r="G795" s="130"/>
      <c r="H795" s="123"/>
      <c r="I795" s="124"/>
      <c r="J795" s="31"/>
      <c r="L795" s="125"/>
      <c r="M795" s="126"/>
      <c r="N795" s="26"/>
    </row>
    <row r="796" spans="1:14" ht="20" customHeight="1">
      <c r="A796" s="121">
        <v>1443.06</v>
      </c>
      <c r="B796" s="130">
        <v>95762.221827134897</v>
      </c>
      <c r="C796" s="123">
        <v>449.73510859999999</v>
      </c>
      <c r="D796" s="122">
        <v>3</v>
      </c>
      <c r="E796" s="124" t="s">
        <v>1065</v>
      </c>
      <c r="F796" s="121"/>
      <c r="G796" s="130"/>
      <c r="H796" s="123"/>
      <c r="I796" s="124"/>
      <c r="J796" s="31"/>
      <c r="L796" s="125"/>
      <c r="M796" s="126"/>
      <c r="N796" s="26"/>
    </row>
    <row r="797" spans="1:14" ht="20" customHeight="1">
      <c r="A797" s="125">
        <v>1444.94</v>
      </c>
      <c r="B797" s="127">
        <v>95949.637201687801</v>
      </c>
      <c r="C797" s="133">
        <v>438.1</v>
      </c>
      <c r="D797" s="144">
        <v>6</v>
      </c>
      <c r="E797" s="124" t="s">
        <v>1067</v>
      </c>
      <c r="F797" s="125"/>
      <c r="G797" s="125"/>
      <c r="H797" s="133"/>
      <c r="I797" s="124"/>
      <c r="J797" s="31"/>
      <c r="L797" s="125"/>
      <c r="M797" s="126"/>
      <c r="N797" s="26"/>
    </row>
    <row r="798" spans="1:14" ht="20" customHeight="1">
      <c r="A798" s="121">
        <v>1448.53</v>
      </c>
      <c r="B798" s="130">
        <v>96292.880320405602</v>
      </c>
      <c r="C798" s="123">
        <v>455.42516000000001</v>
      </c>
      <c r="D798" s="122">
        <v>3</v>
      </c>
      <c r="E798" s="124" t="s">
        <v>1065</v>
      </c>
      <c r="F798" s="121"/>
      <c r="G798" s="130"/>
      <c r="H798" s="123"/>
      <c r="I798" s="124"/>
      <c r="J798" s="31"/>
      <c r="L798" s="125"/>
      <c r="M798" s="126"/>
      <c r="N798" s="26"/>
    </row>
    <row r="799" spans="1:14" ht="20" customHeight="1">
      <c r="A799" s="125">
        <v>1449.56</v>
      </c>
      <c r="B799" s="127">
        <v>96396.031987032693</v>
      </c>
      <c r="C799" s="133">
        <v>459</v>
      </c>
      <c r="D799" s="144">
        <v>6</v>
      </c>
      <c r="E799" s="124" t="s">
        <v>1067</v>
      </c>
      <c r="F799" s="125"/>
      <c r="G799" s="125"/>
      <c r="H799" s="133"/>
      <c r="I799" s="124"/>
      <c r="J799" s="31"/>
      <c r="L799" s="125"/>
      <c r="M799" s="126"/>
      <c r="N799" s="26"/>
    </row>
    <row r="800" spans="1:14" ht="20" customHeight="1">
      <c r="A800" s="121">
        <v>1455.56</v>
      </c>
      <c r="B800" s="130">
        <v>96998.616426577093</v>
      </c>
      <c r="C800" s="123">
        <v>453.76147179999998</v>
      </c>
      <c r="D800" s="122">
        <v>3</v>
      </c>
      <c r="E800" s="124" t="s">
        <v>1065</v>
      </c>
      <c r="F800" s="121"/>
      <c r="G800" s="130"/>
      <c r="H800" s="123"/>
      <c r="I800" s="124"/>
      <c r="J800" s="31"/>
      <c r="L800" s="125"/>
      <c r="M800" s="126"/>
      <c r="N800" s="26"/>
    </row>
    <row r="801" spans="1:14" ht="20" customHeight="1">
      <c r="A801" s="125">
        <v>1459.5550000000001</v>
      </c>
      <c r="B801" s="127">
        <v>97392.1066589369</v>
      </c>
      <c r="C801" s="133">
        <v>474</v>
      </c>
      <c r="D801" s="144">
        <v>6</v>
      </c>
      <c r="E801" s="124" t="s">
        <v>1067</v>
      </c>
      <c r="F801" s="125"/>
      <c r="G801" s="125"/>
      <c r="H801" s="133"/>
      <c r="I801" s="124"/>
      <c r="J801" s="31"/>
      <c r="L801" s="125"/>
      <c r="M801" s="126"/>
      <c r="N801" s="26"/>
    </row>
    <row r="802" spans="1:14" ht="20" customHeight="1">
      <c r="A802" s="121">
        <v>1461.5374999999999</v>
      </c>
      <c r="B802" s="130">
        <v>97573.282388262698</v>
      </c>
      <c r="C802" s="123">
        <v>475.93915490000001</v>
      </c>
      <c r="D802" s="122">
        <v>3</v>
      </c>
      <c r="E802" s="124" t="s">
        <v>1065</v>
      </c>
      <c r="F802" s="121"/>
      <c r="G802" s="130"/>
      <c r="H802" s="123"/>
      <c r="I802" s="124"/>
      <c r="J802" s="31"/>
      <c r="L802" s="125"/>
      <c r="M802" s="126"/>
      <c r="N802" s="26"/>
    </row>
    <row r="803" spans="1:14" ht="20" customHeight="1">
      <c r="A803" s="121">
        <v>1468.06</v>
      </c>
      <c r="B803" s="130">
        <v>98236.862049431104</v>
      </c>
      <c r="C803" s="123">
        <v>509.14179919999998</v>
      </c>
      <c r="D803" s="122">
        <v>3</v>
      </c>
      <c r="E803" s="124" t="s">
        <v>1065</v>
      </c>
      <c r="F803" s="121"/>
      <c r="G803" s="130"/>
      <c r="H803" s="123"/>
      <c r="I803" s="124"/>
      <c r="J803" s="31"/>
      <c r="L803" s="125"/>
      <c r="M803" s="126"/>
      <c r="N803" s="26"/>
    </row>
    <row r="804" spans="1:14" ht="20" customHeight="1">
      <c r="A804" s="125">
        <v>1469.56</v>
      </c>
      <c r="B804" s="127">
        <v>98379.034887183399</v>
      </c>
      <c r="C804" s="133">
        <v>499.3</v>
      </c>
      <c r="D804" s="144">
        <v>6</v>
      </c>
      <c r="E804" s="124" t="s">
        <v>1067</v>
      </c>
      <c r="F804" s="125"/>
      <c r="G804" s="125"/>
      <c r="H804" s="133"/>
      <c r="I804" s="124"/>
      <c r="J804" s="31"/>
      <c r="L804" s="125"/>
      <c r="M804" s="126"/>
      <c r="N804" s="26"/>
    </row>
    <row r="805" spans="1:14" ht="20" customHeight="1">
      <c r="A805" s="121">
        <v>1473.56</v>
      </c>
      <c r="B805" s="130">
        <v>98781.243869617902</v>
      </c>
      <c r="C805" s="123">
        <v>494.28577949999999</v>
      </c>
      <c r="D805" s="122">
        <v>3</v>
      </c>
      <c r="E805" s="124" t="s">
        <v>1065</v>
      </c>
      <c r="F805" s="121"/>
      <c r="G805" s="130"/>
      <c r="H805" s="123"/>
      <c r="I805" s="124"/>
      <c r="J805" s="31"/>
      <c r="L805" s="125"/>
      <c r="M805" s="126"/>
      <c r="N805" s="26"/>
    </row>
    <row r="806" spans="1:14" ht="20" customHeight="1">
      <c r="A806" s="125">
        <v>1474.56</v>
      </c>
      <c r="B806" s="127">
        <v>98877.374198394697</v>
      </c>
      <c r="C806" s="133">
        <v>493.1</v>
      </c>
      <c r="D806" s="144">
        <v>6</v>
      </c>
      <c r="E806" s="124" t="s">
        <v>1067</v>
      </c>
      <c r="F806" s="125"/>
      <c r="G806" s="125"/>
      <c r="H806" s="133"/>
      <c r="I806" s="124"/>
      <c r="J806" s="31"/>
      <c r="L806" s="125"/>
      <c r="M806" s="126"/>
      <c r="N806" s="26"/>
    </row>
    <row r="807" spans="1:14" ht="20" customHeight="1">
      <c r="A807" s="121">
        <v>1480.06</v>
      </c>
      <c r="B807" s="130">
        <v>99393.035336623798</v>
      </c>
      <c r="C807" s="123">
        <v>510.23557319999998</v>
      </c>
      <c r="D807" s="122">
        <v>3</v>
      </c>
      <c r="E807" s="124" t="s">
        <v>1065</v>
      </c>
      <c r="F807" s="121"/>
      <c r="G807" s="130"/>
      <c r="H807" s="123"/>
      <c r="I807" s="124"/>
      <c r="J807" s="31"/>
      <c r="L807" s="125"/>
      <c r="M807" s="126"/>
      <c r="N807" s="26"/>
    </row>
    <row r="808" spans="1:14" ht="20" customHeight="1">
      <c r="A808" s="125">
        <v>1484.5550000000001</v>
      </c>
      <c r="B808" s="127">
        <v>99783.715391627498</v>
      </c>
      <c r="C808" s="133">
        <v>519.5</v>
      </c>
      <c r="D808" s="144">
        <v>6</v>
      </c>
      <c r="E808" s="124" t="s">
        <v>1067</v>
      </c>
      <c r="F808" s="125"/>
      <c r="G808" s="125"/>
      <c r="H808" s="133"/>
      <c r="I808" s="124"/>
      <c r="J808" s="31"/>
      <c r="L808" s="125"/>
      <c r="M808" s="126"/>
      <c r="N808" s="26"/>
    </row>
    <row r="809" spans="1:14" ht="20" customHeight="1">
      <c r="A809" s="121">
        <v>1486.56</v>
      </c>
      <c r="B809" s="130">
        <v>99974.493259910203</v>
      </c>
      <c r="C809" s="123">
        <v>518.38537229999997</v>
      </c>
      <c r="D809" s="122">
        <v>3</v>
      </c>
      <c r="E809" s="124" t="s">
        <v>1065</v>
      </c>
      <c r="F809" s="121"/>
      <c r="G809" s="130"/>
      <c r="H809" s="123"/>
      <c r="I809" s="124"/>
      <c r="J809" s="31"/>
      <c r="L809" s="125"/>
      <c r="M809" s="126"/>
      <c r="N809" s="26"/>
    </row>
    <row r="810" spans="1:14" ht="20" customHeight="1">
      <c r="A810" s="121">
        <v>1492.56</v>
      </c>
      <c r="B810" s="130">
        <v>100540.043923877</v>
      </c>
      <c r="C810" s="123">
        <v>529.31362530000001</v>
      </c>
      <c r="D810" s="122">
        <v>3</v>
      </c>
      <c r="E810" s="124" t="s">
        <v>1065</v>
      </c>
      <c r="F810" s="121"/>
      <c r="G810" s="130"/>
      <c r="H810" s="123"/>
      <c r="I810" s="124"/>
      <c r="J810" s="31"/>
      <c r="L810" s="125"/>
      <c r="M810" s="126"/>
      <c r="N810" s="26"/>
    </row>
    <row r="811" spans="1:14" ht="20" customHeight="1">
      <c r="A811" s="125">
        <v>1494.5550000000001</v>
      </c>
      <c r="B811" s="127">
        <v>100722.704854639</v>
      </c>
      <c r="C811" s="133">
        <v>542.4</v>
      </c>
      <c r="D811" s="144">
        <v>6</v>
      </c>
      <c r="E811" s="124" t="s">
        <v>1067</v>
      </c>
      <c r="F811" s="125"/>
      <c r="G811" s="125"/>
      <c r="H811" s="133"/>
      <c r="I811" s="124"/>
      <c r="J811" s="31"/>
      <c r="L811" s="125"/>
      <c r="M811" s="126"/>
      <c r="N811" s="26"/>
    </row>
    <row r="812" spans="1:14" ht="20" customHeight="1">
      <c r="A812" s="121">
        <v>1498.56</v>
      </c>
      <c r="B812" s="130">
        <v>101115.27998781</v>
      </c>
      <c r="C812" s="123">
        <v>547.16071179999904</v>
      </c>
      <c r="D812" s="122">
        <v>3</v>
      </c>
      <c r="E812" s="124" t="s">
        <v>1065</v>
      </c>
      <c r="F812" s="121"/>
      <c r="G812" s="130"/>
      <c r="H812" s="123"/>
      <c r="I812" s="124"/>
      <c r="J812" s="31"/>
      <c r="L812" s="125"/>
      <c r="M812" s="126"/>
      <c r="N812" s="26"/>
    </row>
    <row r="813" spans="1:14" ht="20" customHeight="1">
      <c r="A813" s="125">
        <v>1504.56</v>
      </c>
      <c r="B813" s="127">
        <v>101714.29376709901</v>
      </c>
      <c r="C813" s="133">
        <v>555.9</v>
      </c>
      <c r="D813" s="144">
        <v>6</v>
      </c>
      <c r="E813" s="124" t="s">
        <v>1067</v>
      </c>
      <c r="F813" s="125"/>
      <c r="G813" s="125"/>
      <c r="H813" s="133"/>
      <c r="I813" s="124"/>
      <c r="J813" s="31"/>
      <c r="L813" s="125"/>
      <c r="M813" s="126"/>
      <c r="N813" s="26"/>
    </row>
    <row r="814" spans="1:14" ht="20" customHeight="1">
      <c r="A814" s="121">
        <v>1505.5325</v>
      </c>
      <c r="B814" s="130">
        <v>101816.39257334999</v>
      </c>
      <c r="C814" s="123">
        <v>543.94272230000001</v>
      </c>
      <c r="D814" s="122">
        <v>3</v>
      </c>
      <c r="E814" s="124" t="s">
        <v>1065</v>
      </c>
      <c r="F814" s="121"/>
      <c r="G814" s="130"/>
      <c r="H814" s="123"/>
      <c r="I814" s="124"/>
      <c r="J814" s="31"/>
      <c r="L814" s="125"/>
      <c r="M814" s="126"/>
      <c r="N814" s="26"/>
    </row>
    <row r="815" spans="1:14" ht="20" customHeight="1">
      <c r="A815" s="121">
        <v>1510.56</v>
      </c>
      <c r="B815" s="130">
        <v>102335.260108453</v>
      </c>
      <c r="C815" s="123">
        <v>544.05594880000001</v>
      </c>
      <c r="D815" s="122">
        <v>3</v>
      </c>
      <c r="E815" s="124" t="s">
        <v>1065</v>
      </c>
      <c r="F815" s="121"/>
      <c r="G815" s="130"/>
      <c r="H815" s="123"/>
      <c r="I815" s="124"/>
      <c r="J815" s="31"/>
      <c r="L815" s="125"/>
      <c r="M815" s="126"/>
      <c r="N815" s="26"/>
    </row>
    <row r="816" spans="1:14" ht="20" customHeight="1">
      <c r="A816" s="125">
        <v>1514.56</v>
      </c>
      <c r="B816" s="127">
        <v>102731.73075839299</v>
      </c>
      <c r="C816" s="133">
        <v>546.70000000000005</v>
      </c>
      <c r="D816" s="144">
        <v>6</v>
      </c>
      <c r="E816" s="124" t="s">
        <v>1067</v>
      </c>
      <c r="F816" s="125"/>
      <c r="G816" s="125"/>
      <c r="H816" s="133"/>
      <c r="I816" s="124"/>
      <c r="J816" s="31"/>
      <c r="L816" s="125"/>
      <c r="M816" s="126"/>
      <c r="N816" s="26"/>
    </row>
    <row r="817" spans="1:14" ht="20" customHeight="1">
      <c r="A817" s="121">
        <v>1516.06</v>
      </c>
      <c r="B817" s="130">
        <v>102869.31842928899</v>
      </c>
      <c r="C817" s="123">
        <v>548.8209617</v>
      </c>
      <c r="D817" s="122">
        <v>3</v>
      </c>
      <c r="E817" s="124" t="s">
        <v>1065</v>
      </c>
      <c r="F817" s="121"/>
      <c r="G817" s="130"/>
      <c r="H817" s="123"/>
      <c r="I817" s="124"/>
      <c r="J817" s="31"/>
      <c r="L817" s="125"/>
      <c r="M817" s="126"/>
      <c r="N817" s="26"/>
    </row>
    <row r="818" spans="1:14" ht="20" customHeight="1">
      <c r="A818" s="121">
        <v>1521.06</v>
      </c>
      <c r="B818" s="130">
        <v>103322.26546811999</v>
      </c>
      <c r="C818" s="123">
        <v>549.66226119999999</v>
      </c>
      <c r="D818" s="122">
        <v>3</v>
      </c>
      <c r="E818" s="124" t="s">
        <v>1065</v>
      </c>
      <c r="F818" s="121"/>
      <c r="G818" s="130"/>
      <c r="H818" s="123"/>
      <c r="I818" s="124"/>
      <c r="J818" s="31"/>
      <c r="L818" s="125"/>
      <c r="M818" s="126"/>
      <c r="N818" s="26"/>
    </row>
    <row r="819" spans="1:14" ht="20" customHeight="1">
      <c r="A819" s="125">
        <v>1524.54</v>
      </c>
      <c r="B819" s="127">
        <v>103620.163853975</v>
      </c>
      <c r="C819" s="133">
        <v>489</v>
      </c>
      <c r="D819" s="144">
        <v>6</v>
      </c>
      <c r="E819" s="124" t="s">
        <v>1067</v>
      </c>
      <c r="F819" s="125"/>
      <c r="G819" s="125"/>
      <c r="H819" s="133"/>
      <c r="I819" s="124"/>
      <c r="J819" s="31"/>
      <c r="L819" s="125"/>
      <c r="M819" s="126"/>
      <c r="N819" s="26"/>
    </row>
    <row r="820" spans="1:14" ht="20" customHeight="1">
      <c r="A820" s="121">
        <v>1526.08</v>
      </c>
      <c r="B820" s="130">
        <v>103748.94580292801</v>
      </c>
      <c r="C820" s="123">
        <v>486.52422719999998</v>
      </c>
      <c r="D820" s="122">
        <v>3</v>
      </c>
      <c r="E820" s="124" t="s">
        <v>1065</v>
      </c>
      <c r="F820" s="121"/>
      <c r="G820" s="130"/>
      <c r="H820" s="123"/>
      <c r="I820" s="124"/>
      <c r="J820" s="31"/>
      <c r="L820" s="125"/>
      <c r="M820" s="126"/>
      <c r="N820" s="26"/>
    </row>
    <row r="821" spans="1:14" ht="20" customHeight="1">
      <c r="A821" s="121">
        <v>1531.06</v>
      </c>
      <c r="B821" s="130">
        <v>104189.363331063</v>
      </c>
      <c r="C821" s="123">
        <v>484.87120040000002</v>
      </c>
      <c r="D821" s="122">
        <v>3</v>
      </c>
      <c r="E821" s="124" t="s">
        <v>1065</v>
      </c>
      <c r="F821" s="121"/>
      <c r="G821" s="130"/>
      <c r="H821" s="123"/>
      <c r="I821" s="124"/>
      <c r="J821" s="31"/>
      <c r="L821" s="125"/>
      <c r="M821" s="126"/>
      <c r="N821" s="26"/>
    </row>
    <row r="822" spans="1:14" ht="20" customHeight="1">
      <c r="A822" s="125">
        <v>1534.0650000000001</v>
      </c>
      <c r="B822" s="127">
        <v>104489.430970502</v>
      </c>
      <c r="C822" s="133">
        <v>484</v>
      </c>
      <c r="D822" s="144">
        <v>6</v>
      </c>
      <c r="E822" s="124" t="s">
        <v>1067</v>
      </c>
      <c r="F822" s="125"/>
      <c r="G822" s="125"/>
      <c r="H822" s="133"/>
      <c r="I822" s="124"/>
      <c r="J822" s="31"/>
      <c r="L822" s="125"/>
      <c r="M822" s="126"/>
      <c r="N822" s="26"/>
    </row>
    <row r="823" spans="1:14" ht="20" customHeight="1">
      <c r="A823" s="121">
        <v>1540.56</v>
      </c>
      <c r="B823" s="130">
        <v>105140.01921449399</v>
      </c>
      <c r="C823" s="123">
        <v>499.64352839999998</v>
      </c>
      <c r="D823" s="122">
        <v>3</v>
      </c>
      <c r="E823" s="124" t="s">
        <v>1065</v>
      </c>
      <c r="F823" s="121"/>
      <c r="G823" s="130"/>
      <c r="H823" s="123"/>
      <c r="I823" s="124"/>
      <c r="J823" s="31"/>
      <c r="L823" s="125"/>
      <c r="M823" s="126"/>
      <c r="N823" s="26"/>
    </row>
    <row r="824" spans="1:14" ht="20" customHeight="1">
      <c r="A824" s="125">
        <v>1544.56</v>
      </c>
      <c r="B824" s="127">
        <v>105546.66867946</v>
      </c>
      <c r="C824" s="133">
        <v>544.9</v>
      </c>
      <c r="D824" s="144">
        <v>6</v>
      </c>
      <c r="E824" s="124" t="s">
        <v>1067</v>
      </c>
      <c r="F824" s="125"/>
      <c r="G824" s="125"/>
      <c r="H824" s="133"/>
      <c r="I824" s="124"/>
      <c r="J824" s="31"/>
      <c r="L824" s="125"/>
      <c r="M824" s="126"/>
      <c r="N824" s="26"/>
    </row>
    <row r="825" spans="1:14" ht="20" customHeight="1">
      <c r="A825" s="121">
        <v>1545.56</v>
      </c>
      <c r="B825" s="130">
        <v>105661.554596331</v>
      </c>
      <c r="C825" s="123">
        <v>556.61429699999997</v>
      </c>
      <c r="D825" s="122">
        <v>3</v>
      </c>
      <c r="E825" s="124" t="s">
        <v>1065</v>
      </c>
      <c r="F825" s="121"/>
      <c r="G825" s="130"/>
      <c r="H825" s="123"/>
      <c r="I825" s="124"/>
      <c r="J825" s="31"/>
      <c r="L825" s="125"/>
      <c r="M825" s="126"/>
      <c r="N825" s="26"/>
    </row>
    <row r="826" spans="1:14" ht="20" customHeight="1">
      <c r="A826" s="121">
        <v>1548.54</v>
      </c>
      <c r="B826" s="130">
        <v>106018.17485179999</v>
      </c>
      <c r="C826" s="123">
        <v>566.42979249999996</v>
      </c>
      <c r="D826" s="122">
        <v>3</v>
      </c>
      <c r="E826" s="124" t="s">
        <v>1065</v>
      </c>
      <c r="F826" s="121"/>
      <c r="G826" s="130"/>
      <c r="H826" s="123"/>
      <c r="I826" s="124"/>
      <c r="J826" s="31"/>
      <c r="L826" s="125"/>
      <c r="M826" s="126"/>
      <c r="N826" s="26"/>
    </row>
    <row r="827" spans="1:14" ht="20" customHeight="1">
      <c r="A827" s="121">
        <v>1553.06</v>
      </c>
      <c r="B827" s="130">
        <v>106559.44074966801</v>
      </c>
      <c r="C827" s="123">
        <v>585.77588079999998</v>
      </c>
      <c r="D827" s="122">
        <v>3</v>
      </c>
      <c r="E827" s="124" t="s">
        <v>1065</v>
      </c>
      <c r="F827" s="121"/>
      <c r="G827" s="130"/>
      <c r="H827" s="123"/>
      <c r="I827" s="124"/>
      <c r="J827" s="31"/>
      <c r="L827" s="125"/>
      <c r="M827" s="126"/>
      <c r="N827" s="26"/>
    </row>
    <row r="828" spans="1:14" ht="20" customHeight="1">
      <c r="A828" s="125">
        <v>1554.56</v>
      </c>
      <c r="B828" s="127">
        <v>106722.503820753</v>
      </c>
      <c r="C828" s="133">
        <v>584</v>
      </c>
      <c r="D828" s="144">
        <v>6</v>
      </c>
      <c r="E828" s="124" t="s">
        <v>1067</v>
      </c>
      <c r="F828" s="125"/>
      <c r="G828" s="125"/>
      <c r="H828" s="133"/>
      <c r="I828" s="124"/>
      <c r="J828" s="31"/>
      <c r="L828" s="125"/>
      <c r="M828" s="126"/>
      <c r="N828" s="26"/>
    </row>
    <row r="829" spans="1:14" ht="20" customHeight="1">
      <c r="A829" s="121">
        <v>1557.56</v>
      </c>
      <c r="B829" s="130">
        <v>107049.276156408</v>
      </c>
      <c r="C829" s="123">
        <v>620.04087730000003</v>
      </c>
      <c r="D829" s="122">
        <v>3</v>
      </c>
      <c r="E829" s="124" t="s">
        <v>1065</v>
      </c>
      <c r="F829" s="121"/>
      <c r="G829" s="130"/>
      <c r="H829" s="123"/>
      <c r="I829" s="124"/>
      <c r="J829" s="31"/>
      <c r="L829" s="125"/>
      <c r="M829" s="126"/>
      <c r="N829" s="26"/>
    </row>
    <row r="830" spans="1:14" ht="20" customHeight="1">
      <c r="A830" s="121">
        <v>1562.06</v>
      </c>
      <c r="B830" s="130">
        <v>107482.71061453799</v>
      </c>
      <c r="C830" s="123">
        <v>561.24033010000005</v>
      </c>
      <c r="D830" s="122">
        <v>3</v>
      </c>
      <c r="E830" s="124" t="s">
        <v>1065</v>
      </c>
      <c r="F830" s="121"/>
      <c r="G830" s="130"/>
      <c r="H830" s="123"/>
      <c r="I830" s="124"/>
      <c r="J830" s="31"/>
      <c r="L830" s="125"/>
      <c r="M830" s="126"/>
      <c r="N830" s="26"/>
    </row>
    <row r="831" spans="1:14" ht="20" customHeight="1">
      <c r="A831" s="125">
        <v>1565.06</v>
      </c>
      <c r="B831" s="127">
        <v>107826.864467301</v>
      </c>
      <c r="C831" s="133">
        <v>620.70000000000005</v>
      </c>
      <c r="D831" s="144">
        <v>6</v>
      </c>
      <c r="E831" s="124" t="s">
        <v>1067</v>
      </c>
      <c r="F831" s="125"/>
      <c r="G831" s="125"/>
      <c r="H831" s="133"/>
      <c r="I831" s="124"/>
      <c r="J831" s="31"/>
      <c r="L831" s="125"/>
      <c r="M831" s="126"/>
      <c r="N831" s="26"/>
    </row>
    <row r="832" spans="1:14" ht="20" customHeight="1">
      <c r="A832" s="121">
        <v>1566.04</v>
      </c>
      <c r="B832" s="130">
        <v>107929.19312454401</v>
      </c>
      <c r="C832" s="123">
        <v>624.53280299999903</v>
      </c>
      <c r="D832" s="122">
        <v>3</v>
      </c>
      <c r="E832" s="124" t="s">
        <v>1065</v>
      </c>
      <c r="F832" s="121"/>
      <c r="G832" s="130"/>
      <c r="H832" s="123"/>
      <c r="I832" s="124"/>
      <c r="J832" s="31"/>
      <c r="L832" s="125"/>
      <c r="M832" s="126"/>
      <c r="N832" s="26"/>
    </row>
    <row r="833" spans="1:14" ht="20" customHeight="1">
      <c r="A833" s="121">
        <v>1568.56</v>
      </c>
      <c r="B833" s="130">
        <v>108197.95559347099</v>
      </c>
      <c r="C833" s="123">
        <v>621.09693670000001</v>
      </c>
      <c r="D833" s="122">
        <v>3</v>
      </c>
      <c r="E833" s="124" t="s">
        <v>1065</v>
      </c>
      <c r="F833" s="121"/>
      <c r="G833" s="130"/>
      <c r="H833" s="123"/>
      <c r="I833" s="124"/>
      <c r="J833" s="31"/>
      <c r="L833" s="125"/>
      <c r="M833" s="126"/>
      <c r="N833" s="26"/>
    </row>
    <row r="834" spans="1:14" ht="20" customHeight="1">
      <c r="A834" s="121">
        <v>1572.56</v>
      </c>
      <c r="B834" s="130">
        <v>108613.06259041101</v>
      </c>
      <c r="C834" s="123">
        <v>629.81210309999904</v>
      </c>
      <c r="D834" s="122">
        <v>3</v>
      </c>
      <c r="E834" s="124" t="s">
        <v>1065</v>
      </c>
      <c r="F834" s="121"/>
      <c r="G834" s="130"/>
      <c r="H834" s="123"/>
      <c r="I834" s="124"/>
      <c r="J834" s="31"/>
      <c r="L834" s="125"/>
      <c r="M834" s="126"/>
      <c r="N834" s="26"/>
    </row>
    <row r="835" spans="1:14" ht="20" customHeight="1">
      <c r="A835" s="125">
        <v>1574.56</v>
      </c>
      <c r="B835" s="127">
        <v>108797.261006256</v>
      </c>
      <c r="C835" s="133">
        <v>605.5</v>
      </c>
      <c r="D835" s="144">
        <v>6</v>
      </c>
      <c r="E835" s="124" t="s">
        <v>1067</v>
      </c>
      <c r="F835" s="125"/>
      <c r="G835" s="125"/>
      <c r="H835" s="133"/>
      <c r="I835" s="124"/>
      <c r="J835" s="31"/>
      <c r="L835" s="125"/>
      <c r="M835" s="126"/>
      <c r="N835" s="26"/>
    </row>
    <row r="836" spans="1:14" ht="20" customHeight="1">
      <c r="A836" s="121">
        <v>1576.06</v>
      </c>
      <c r="B836" s="130">
        <v>108941.080179404</v>
      </c>
      <c r="C836" s="123">
        <v>612.00917000000004</v>
      </c>
      <c r="D836" s="122">
        <v>3</v>
      </c>
      <c r="E836" s="124" t="s">
        <v>1065</v>
      </c>
      <c r="F836" s="121"/>
      <c r="G836" s="130"/>
      <c r="H836" s="123"/>
      <c r="I836" s="124"/>
      <c r="J836" s="31"/>
      <c r="L836" s="125"/>
      <c r="M836" s="126"/>
      <c r="N836" s="26"/>
    </row>
    <row r="837" spans="1:14" ht="20" customHeight="1">
      <c r="A837" s="121">
        <v>1579.56</v>
      </c>
      <c r="B837" s="130">
        <v>109296.35995393799</v>
      </c>
      <c r="C837" s="123">
        <v>473.14762489999998</v>
      </c>
      <c r="D837" s="122">
        <v>3</v>
      </c>
      <c r="E837" s="124" t="s">
        <v>1065</v>
      </c>
      <c r="F837" s="121"/>
      <c r="G837" s="130"/>
      <c r="H837" s="123"/>
      <c r="I837" s="124"/>
      <c r="J837" s="31"/>
      <c r="L837" s="125"/>
      <c r="M837" s="126"/>
      <c r="N837" s="26"/>
    </row>
    <row r="838" spans="1:14" ht="20" customHeight="1">
      <c r="A838" s="121">
        <v>1583.06</v>
      </c>
      <c r="B838" s="130">
        <v>109699.509112489</v>
      </c>
      <c r="C838" s="123">
        <v>465.19837860000001</v>
      </c>
      <c r="D838" s="122">
        <v>3</v>
      </c>
      <c r="E838" s="124" t="s">
        <v>1065</v>
      </c>
      <c r="F838" s="121"/>
      <c r="G838" s="130"/>
      <c r="H838" s="123"/>
      <c r="I838" s="124"/>
      <c r="J838" s="31"/>
      <c r="L838" s="125"/>
      <c r="M838" s="126"/>
      <c r="N838" s="26"/>
    </row>
    <row r="839" spans="1:14" ht="20" customHeight="1">
      <c r="A839" s="125">
        <v>1584.5650000000001</v>
      </c>
      <c r="B839" s="127">
        <v>109872.640953457</v>
      </c>
      <c r="C839" s="133">
        <v>474</v>
      </c>
      <c r="D839" s="144">
        <v>6</v>
      </c>
      <c r="E839" s="124" t="s">
        <v>1067</v>
      </c>
      <c r="F839" s="125"/>
      <c r="G839" s="125"/>
      <c r="H839" s="133"/>
      <c r="I839" s="124"/>
      <c r="J839" s="31"/>
      <c r="L839" s="125"/>
      <c r="M839" s="126"/>
      <c r="N839" s="26"/>
    </row>
    <row r="840" spans="1:14" ht="20" customHeight="1">
      <c r="A840" s="121">
        <v>1587.06</v>
      </c>
      <c r="B840" s="130">
        <v>110187.43282356999</v>
      </c>
      <c r="C840" s="123">
        <v>468.24435399999999</v>
      </c>
      <c r="D840" s="122">
        <v>3</v>
      </c>
      <c r="E840" s="124" t="s">
        <v>1065</v>
      </c>
      <c r="F840" s="121"/>
      <c r="G840" s="130"/>
      <c r="H840" s="123"/>
      <c r="I840" s="124"/>
      <c r="J840" s="31"/>
      <c r="L840" s="125"/>
      <c r="M840" s="126"/>
      <c r="N840" s="26"/>
    </row>
    <row r="841" spans="1:14" ht="20" customHeight="1">
      <c r="A841" s="125">
        <v>1590.05</v>
      </c>
      <c r="B841" s="127">
        <v>110559.637055279</v>
      </c>
      <c r="C841" s="133">
        <v>476.3</v>
      </c>
      <c r="D841" s="144">
        <v>6</v>
      </c>
      <c r="E841" s="124" t="s">
        <v>1067</v>
      </c>
      <c r="F841" s="125"/>
      <c r="G841" s="125"/>
      <c r="H841" s="133"/>
      <c r="I841" s="124"/>
      <c r="J841" s="31"/>
      <c r="L841" s="125"/>
      <c r="M841" s="126"/>
      <c r="N841" s="26"/>
    </row>
    <row r="842" spans="1:14" ht="20" customHeight="1">
      <c r="A842" s="121">
        <v>1591.56</v>
      </c>
      <c r="B842" s="130">
        <v>110759.05434423299</v>
      </c>
      <c r="C842" s="123">
        <v>485.0210816</v>
      </c>
      <c r="D842" s="122">
        <v>3</v>
      </c>
      <c r="E842" s="124" t="s">
        <v>1065</v>
      </c>
      <c r="F842" s="121"/>
      <c r="G842" s="130"/>
      <c r="H842" s="123"/>
      <c r="I842" s="124"/>
      <c r="J842" s="31"/>
      <c r="L842" s="125"/>
      <c r="M842" s="126"/>
      <c r="N842" s="26"/>
    </row>
    <row r="843" spans="1:14" ht="20" customHeight="1">
      <c r="A843" s="125">
        <v>1594.5550000000001</v>
      </c>
      <c r="B843" s="127">
        <v>111179.934677549</v>
      </c>
      <c r="C843" s="133">
        <v>511.5</v>
      </c>
      <c r="D843" s="144">
        <v>6</v>
      </c>
      <c r="E843" s="124" t="s">
        <v>1067</v>
      </c>
      <c r="F843" s="125"/>
      <c r="G843" s="125"/>
      <c r="H843" s="133"/>
      <c r="I843" s="124"/>
      <c r="J843" s="31"/>
      <c r="L843" s="125"/>
      <c r="M843" s="126"/>
      <c r="N843" s="26"/>
    </row>
    <row r="844" spans="1:14" ht="20" customHeight="1">
      <c r="A844" s="121">
        <v>1595.56</v>
      </c>
      <c r="B844" s="130">
        <v>111324.176522216</v>
      </c>
      <c r="C844" s="123">
        <v>512.72229359999903</v>
      </c>
      <c r="D844" s="122">
        <v>3</v>
      </c>
      <c r="E844" s="124" t="s">
        <v>1065</v>
      </c>
      <c r="F844" s="121"/>
      <c r="G844" s="130"/>
      <c r="H844" s="123"/>
      <c r="I844" s="124"/>
      <c r="J844" s="31"/>
      <c r="L844" s="125"/>
      <c r="M844" s="126"/>
      <c r="N844" s="26"/>
    </row>
    <row r="845" spans="1:14" ht="20" customHeight="1">
      <c r="A845" s="121">
        <v>1599.06</v>
      </c>
      <c r="B845" s="130">
        <v>111807.05200985201</v>
      </c>
      <c r="C845" s="123">
        <v>501.70066120000001</v>
      </c>
      <c r="D845" s="122">
        <v>3</v>
      </c>
      <c r="E845" s="124" t="s">
        <v>1065</v>
      </c>
      <c r="F845" s="121"/>
      <c r="G845" s="130"/>
      <c r="H845" s="123"/>
      <c r="I845" s="124"/>
      <c r="J845" s="31"/>
      <c r="L845" s="125"/>
      <c r="M845" s="126"/>
      <c r="N845" s="26"/>
    </row>
    <row r="846" spans="1:14" ht="20" customHeight="1">
      <c r="A846" s="125">
        <v>1603.05</v>
      </c>
      <c r="B846" s="127">
        <v>112326.71458996899</v>
      </c>
      <c r="C846" s="133">
        <v>519.70000000000005</v>
      </c>
      <c r="D846" s="144">
        <v>6</v>
      </c>
      <c r="E846" s="124" t="s">
        <v>1067</v>
      </c>
      <c r="F846" s="125"/>
      <c r="G846" s="125"/>
      <c r="H846" s="133"/>
      <c r="I846" s="124"/>
      <c r="J846" s="31"/>
      <c r="L846" s="125"/>
      <c r="M846" s="126"/>
      <c r="N846" s="26"/>
    </row>
    <row r="847" spans="1:14" ht="20" customHeight="1">
      <c r="A847" s="121">
        <v>1604.04</v>
      </c>
      <c r="B847" s="130">
        <v>112449.369127568</v>
      </c>
      <c r="C847" s="123">
        <v>512.14439070000003</v>
      </c>
      <c r="D847" s="122">
        <v>3</v>
      </c>
      <c r="E847" s="124" t="s">
        <v>1065</v>
      </c>
      <c r="F847" s="121"/>
      <c r="G847" s="130"/>
      <c r="H847" s="123"/>
      <c r="I847" s="124"/>
      <c r="J847" s="31"/>
      <c r="L847" s="125"/>
      <c r="M847" s="126"/>
      <c r="N847" s="26"/>
    </row>
    <row r="848" spans="1:14" ht="20" customHeight="1">
      <c r="A848" s="121">
        <v>1606.5450000000001</v>
      </c>
      <c r="B848" s="130">
        <v>112748.732011363</v>
      </c>
      <c r="C848" s="123">
        <v>520.24103430000002</v>
      </c>
      <c r="D848" s="122">
        <v>3</v>
      </c>
      <c r="E848" s="124" t="s">
        <v>1065</v>
      </c>
      <c r="F848" s="121"/>
      <c r="G848" s="130"/>
      <c r="H848" s="123"/>
      <c r="I848" s="124"/>
      <c r="J848" s="31"/>
      <c r="L848" s="125"/>
      <c r="M848" s="126"/>
      <c r="N848" s="26"/>
    </row>
    <row r="849" spans="1:14" ht="20" customHeight="1">
      <c r="A849" s="121">
        <v>1609.56</v>
      </c>
      <c r="B849" s="130">
        <v>113121.255320385</v>
      </c>
      <c r="C849" s="123">
        <v>516.7649318</v>
      </c>
      <c r="D849" s="122">
        <v>3</v>
      </c>
      <c r="E849" s="124" t="s">
        <v>1065</v>
      </c>
      <c r="F849" s="121"/>
      <c r="G849" s="130"/>
      <c r="H849" s="123"/>
      <c r="I849" s="124"/>
      <c r="J849" s="31"/>
      <c r="L849" s="125"/>
      <c r="M849" s="126"/>
      <c r="N849" s="26"/>
    </row>
    <row r="850" spans="1:14" ht="20" customHeight="1">
      <c r="A850" s="121">
        <v>1613.06</v>
      </c>
      <c r="B850" s="130">
        <v>113584.858367496</v>
      </c>
      <c r="C850" s="123">
        <v>502.59006119999998</v>
      </c>
      <c r="D850" s="122">
        <v>3</v>
      </c>
      <c r="E850" s="124" t="s">
        <v>1065</v>
      </c>
      <c r="F850" s="121"/>
      <c r="G850" s="130"/>
      <c r="H850" s="123"/>
      <c r="I850" s="124"/>
      <c r="J850" s="31"/>
      <c r="L850" s="125"/>
      <c r="M850" s="126"/>
      <c r="N850" s="26"/>
    </row>
    <row r="851" spans="1:14" ht="20" customHeight="1">
      <c r="A851" s="121">
        <v>1617.56</v>
      </c>
      <c r="B851" s="130">
        <v>114114.342649538</v>
      </c>
      <c r="C851" s="123">
        <v>494.74269370000002</v>
      </c>
      <c r="D851" s="122">
        <v>3</v>
      </c>
      <c r="E851" s="124" t="s">
        <v>1065</v>
      </c>
      <c r="F851" s="121"/>
      <c r="G851" s="130"/>
      <c r="H851" s="123"/>
      <c r="I851" s="124"/>
      <c r="J851" s="31"/>
      <c r="L851" s="125"/>
      <c r="M851" s="126"/>
      <c r="N851" s="26"/>
    </row>
    <row r="852" spans="1:14" ht="20" customHeight="1">
      <c r="A852" s="125">
        <v>1619.5650000000001</v>
      </c>
      <c r="B852" s="127">
        <v>114337.84665024201</v>
      </c>
      <c r="C852" s="133">
        <v>476.4</v>
      </c>
      <c r="D852" s="144">
        <v>6</v>
      </c>
      <c r="E852" s="124" t="s">
        <v>1067</v>
      </c>
      <c r="F852" s="125"/>
      <c r="G852" s="125"/>
      <c r="H852" s="133"/>
      <c r="I852" s="124"/>
      <c r="J852" s="31"/>
      <c r="L852" s="125"/>
      <c r="M852" s="126"/>
      <c r="N852" s="26"/>
    </row>
    <row r="853" spans="1:14" ht="20" customHeight="1">
      <c r="A853" s="121">
        <v>1622.0625</v>
      </c>
      <c r="B853" s="130">
        <v>114659.016508589</v>
      </c>
      <c r="C853" s="123">
        <v>464.29727989999998</v>
      </c>
      <c r="D853" s="122">
        <v>3</v>
      </c>
      <c r="E853" s="124" t="s">
        <v>1065</v>
      </c>
      <c r="F853" s="121"/>
      <c r="G853" s="130"/>
      <c r="H853" s="123"/>
      <c r="I853" s="124"/>
      <c r="J853" s="31"/>
      <c r="L853" s="125"/>
      <c r="M853" s="126"/>
      <c r="N853" s="26"/>
    </row>
    <row r="854" spans="1:14" ht="20" customHeight="1">
      <c r="A854" s="121">
        <v>1626.56</v>
      </c>
      <c r="B854" s="130">
        <v>115225.573718846</v>
      </c>
      <c r="C854" s="123">
        <v>465.54977459999998</v>
      </c>
      <c r="D854" s="122">
        <v>3</v>
      </c>
      <c r="E854" s="124" t="s">
        <v>1065</v>
      </c>
      <c r="F854" s="121"/>
      <c r="G854" s="130"/>
      <c r="H854" s="123"/>
      <c r="I854" s="124"/>
      <c r="J854" s="31"/>
      <c r="L854" s="125"/>
      <c r="M854" s="126"/>
      <c r="N854" s="26"/>
    </row>
    <row r="855" spans="1:14" ht="20" customHeight="1">
      <c r="A855" s="125">
        <v>1629.94</v>
      </c>
      <c r="B855" s="127">
        <v>115605.05112549401</v>
      </c>
      <c r="C855" s="133">
        <v>478.4</v>
      </c>
      <c r="D855" s="144">
        <v>6</v>
      </c>
      <c r="E855" s="124" t="s">
        <v>1067</v>
      </c>
      <c r="F855" s="125"/>
      <c r="G855" s="125"/>
      <c r="H855" s="133"/>
      <c r="I855" s="124"/>
      <c r="J855" s="31"/>
      <c r="L855" s="125"/>
      <c r="M855" s="126"/>
      <c r="N855" s="26"/>
    </row>
    <row r="856" spans="1:14" ht="20" customHeight="1">
      <c r="A856" s="121">
        <v>1631.56</v>
      </c>
      <c r="B856" s="130">
        <v>115792.481887901</v>
      </c>
      <c r="C856" s="123">
        <v>472.77465430000001</v>
      </c>
      <c r="D856" s="122">
        <v>3</v>
      </c>
      <c r="E856" s="124" t="s">
        <v>1065</v>
      </c>
      <c r="F856" s="121"/>
      <c r="G856" s="130"/>
      <c r="H856" s="123"/>
      <c r="I856" s="124"/>
      <c r="J856" s="31"/>
      <c r="L856" s="125"/>
      <c r="M856" s="126"/>
      <c r="N856" s="26"/>
    </row>
    <row r="857" spans="1:14" ht="20" customHeight="1">
      <c r="A857" s="121">
        <v>1636.04</v>
      </c>
      <c r="B857" s="130">
        <v>116314.96391379301</v>
      </c>
      <c r="C857" s="123">
        <v>481.17738960000003</v>
      </c>
      <c r="D857" s="122">
        <v>3</v>
      </c>
      <c r="E857" s="124" t="s">
        <v>1065</v>
      </c>
      <c r="F857" s="121"/>
      <c r="G857" s="130"/>
      <c r="H857" s="123"/>
      <c r="I857" s="124"/>
      <c r="J857" s="31"/>
      <c r="L857" s="125"/>
      <c r="M857" s="126"/>
      <c r="N857" s="26"/>
    </row>
    <row r="858" spans="1:14" ht="20" customHeight="1">
      <c r="A858" s="125">
        <v>1639.56</v>
      </c>
      <c r="B858" s="127">
        <v>116714.747777604</v>
      </c>
      <c r="C858" s="133">
        <v>487.3</v>
      </c>
      <c r="D858" s="144">
        <v>6</v>
      </c>
      <c r="E858" s="124" t="s">
        <v>1067</v>
      </c>
      <c r="F858" s="125"/>
      <c r="G858" s="125"/>
      <c r="H858" s="133"/>
      <c r="I858" s="124"/>
      <c r="J858" s="31"/>
      <c r="L858" s="125"/>
      <c r="M858" s="126"/>
      <c r="N858" s="26"/>
    </row>
    <row r="859" spans="1:14" ht="20" customHeight="1">
      <c r="A859" s="121">
        <v>1641.06</v>
      </c>
      <c r="B859" s="130">
        <v>116897.550535779</v>
      </c>
      <c r="C859" s="123">
        <v>484.63230249999998</v>
      </c>
      <c r="D859" s="122">
        <v>3</v>
      </c>
      <c r="E859" s="124" t="s">
        <v>1065</v>
      </c>
      <c r="F859" s="121"/>
      <c r="G859" s="130"/>
      <c r="H859" s="123"/>
      <c r="I859" s="124"/>
      <c r="J859" s="31"/>
      <c r="L859" s="125"/>
      <c r="M859" s="126"/>
      <c r="N859" s="26"/>
    </row>
    <row r="860" spans="1:14" ht="20" customHeight="1">
      <c r="A860" s="121">
        <v>1646.06</v>
      </c>
      <c r="B860" s="130">
        <v>117496.77934777</v>
      </c>
      <c r="C860" s="123">
        <v>507.77607440000003</v>
      </c>
      <c r="D860" s="122">
        <v>3</v>
      </c>
      <c r="E860" s="124" t="s">
        <v>1065</v>
      </c>
      <c r="F860" s="121"/>
      <c r="G860" s="130"/>
      <c r="H860" s="123"/>
      <c r="I860" s="124"/>
      <c r="J860" s="31"/>
      <c r="L860" s="125"/>
      <c r="M860" s="126"/>
      <c r="N860" s="26"/>
    </row>
    <row r="861" spans="1:14" ht="20" customHeight="1">
      <c r="A861" s="125">
        <v>1649.56</v>
      </c>
      <c r="B861" s="127">
        <v>117902.343553535</v>
      </c>
      <c r="C861" s="133">
        <v>511</v>
      </c>
      <c r="D861" s="144">
        <v>6</v>
      </c>
      <c r="E861" s="124" t="s">
        <v>1067</v>
      </c>
      <c r="F861" s="125"/>
      <c r="G861" s="125"/>
      <c r="H861" s="133"/>
      <c r="I861" s="124"/>
      <c r="J861" s="31"/>
      <c r="L861" s="125"/>
      <c r="M861" s="126"/>
      <c r="N861" s="26"/>
    </row>
    <row r="862" spans="1:14" ht="20" customHeight="1">
      <c r="A862" s="121">
        <v>1651.56</v>
      </c>
      <c r="B862" s="130">
        <v>118132.257376319</v>
      </c>
      <c r="C862" s="123">
        <v>516.21698400000002</v>
      </c>
      <c r="D862" s="122">
        <v>3</v>
      </c>
      <c r="E862" s="124" t="s">
        <v>1065</v>
      </c>
      <c r="F862" s="121"/>
      <c r="G862" s="130"/>
      <c r="H862" s="123"/>
      <c r="I862" s="124"/>
      <c r="J862" s="31"/>
      <c r="L862" s="125"/>
      <c r="M862" s="126"/>
      <c r="N862" s="26"/>
    </row>
    <row r="863" spans="1:14" ht="20" customHeight="1">
      <c r="A863" s="125">
        <v>1654.56</v>
      </c>
      <c r="B863" s="127">
        <v>118478.939099418</v>
      </c>
      <c r="C863" s="133">
        <v>509.9</v>
      </c>
      <c r="D863" s="144">
        <v>6</v>
      </c>
      <c r="E863" s="124" t="s">
        <v>1067</v>
      </c>
      <c r="F863" s="125"/>
      <c r="G863" s="125"/>
      <c r="H863" s="133"/>
      <c r="I863" s="124"/>
      <c r="J863" s="31"/>
      <c r="L863" s="125"/>
      <c r="M863" s="126"/>
      <c r="N863" s="26"/>
    </row>
    <row r="864" spans="1:14" ht="20" customHeight="1">
      <c r="A864" s="121">
        <v>1655.54</v>
      </c>
      <c r="B864" s="130">
        <v>118589.196206325</v>
      </c>
      <c r="C864" s="123">
        <v>508.43103209999998</v>
      </c>
      <c r="D864" s="122">
        <v>3</v>
      </c>
      <c r="E864" s="124" t="s">
        <v>1065</v>
      </c>
      <c r="F864" s="121"/>
      <c r="G864" s="130"/>
      <c r="H864" s="123"/>
      <c r="I864" s="124"/>
      <c r="J864" s="31"/>
      <c r="L864" s="125"/>
      <c r="M864" s="126"/>
      <c r="N864" s="26"/>
    </row>
    <row r="865" spans="1:14" ht="20" customHeight="1">
      <c r="A865" s="121">
        <v>1660.56</v>
      </c>
      <c r="B865" s="130">
        <v>119104.90935066799</v>
      </c>
      <c r="C865" s="123">
        <v>551.82413050000002</v>
      </c>
      <c r="D865" s="122">
        <v>3</v>
      </c>
      <c r="E865" s="124" t="s">
        <v>1065</v>
      </c>
      <c r="F865" s="121"/>
      <c r="G865" s="130"/>
      <c r="H865" s="123"/>
      <c r="I865" s="124"/>
      <c r="J865" s="31"/>
      <c r="L865" s="125"/>
      <c r="M865" s="126"/>
      <c r="N865" s="26"/>
    </row>
    <row r="866" spans="1:14" ht="20" customHeight="1">
      <c r="A866" s="125">
        <v>1664.56</v>
      </c>
      <c r="B866" s="127">
        <v>119513.768667108</v>
      </c>
      <c r="C866" s="133">
        <v>547.4</v>
      </c>
      <c r="D866" s="144">
        <v>6</v>
      </c>
      <c r="E866" s="124" t="s">
        <v>1067</v>
      </c>
      <c r="F866" s="125"/>
      <c r="G866" s="125"/>
      <c r="H866" s="133"/>
      <c r="I866" s="124"/>
      <c r="J866" s="31"/>
      <c r="L866" s="125"/>
      <c r="M866" s="126"/>
      <c r="N866" s="26"/>
    </row>
    <row r="867" spans="1:14" ht="20" customHeight="1">
      <c r="A867" s="121">
        <v>1665.56</v>
      </c>
      <c r="B867" s="130">
        <v>119607.871124884</v>
      </c>
      <c r="C867" s="123">
        <v>564.5268446</v>
      </c>
      <c r="D867" s="122">
        <v>3</v>
      </c>
      <c r="E867" s="124" t="s">
        <v>1065</v>
      </c>
      <c r="F867" s="121"/>
      <c r="G867" s="130"/>
      <c r="H867" s="123"/>
      <c r="I867" s="124"/>
      <c r="J867" s="31"/>
      <c r="L867" s="125"/>
      <c r="M867" s="126"/>
      <c r="N867" s="26"/>
    </row>
    <row r="868" spans="1:14" ht="20" customHeight="1">
      <c r="A868" s="121">
        <v>1671.56</v>
      </c>
      <c r="B868" s="130">
        <v>120172.402156957</v>
      </c>
      <c r="C868" s="123">
        <v>571.1191523</v>
      </c>
      <c r="D868" s="122">
        <v>3</v>
      </c>
      <c r="E868" s="124" t="s">
        <v>1065</v>
      </c>
      <c r="F868" s="121"/>
      <c r="G868" s="130"/>
      <c r="H868" s="123"/>
      <c r="I868" s="124"/>
      <c r="J868" s="31"/>
      <c r="L868" s="125"/>
      <c r="M868" s="126"/>
      <c r="N868" s="26"/>
    </row>
    <row r="869" spans="1:14" ht="20" customHeight="1">
      <c r="A869" s="125">
        <v>1674.57</v>
      </c>
      <c r="B869" s="127">
        <v>120466.06913256799</v>
      </c>
      <c r="C869" s="133">
        <v>577.70000000000005</v>
      </c>
      <c r="D869" s="144">
        <v>6</v>
      </c>
      <c r="E869" s="124" t="s">
        <v>1067</v>
      </c>
      <c r="F869" s="125"/>
      <c r="G869" s="125"/>
      <c r="H869" s="133"/>
      <c r="I869" s="124"/>
      <c r="J869" s="31"/>
      <c r="L869" s="125"/>
      <c r="M869" s="126"/>
      <c r="N869" s="26"/>
    </row>
    <row r="870" spans="1:14" ht="20" customHeight="1">
      <c r="A870" s="121">
        <v>1676.5550000000001</v>
      </c>
      <c r="B870" s="130">
        <v>120663.60991178799</v>
      </c>
      <c r="C870" s="123">
        <v>574.45940099999996</v>
      </c>
      <c r="D870" s="122">
        <v>3</v>
      </c>
      <c r="E870" s="124" t="s">
        <v>1065</v>
      </c>
      <c r="F870" s="121"/>
      <c r="G870" s="130"/>
      <c r="H870" s="123"/>
      <c r="I870" s="124"/>
      <c r="J870" s="31"/>
      <c r="L870" s="125"/>
      <c r="M870" s="126"/>
      <c r="N870" s="26"/>
    </row>
    <row r="871" spans="1:14" ht="20" customHeight="1">
      <c r="A871" s="121">
        <v>1682.06</v>
      </c>
      <c r="B871" s="130">
        <v>121156.643547277</v>
      </c>
      <c r="C871" s="123">
        <v>584.38831649999997</v>
      </c>
      <c r="D871" s="122">
        <v>3</v>
      </c>
      <c r="E871" s="124" t="s">
        <v>1065</v>
      </c>
      <c r="F871" s="121"/>
      <c r="G871" s="130"/>
      <c r="H871" s="123"/>
      <c r="I871" s="124"/>
      <c r="J871" s="31"/>
      <c r="L871" s="125"/>
      <c r="M871" s="126"/>
      <c r="N871" s="26"/>
    </row>
    <row r="872" spans="1:14" ht="20" customHeight="1">
      <c r="A872" s="125">
        <v>1684.5550000000001</v>
      </c>
      <c r="B872" s="127">
        <v>121394.126893137</v>
      </c>
      <c r="C872" s="133">
        <v>582.9</v>
      </c>
      <c r="D872" s="144">
        <v>6</v>
      </c>
      <c r="E872" s="124" t="s">
        <v>1067</v>
      </c>
      <c r="F872" s="125"/>
      <c r="G872" s="125"/>
      <c r="H872" s="133"/>
      <c r="I872" s="124"/>
      <c r="J872" s="31"/>
      <c r="L872" s="125"/>
      <c r="M872" s="126"/>
      <c r="N872" s="26"/>
    </row>
    <row r="873" spans="1:14" ht="20" customHeight="1">
      <c r="A873" s="121">
        <v>1687.56</v>
      </c>
      <c r="B873" s="130">
        <v>121679.864100024</v>
      </c>
      <c r="C873" s="123">
        <v>576.74572850000004</v>
      </c>
      <c r="D873" s="122">
        <v>3</v>
      </c>
      <c r="E873" s="124" t="s">
        <v>1065</v>
      </c>
      <c r="F873" s="121"/>
      <c r="G873" s="130"/>
      <c r="H873" s="123"/>
      <c r="I873" s="124"/>
      <c r="J873" s="31"/>
      <c r="L873" s="125"/>
      <c r="M873" s="126"/>
      <c r="N873" s="26"/>
    </row>
    <row r="874" spans="1:14" ht="20" customHeight="1">
      <c r="A874" s="121">
        <v>1693.5374999999999</v>
      </c>
      <c r="B874" s="130">
        <v>122247.34280652</v>
      </c>
      <c r="C874" s="123">
        <v>584.46500449999996</v>
      </c>
      <c r="D874" s="122">
        <v>3</v>
      </c>
      <c r="E874" s="124" t="s">
        <v>1065</v>
      </c>
      <c r="F874" s="121"/>
      <c r="G874" s="130"/>
      <c r="H874" s="123"/>
      <c r="I874" s="124"/>
      <c r="J874" s="31"/>
      <c r="L874" s="125"/>
      <c r="M874" s="126"/>
      <c r="N874" s="26"/>
    </row>
    <row r="875" spans="1:14" ht="20" customHeight="1">
      <c r="A875" s="125">
        <v>1694.56</v>
      </c>
      <c r="B875" s="127">
        <v>122340.924110202</v>
      </c>
      <c r="C875" s="133">
        <v>593.1</v>
      </c>
      <c r="D875" s="144">
        <v>6</v>
      </c>
      <c r="E875" s="124" t="s">
        <v>1067</v>
      </c>
      <c r="F875" s="125"/>
      <c r="G875" s="125"/>
      <c r="H875" s="133"/>
      <c r="I875" s="124"/>
      <c r="J875" s="31"/>
      <c r="L875" s="125"/>
      <c r="M875" s="126"/>
      <c r="N875" s="26"/>
    </row>
    <row r="876" spans="1:14" ht="20" customHeight="1">
      <c r="A876" s="121">
        <v>1698.54</v>
      </c>
      <c r="B876" s="130">
        <v>122699.64306073</v>
      </c>
      <c r="C876" s="123">
        <v>602.69090659999904</v>
      </c>
      <c r="D876" s="122">
        <v>3</v>
      </c>
      <c r="E876" s="124" t="s">
        <v>1065</v>
      </c>
      <c r="F876" s="121"/>
      <c r="G876" s="130"/>
      <c r="H876" s="123"/>
      <c r="I876" s="124"/>
      <c r="J876" s="31"/>
      <c r="L876" s="125"/>
      <c r="M876" s="126"/>
      <c r="N876" s="26"/>
    </row>
    <row r="877" spans="1:14" ht="20" customHeight="1">
      <c r="A877" s="125">
        <v>1704.56</v>
      </c>
      <c r="B877" s="127">
        <v>123242.60918694601</v>
      </c>
      <c r="C877" s="133">
        <v>602.5</v>
      </c>
      <c r="D877" s="144">
        <v>6</v>
      </c>
      <c r="E877" s="124" t="s">
        <v>1067</v>
      </c>
      <c r="F877" s="125"/>
      <c r="G877" s="125"/>
      <c r="H877" s="133"/>
      <c r="I877" s="124"/>
      <c r="J877" s="31"/>
      <c r="L877" s="125"/>
      <c r="M877" s="126"/>
      <c r="N877" s="26"/>
    </row>
    <row r="878" spans="1:14" ht="20" customHeight="1">
      <c r="A878" s="121">
        <v>1705.56</v>
      </c>
      <c r="B878" s="130">
        <v>123333.03394127</v>
      </c>
      <c r="C878" s="123">
        <v>609.69372390000001</v>
      </c>
      <c r="D878" s="122">
        <v>3</v>
      </c>
      <c r="E878" s="124" t="s">
        <v>1065</v>
      </c>
      <c r="F878" s="121"/>
      <c r="G878" s="130"/>
      <c r="H878" s="123"/>
      <c r="I878" s="124"/>
      <c r="J878" s="31"/>
      <c r="L878" s="125"/>
      <c r="M878" s="126"/>
      <c r="N878" s="26"/>
    </row>
    <row r="879" spans="1:14" ht="20" customHeight="1">
      <c r="A879" s="125">
        <v>1709.95</v>
      </c>
      <c r="B879" s="127">
        <v>123717.413243444</v>
      </c>
      <c r="C879" s="133">
        <v>619.1</v>
      </c>
      <c r="D879" s="144">
        <v>6</v>
      </c>
      <c r="E879" s="124" t="s">
        <v>1067</v>
      </c>
      <c r="F879" s="125"/>
      <c r="G879" s="125"/>
      <c r="H879" s="133"/>
      <c r="I879" s="124"/>
      <c r="J879" s="31"/>
      <c r="L879" s="125"/>
      <c r="M879" s="126"/>
      <c r="N879" s="26"/>
    </row>
    <row r="880" spans="1:14" ht="20" customHeight="1">
      <c r="A880" s="121">
        <v>1712.095</v>
      </c>
      <c r="B880" s="130">
        <v>123927.36695799101</v>
      </c>
      <c r="C880" s="123">
        <v>612.81685140000002</v>
      </c>
      <c r="D880" s="122">
        <v>3</v>
      </c>
      <c r="E880" s="124" t="s">
        <v>1065</v>
      </c>
      <c r="F880" s="121"/>
      <c r="G880" s="130"/>
      <c r="H880" s="123"/>
      <c r="I880" s="124"/>
      <c r="J880" s="31"/>
      <c r="L880" s="125"/>
      <c r="M880" s="126"/>
      <c r="N880" s="26"/>
    </row>
    <row r="881" spans="1:14" ht="20" customHeight="1">
      <c r="A881" s="121">
        <v>1718.56</v>
      </c>
      <c r="B881" s="130">
        <v>124507.382843748</v>
      </c>
      <c r="C881" s="123">
        <v>614.25274430000002</v>
      </c>
      <c r="D881" s="122">
        <v>3</v>
      </c>
      <c r="E881" s="124" t="s">
        <v>1065</v>
      </c>
      <c r="F881" s="121"/>
      <c r="G881" s="130"/>
      <c r="H881" s="123"/>
      <c r="I881" s="124"/>
      <c r="J881" s="31"/>
      <c r="L881" s="125"/>
      <c r="M881" s="126"/>
      <c r="N881" s="26"/>
    </row>
    <row r="882" spans="1:14" ht="20" customHeight="1">
      <c r="A882" s="125">
        <v>1719.56</v>
      </c>
      <c r="B882" s="127">
        <v>124591.41763226</v>
      </c>
      <c r="C882" s="133">
        <v>609.4</v>
      </c>
      <c r="D882" s="144">
        <v>6</v>
      </c>
      <c r="E882" s="124" t="s">
        <v>1067</v>
      </c>
      <c r="F882" s="125"/>
      <c r="G882" s="125"/>
      <c r="H882" s="133"/>
      <c r="I882" s="124"/>
      <c r="J882" s="31"/>
      <c r="L882" s="125"/>
      <c r="M882" s="126"/>
      <c r="N882" s="26"/>
    </row>
    <row r="883" spans="1:14" ht="20" customHeight="1">
      <c r="A883" s="125">
        <v>1724.56</v>
      </c>
      <c r="B883" s="127">
        <v>125049.786190101</v>
      </c>
      <c r="C883" s="133">
        <v>623.6</v>
      </c>
      <c r="D883" s="144">
        <v>6</v>
      </c>
      <c r="E883" s="124" t="s">
        <v>1067</v>
      </c>
      <c r="F883" s="125"/>
      <c r="G883" s="125"/>
      <c r="H883" s="133"/>
      <c r="I883" s="124"/>
      <c r="J883" s="31"/>
      <c r="L883" s="125"/>
      <c r="M883" s="126"/>
      <c r="N883" s="26"/>
    </row>
    <row r="884" spans="1:14" ht="20" customHeight="1">
      <c r="A884" s="121">
        <v>1726.04</v>
      </c>
      <c r="B884" s="130">
        <v>125186.911559104</v>
      </c>
      <c r="C884" s="123">
        <v>614.73634419999996</v>
      </c>
      <c r="D884" s="122">
        <v>3</v>
      </c>
      <c r="E884" s="124" t="s">
        <v>1065</v>
      </c>
      <c r="F884" s="121"/>
      <c r="G884" s="130"/>
      <c r="H884" s="123"/>
      <c r="I884" s="124"/>
      <c r="J884" s="31"/>
      <c r="L884" s="125"/>
      <c r="M884" s="126"/>
      <c r="N884" s="26"/>
    </row>
    <row r="885" spans="1:14" ht="20" customHeight="1">
      <c r="A885" s="121">
        <v>1731.56</v>
      </c>
      <c r="B885" s="130">
        <v>125644.624063205</v>
      </c>
      <c r="C885" s="123">
        <v>622.61501599999997</v>
      </c>
      <c r="D885" s="122">
        <v>3</v>
      </c>
      <c r="E885" s="124" t="s">
        <v>1065</v>
      </c>
      <c r="F885" s="121"/>
      <c r="G885" s="130"/>
      <c r="H885" s="123"/>
      <c r="I885" s="124"/>
      <c r="J885" s="31"/>
      <c r="L885" s="125"/>
      <c r="M885" s="126"/>
      <c r="N885" s="26"/>
    </row>
    <row r="886" spans="1:14" ht="20" customHeight="1">
      <c r="A886" s="125">
        <v>1734.56</v>
      </c>
      <c r="B886" s="127">
        <v>125902.62686441399</v>
      </c>
      <c r="C886" s="133">
        <v>637.79999999999995</v>
      </c>
      <c r="D886" s="144">
        <v>6</v>
      </c>
      <c r="E886" s="124" t="s">
        <v>1067</v>
      </c>
      <c r="F886" s="125"/>
      <c r="G886" s="125"/>
      <c r="H886" s="133"/>
      <c r="I886" s="124"/>
      <c r="J886" s="31"/>
      <c r="L886" s="125"/>
      <c r="M886" s="126"/>
      <c r="N886" s="26"/>
    </row>
    <row r="887" spans="1:14" ht="20" customHeight="1">
      <c r="A887" s="121">
        <v>1738.06</v>
      </c>
      <c r="B887" s="130">
        <v>126188.199571809</v>
      </c>
      <c r="C887" s="123">
        <v>620.92423510000003</v>
      </c>
      <c r="D887" s="122">
        <v>3</v>
      </c>
      <c r="E887" s="124" t="s">
        <v>1065</v>
      </c>
      <c r="F887" s="121"/>
      <c r="G887" s="130"/>
      <c r="H887" s="123"/>
      <c r="I887" s="124"/>
      <c r="J887" s="31"/>
      <c r="L887" s="125"/>
      <c r="M887" s="126"/>
      <c r="N887" s="26"/>
    </row>
    <row r="888" spans="1:14" ht="20" customHeight="1">
      <c r="A888" s="125">
        <v>1739.56</v>
      </c>
      <c r="B888" s="127">
        <v>126315.005066233</v>
      </c>
      <c r="C888" s="133">
        <v>616.1</v>
      </c>
      <c r="D888" s="144">
        <v>6</v>
      </c>
      <c r="E888" s="124" t="s">
        <v>1067</v>
      </c>
      <c r="F888" s="125"/>
      <c r="G888" s="125"/>
      <c r="H888" s="133"/>
      <c r="I888" s="124"/>
      <c r="J888" s="31"/>
      <c r="L888" s="125"/>
      <c r="M888" s="126"/>
      <c r="N888" s="26"/>
    </row>
    <row r="889" spans="1:14" ht="20" customHeight="1">
      <c r="A889" s="121">
        <v>1744.56</v>
      </c>
      <c r="B889" s="130">
        <v>126745.658824096</v>
      </c>
      <c r="C889" s="123">
        <v>635.85351890000004</v>
      </c>
      <c r="D889" s="122">
        <v>3</v>
      </c>
      <c r="E889" s="124" t="s">
        <v>1065</v>
      </c>
      <c r="F889" s="121"/>
      <c r="G889" s="130"/>
      <c r="H889" s="123"/>
      <c r="I889" s="124"/>
      <c r="J889" s="31"/>
      <c r="L889" s="125"/>
      <c r="M889" s="126"/>
      <c r="N889" s="26"/>
    </row>
    <row r="890" spans="1:14" ht="20" customHeight="1">
      <c r="A890" s="125">
        <v>1747.95</v>
      </c>
      <c r="B890" s="127">
        <v>127019.43071592</v>
      </c>
      <c r="C890" s="133">
        <v>657.6</v>
      </c>
      <c r="D890" s="144">
        <v>6</v>
      </c>
      <c r="E890" s="124" t="s">
        <v>1067</v>
      </c>
      <c r="F890" s="125"/>
      <c r="G890" s="125"/>
      <c r="H890" s="133"/>
      <c r="I890" s="124"/>
      <c r="J890" s="31"/>
      <c r="L890" s="125"/>
      <c r="M890" s="126"/>
      <c r="N890" s="26"/>
    </row>
    <row r="891" spans="1:14" ht="20" customHeight="1">
      <c r="A891" s="121">
        <v>1752.56</v>
      </c>
      <c r="B891" s="130">
        <v>127406.993372495</v>
      </c>
      <c r="C891" s="123">
        <v>650.93207819999998</v>
      </c>
      <c r="D891" s="122">
        <v>3</v>
      </c>
      <c r="E891" s="124" t="s">
        <v>1065</v>
      </c>
      <c r="F891" s="121"/>
      <c r="G891" s="130"/>
      <c r="H891" s="123"/>
      <c r="I891" s="124"/>
      <c r="J891" s="31"/>
      <c r="L891" s="125"/>
      <c r="M891" s="126"/>
      <c r="N891" s="26"/>
    </row>
    <row r="892" spans="1:14" ht="20" customHeight="1">
      <c r="A892" s="125">
        <v>1755.06</v>
      </c>
      <c r="B892" s="127">
        <v>127606.746615228</v>
      </c>
      <c r="C892" s="133">
        <v>654.79999999999995</v>
      </c>
      <c r="D892" s="144">
        <v>6</v>
      </c>
      <c r="E892" s="124" t="s">
        <v>1067</v>
      </c>
      <c r="F892" s="125"/>
      <c r="G892" s="125"/>
      <c r="H892" s="133"/>
      <c r="I892" s="124"/>
      <c r="J892" s="31"/>
      <c r="L892" s="125"/>
      <c r="M892" s="126"/>
      <c r="N892" s="26"/>
    </row>
    <row r="893" spans="1:14" ht="20" customHeight="1">
      <c r="A893" s="121">
        <v>1758.56</v>
      </c>
      <c r="B893" s="130">
        <v>127890.091331952</v>
      </c>
      <c r="C893" s="123">
        <v>653.2255586</v>
      </c>
      <c r="D893" s="122">
        <v>3</v>
      </c>
      <c r="E893" s="124" t="s">
        <v>1065</v>
      </c>
      <c r="F893" s="121"/>
      <c r="G893" s="130"/>
      <c r="H893" s="123"/>
      <c r="I893" s="124"/>
      <c r="J893" s="31"/>
      <c r="L893" s="125"/>
      <c r="M893" s="126"/>
      <c r="N893" s="26"/>
    </row>
    <row r="894" spans="1:14" ht="20" customHeight="1">
      <c r="A894" s="125">
        <v>1765.05</v>
      </c>
      <c r="B894" s="127">
        <v>128449.006409316</v>
      </c>
      <c r="C894" s="133">
        <v>665.8</v>
      </c>
      <c r="D894" s="144">
        <v>6</v>
      </c>
      <c r="E894" s="124" t="s">
        <v>1067</v>
      </c>
      <c r="F894" s="125"/>
      <c r="G894" s="125"/>
      <c r="H894" s="133"/>
      <c r="I894" s="124"/>
      <c r="J894" s="31"/>
      <c r="L894" s="125"/>
      <c r="M894" s="126"/>
      <c r="N894" s="26"/>
    </row>
    <row r="895" spans="1:14" ht="20" customHeight="1">
      <c r="A895" s="121">
        <v>1767.06</v>
      </c>
      <c r="B895" s="130">
        <v>128595.820507895</v>
      </c>
      <c r="C895" s="123">
        <v>677.3548035</v>
      </c>
      <c r="D895" s="122">
        <v>3</v>
      </c>
      <c r="E895" s="124" t="s">
        <v>1065</v>
      </c>
      <c r="F895" s="121"/>
      <c r="G895" s="130"/>
      <c r="H895" s="123"/>
      <c r="I895" s="124"/>
      <c r="J895" s="31"/>
      <c r="L895" s="125"/>
      <c r="M895" s="126"/>
      <c r="N895" s="26"/>
    </row>
    <row r="896" spans="1:14" ht="20" customHeight="1">
      <c r="A896" s="121">
        <v>1773.56</v>
      </c>
      <c r="B896" s="130">
        <v>129105.05546008601</v>
      </c>
      <c r="C896" s="123">
        <v>704.20778110000003</v>
      </c>
      <c r="D896" s="122">
        <v>3</v>
      </c>
      <c r="E896" s="124" t="s">
        <v>1065</v>
      </c>
      <c r="F896" s="121"/>
      <c r="G896" s="130"/>
      <c r="H896" s="123"/>
      <c r="I896" s="124"/>
      <c r="J896" s="31"/>
      <c r="L896" s="125"/>
      <c r="M896" s="126"/>
      <c r="N896" s="26"/>
    </row>
    <row r="897" spans="1:14" ht="20" customHeight="1">
      <c r="A897" s="125">
        <v>1774.5550000000001</v>
      </c>
      <c r="B897" s="127">
        <v>129175.647958817</v>
      </c>
      <c r="C897" s="133">
        <v>712.3</v>
      </c>
      <c r="D897" s="144">
        <v>6</v>
      </c>
      <c r="E897" s="124" t="s">
        <v>1067</v>
      </c>
      <c r="F897" s="125"/>
      <c r="G897" s="125"/>
      <c r="H897" s="133"/>
      <c r="I897" s="124"/>
      <c r="J897" s="31"/>
      <c r="L897" s="125"/>
      <c r="M897" s="126"/>
      <c r="N897" s="26"/>
    </row>
    <row r="898" spans="1:14" ht="20" customHeight="1">
      <c r="A898" s="121">
        <v>1780.5450000000001</v>
      </c>
      <c r="B898" s="130">
        <v>129619.582879533</v>
      </c>
      <c r="C898" s="123">
        <v>721.69478460000005</v>
      </c>
      <c r="D898" s="122">
        <v>3</v>
      </c>
      <c r="E898" s="124" t="s">
        <v>1065</v>
      </c>
      <c r="F898" s="121"/>
      <c r="G898" s="130"/>
      <c r="H898" s="123"/>
      <c r="I898" s="124"/>
      <c r="J898" s="31"/>
      <c r="L898" s="125"/>
      <c r="M898" s="126"/>
      <c r="N898" s="26"/>
    </row>
    <row r="899" spans="1:14" ht="20" customHeight="1">
      <c r="A899" s="121">
        <v>1787.06</v>
      </c>
      <c r="B899" s="130">
        <v>130114.35198986399</v>
      </c>
      <c r="C899" s="123">
        <v>548.96969349999904</v>
      </c>
      <c r="D899" s="122">
        <v>3</v>
      </c>
      <c r="E899" s="124" t="s">
        <v>1065</v>
      </c>
      <c r="F899" s="121"/>
      <c r="G899" s="130"/>
      <c r="H899" s="123"/>
      <c r="I899" s="124"/>
      <c r="J899" s="31"/>
      <c r="L899" s="125"/>
      <c r="M899" s="126"/>
      <c r="N899" s="26"/>
    </row>
    <row r="900" spans="1:14" ht="20" customHeight="1">
      <c r="A900" s="125">
        <v>1788.5550000000001</v>
      </c>
      <c r="B900" s="127">
        <v>130231.464942131</v>
      </c>
      <c r="C900" s="133">
        <v>558.1</v>
      </c>
      <c r="D900" s="144">
        <v>6</v>
      </c>
      <c r="E900" s="124" t="s">
        <v>1067</v>
      </c>
      <c r="F900" s="125"/>
      <c r="G900" s="125"/>
      <c r="H900" s="133"/>
      <c r="I900" s="124"/>
      <c r="J900" s="31"/>
      <c r="L900" s="125"/>
      <c r="M900" s="126"/>
      <c r="N900" s="26"/>
    </row>
    <row r="901" spans="1:14" ht="20" customHeight="1">
      <c r="A901" s="121">
        <v>1792.56</v>
      </c>
      <c r="B901" s="130">
        <v>130550.285689768</v>
      </c>
      <c r="C901" s="123">
        <v>562.2923538</v>
      </c>
      <c r="D901" s="122">
        <v>3</v>
      </c>
      <c r="E901" s="124" t="s">
        <v>1065</v>
      </c>
      <c r="F901" s="121"/>
      <c r="G901" s="130"/>
      <c r="H901" s="123"/>
      <c r="I901" s="124"/>
      <c r="J901" s="31"/>
      <c r="L901" s="125"/>
      <c r="M901" s="126"/>
      <c r="N901" s="26"/>
    </row>
    <row r="902" spans="1:14" ht="20" customHeight="1">
      <c r="A902" s="125">
        <v>1794.5650000000001</v>
      </c>
      <c r="B902" s="127">
        <v>130705.348176492</v>
      </c>
      <c r="C902" s="133">
        <v>548.29999999999995</v>
      </c>
      <c r="D902" s="144">
        <v>6</v>
      </c>
      <c r="E902" s="124" t="s">
        <v>1067</v>
      </c>
      <c r="F902" s="125"/>
      <c r="G902" s="125"/>
      <c r="H902" s="133"/>
      <c r="I902" s="124"/>
      <c r="J902" s="31"/>
      <c r="L902" s="125"/>
      <c r="M902" s="126"/>
      <c r="N902" s="26"/>
    </row>
    <row r="903" spans="1:14" ht="20" customHeight="1">
      <c r="A903" s="121">
        <v>1797.4579999999999</v>
      </c>
      <c r="B903" s="130">
        <v>130938.857125617</v>
      </c>
      <c r="C903" s="123">
        <v>526.86363340000003</v>
      </c>
      <c r="D903" s="122">
        <v>3</v>
      </c>
      <c r="E903" s="124" t="s">
        <v>1065</v>
      </c>
      <c r="F903" s="121"/>
      <c r="G903" s="130"/>
      <c r="H903" s="123"/>
      <c r="I903" s="124"/>
      <c r="J903" s="31"/>
      <c r="L903" s="125"/>
      <c r="M903" s="126"/>
      <c r="N903" s="26"/>
    </row>
    <row r="904" spans="1:14" ht="20" customHeight="1">
      <c r="A904" s="125">
        <v>1801.99</v>
      </c>
      <c r="B904" s="127">
        <v>131315.15029010299</v>
      </c>
      <c r="C904" s="133">
        <v>516.70000000000005</v>
      </c>
      <c r="D904" s="144">
        <v>6</v>
      </c>
      <c r="E904" s="124" t="s">
        <v>1067</v>
      </c>
      <c r="F904" s="125"/>
      <c r="G904" s="125"/>
      <c r="H904" s="133"/>
      <c r="I904" s="124"/>
      <c r="J904" s="31"/>
      <c r="L904" s="125"/>
      <c r="M904" s="126"/>
      <c r="N904" s="26"/>
    </row>
    <row r="905" spans="1:14" ht="20" customHeight="1">
      <c r="A905" s="121">
        <v>1803.02</v>
      </c>
      <c r="B905" s="130">
        <v>131397.515614673</v>
      </c>
      <c r="C905" s="123">
        <v>513.39276489999997</v>
      </c>
      <c r="D905" s="122">
        <v>3</v>
      </c>
      <c r="E905" s="124" t="s">
        <v>1065</v>
      </c>
      <c r="F905" s="121"/>
      <c r="G905" s="130"/>
      <c r="H905" s="123"/>
      <c r="I905" s="124"/>
      <c r="J905" s="31"/>
      <c r="L905" s="125"/>
      <c r="M905" s="126"/>
      <c r="N905" s="26"/>
    </row>
    <row r="906" spans="1:14" ht="20" customHeight="1">
      <c r="A906" s="121">
        <v>1807.56</v>
      </c>
      <c r="B906" s="130">
        <v>131791.508351709</v>
      </c>
      <c r="C906" s="123">
        <v>519.70565690000001</v>
      </c>
      <c r="D906" s="122">
        <v>3</v>
      </c>
      <c r="E906" s="124" t="s">
        <v>1065</v>
      </c>
      <c r="F906" s="121"/>
      <c r="G906" s="130"/>
      <c r="H906" s="123"/>
      <c r="I906" s="124"/>
      <c r="J906" s="31"/>
      <c r="L906" s="125"/>
      <c r="M906" s="126"/>
      <c r="N906" s="26"/>
    </row>
    <row r="907" spans="1:14" ht="20" customHeight="1">
      <c r="A907" s="125">
        <v>1809.56</v>
      </c>
      <c r="B907" s="127">
        <v>131984.02314406101</v>
      </c>
      <c r="C907" s="133">
        <v>505.7</v>
      </c>
      <c r="D907" s="144">
        <v>6</v>
      </c>
      <c r="E907" s="124" t="s">
        <v>1067</v>
      </c>
      <c r="F907" s="125"/>
      <c r="G907" s="125"/>
      <c r="H907" s="133"/>
      <c r="I907" s="124"/>
      <c r="J907" s="31"/>
      <c r="L907" s="125"/>
      <c r="M907" s="126"/>
      <c r="N907" s="26"/>
    </row>
    <row r="908" spans="1:14" ht="20" customHeight="1">
      <c r="A908" s="121">
        <v>1811.56</v>
      </c>
      <c r="B908" s="130">
        <v>132177.00442228399</v>
      </c>
      <c r="C908" s="123">
        <v>517.14313890000005</v>
      </c>
      <c r="D908" s="122">
        <v>3</v>
      </c>
      <c r="E908" s="124" t="s">
        <v>1065</v>
      </c>
      <c r="F908" s="121"/>
      <c r="G908" s="130"/>
      <c r="H908" s="123"/>
      <c r="I908" s="124"/>
      <c r="J908" s="31"/>
      <c r="L908" s="125"/>
      <c r="M908" s="126"/>
      <c r="N908" s="26"/>
    </row>
    <row r="909" spans="1:14" ht="20" customHeight="1">
      <c r="A909" s="125">
        <v>1814.59</v>
      </c>
      <c r="B909" s="127">
        <v>132508.40146477101</v>
      </c>
      <c r="C909" s="133">
        <v>499.6</v>
      </c>
      <c r="D909" s="144">
        <v>6</v>
      </c>
      <c r="E909" s="124" t="s">
        <v>1067</v>
      </c>
      <c r="F909" s="125"/>
      <c r="G909" s="125"/>
      <c r="H909" s="133"/>
      <c r="I909" s="124"/>
      <c r="J909" s="31"/>
      <c r="L909" s="125"/>
      <c r="M909" s="126"/>
      <c r="N909" s="26"/>
    </row>
    <row r="910" spans="1:14" ht="20" customHeight="1">
      <c r="A910" s="121">
        <v>1815.56</v>
      </c>
      <c r="B910" s="130">
        <v>132613.64500677801</v>
      </c>
      <c r="C910" s="123">
        <v>487.18173209999998</v>
      </c>
      <c r="D910" s="122">
        <v>3</v>
      </c>
      <c r="E910" s="124" t="s">
        <v>1065</v>
      </c>
      <c r="F910" s="121"/>
      <c r="G910" s="130"/>
      <c r="H910" s="123"/>
      <c r="I910" s="124"/>
      <c r="J910" s="31"/>
      <c r="L910" s="125"/>
      <c r="M910" s="126"/>
      <c r="N910" s="26"/>
    </row>
    <row r="911" spans="1:14" ht="20" customHeight="1">
      <c r="A911" s="125">
        <v>1819.94</v>
      </c>
      <c r="B911" s="127">
        <v>133094.31168663199</v>
      </c>
      <c r="C911" s="133">
        <v>470.6</v>
      </c>
      <c r="D911" s="144">
        <v>6</v>
      </c>
      <c r="E911" s="124" t="s">
        <v>1067</v>
      </c>
      <c r="F911" s="125"/>
      <c r="G911" s="125"/>
      <c r="H911" s="133"/>
      <c r="I911" s="124"/>
      <c r="J911" s="31"/>
      <c r="L911" s="125"/>
      <c r="M911" s="126"/>
      <c r="N911" s="26"/>
    </row>
    <row r="912" spans="1:14" ht="20" customHeight="1">
      <c r="A912" s="121">
        <v>1820.0475000000001</v>
      </c>
      <c r="B912" s="130">
        <v>133106.582539055</v>
      </c>
      <c r="C912" s="123">
        <v>466.75505020000003</v>
      </c>
      <c r="D912" s="122">
        <v>3</v>
      </c>
      <c r="E912" s="124" t="s">
        <v>1065</v>
      </c>
      <c r="F912" s="121"/>
      <c r="G912" s="130"/>
      <c r="H912" s="123"/>
      <c r="I912" s="124"/>
      <c r="J912" s="31"/>
      <c r="L912" s="125"/>
      <c r="M912" s="126"/>
      <c r="N912" s="26"/>
    </row>
    <row r="913" spans="1:14" ht="20" customHeight="1">
      <c r="A913" s="121">
        <v>1822.56</v>
      </c>
      <c r="B913" s="130">
        <v>133396.314196033</v>
      </c>
      <c r="C913" s="123">
        <v>470.099493</v>
      </c>
      <c r="D913" s="122">
        <v>3</v>
      </c>
      <c r="E913" s="124" t="s">
        <v>1065</v>
      </c>
      <c r="F913" s="121"/>
      <c r="G913" s="130"/>
      <c r="H913" s="123"/>
      <c r="I913" s="124"/>
      <c r="J913" s="31"/>
      <c r="L913" s="125"/>
      <c r="M913" s="126"/>
      <c r="N913" s="26"/>
    </row>
    <row r="914" spans="1:14" ht="20" customHeight="1">
      <c r="A914" s="125">
        <v>1824.5550000000001</v>
      </c>
      <c r="B914" s="127">
        <v>133636.007465656</v>
      </c>
      <c r="C914" s="133">
        <v>475.2</v>
      </c>
      <c r="D914" s="144">
        <v>6</v>
      </c>
      <c r="E914" s="124" t="s">
        <v>1067</v>
      </c>
      <c r="F914" s="125"/>
      <c r="G914" s="125"/>
      <c r="H914" s="133"/>
      <c r="I914" s="124"/>
      <c r="J914" s="31"/>
      <c r="L914" s="125"/>
      <c r="M914" s="126"/>
      <c r="N914" s="26"/>
    </row>
    <row r="915" spans="1:14" ht="20" customHeight="1">
      <c r="A915" s="121">
        <v>1825.56</v>
      </c>
      <c r="B915" s="130">
        <v>133755.784137337</v>
      </c>
      <c r="C915" s="123">
        <v>456.76799069999998</v>
      </c>
      <c r="D915" s="122">
        <v>3</v>
      </c>
      <c r="E915" s="124" t="s">
        <v>1065</v>
      </c>
      <c r="F915" s="121"/>
      <c r="G915" s="130"/>
      <c r="H915" s="123"/>
      <c r="I915" s="124"/>
      <c r="J915" s="31"/>
      <c r="L915" s="125"/>
      <c r="M915" s="126"/>
      <c r="N915" s="26"/>
    </row>
    <row r="916" spans="1:14" ht="20" customHeight="1">
      <c r="A916" s="121">
        <v>1828.56</v>
      </c>
      <c r="B916" s="130">
        <v>134128.90960859499</v>
      </c>
      <c r="C916" s="123">
        <v>472.14091389999999</v>
      </c>
      <c r="D916" s="122">
        <v>3</v>
      </c>
      <c r="E916" s="124" t="s">
        <v>1065</v>
      </c>
      <c r="F916" s="121"/>
      <c r="G916" s="130"/>
      <c r="H916" s="123"/>
      <c r="I916" s="124"/>
      <c r="J916" s="31"/>
      <c r="L916" s="125"/>
      <c r="M916" s="126"/>
      <c r="N916" s="26"/>
    </row>
    <row r="917" spans="1:14" ht="20" customHeight="1">
      <c r="A917" s="125">
        <v>1829.56</v>
      </c>
      <c r="B917" s="127">
        <v>134255.46827460601</v>
      </c>
      <c r="C917" s="133">
        <v>497.5</v>
      </c>
      <c r="D917" s="144">
        <v>6</v>
      </c>
      <c r="E917" s="124" t="s">
        <v>1067</v>
      </c>
      <c r="F917" s="125"/>
      <c r="G917" s="125"/>
      <c r="H917" s="133"/>
      <c r="I917" s="124"/>
      <c r="J917" s="31"/>
      <c r="L917" s="125"/>
      <c r="M917" s="126"/>
      <c r="N917" s="26"/>
    </row>
    <row r="918" spans="1:14" ht="20" customHeight="1">
      <c r="A918" s="121">
        <v>1831.06</v>
      </c>
      <c r="B918" s="130">
        <v>134452.52582226199</v>
      </c>
      <c r="C918" s="123">
        <v>489.84295170000001</v>
      </c>
      <c r="D918" s="122">
        <v>3</v>
      </c>
      <c r="E918" s="124" t="s">
        <v>1065</v>
      </c>
      <c r="F918" s="121"/>
      <c r="G918" s="130"/>
      <c r="H918" s="123"/>
      <c r="I918" s="124"/>
      <c r="J918" s="31"/>
      <c r="L918" s="125"/>
      <c r="M918" s="126"/>
      <c r="N918" s="26"/>
    </row>
    <row r="919" spans="1:14" ht="20" customHeight="1">
      <c r="A919" s="121">
        <v>1833.56</v>
      </c>
      <c r="B919" s="130">
        <v>134819.827066817</v>
      </c>
      <c r="C919" s="123">
        <v>439.10818310000002</v>
      </c>
      <c r="D919" s="122">
        <v>3</v>
      </c>
      <c r="E919" s="124" t="s">
        <v>1065</v>
      </c>
      <c r="F919" s="121"/>
      <c r="G919" s="130"/>
      <c r="H919" s="123"/>
      <c r="I919" s="124"/>
      <c r="J919" s="31"/>
      <c r="L919" s="125"/>
      <c r="M919" s="126"/>
      <c r="N919" s="26"/>
    </row>
    <row r="920" spans="1:14" ht="20" customHeight="1">
      <c r="A920" s="121">
        <v>1836.56</v>
      </c>
      <c r="B920" s="130">
        <v>135297.61804981201</v>
      </c>
      <c r="C920" s="123">
        <v>417.91106600000001</v>
      </c>
      <c r="D920" s="122">
        <v>3</v>
      </c>
      <c r="E920" s="124" t="s">
        <v>1065</v>
      </c>
      <c r="F920" s="121"/>
      <c r="G920" s="130"/>
      <c r="H920" s="123"/>
      <c r="I920" s="124"/>
      <c r="J920" s="31"/>
      <c r="L920" s="125"/>
      <c r="M920" s="126"/>
      <c r="N920" s="26"/>
    </row>
    <row r="921" spans="1:14" ht="20" customHeight="1">
      <c r="A921" s="125">
        <v>1837.44</v>
      </c>
      <c r="B921" s="127">
        <v>135453.81893589499</v>
      </c>
      <c r="C921" s="133">
        <v>422.9</v>
      </c>
      <c r="D921" s="144">
        <v>6</v>
      </c>
      <c r="E921" s="124" t="s">
        <v>1067</v>
      </c>
      <c r="F921" s="125"/>
      <c r="G921" s="125"/>
      <c r="H921" s="133"/>
      <c r="I921" s="124"/>
      <c r="J921" s="31"/>
      <c r="L921" s="125"/>
      <c r="M921" s="126"/>
      <c r="N921" s="26"/>
    </row>
    <row r="922" spans="1:14" ht="20" customHeight="1">
      <c r="A922" s="121">
        <v>1839.44</v>
      </c>
      <c r="B922" s="130">
        <v>135800.38731746099</v>
      </c>
      <c r="C922" s="123">
        <v>412.94748099999998</v>
      </c>
      <c r="D922" s="122">
        <v>3</v>
      </c>
      <c r="E922" s="124" t="s">
        <v>1065</v>
      </c>
      <c r="F922" s="121"/>
      <c r="G922" s="130"/>
      <c r="H922" s="123"/>
      <c r="I922" s="124"/>
      <c r="J922" s="31"/>
      <c r="L922" s="125"/>
      <c r="M922" s="126"/>
      <c r="N922" s="26"/>
    </row>
    <row r="923" spans="1:14" ht="20" customHeight="1">
      <c r="A923" s="121">
        <v>1841.56</v>
      </c>
      <c r="B923" s="130">
        <v>136200.00247331301</v>
      </c>
      <c r="C923" s="123">
        <v>413.99063109999997</v>
      </c>
      <c r="D923" s="122">
        <v>3</v>
      </c>
      <c r="E923" s="124" t="s">
        <v>1065</v>
      </c>
      <c r="F923" s="121"/>
      <c r="G923" s="130"/>
      <c r="H923" s="123"/>
      <c r="I923" s="124"/>
      <c r="J923" s="31"/>
      <c r="L923" s="125"/>
      <c r="M923" s="126"/>
      <c r="N923" s="26"/>
    </row>
    <row r="924" spans="1:14" ht="20" customHeight="1">
      <c r="A924" s="121">
        <v>1844.06</v>
      </c>
      <c r="B924" s="130">
        <v>136673.491561779</v>
      </c>
      <c r="C924" s="123">
        <v>404.56178469999998</v>
      </c>
      <c r="D924" s="122">
        <v>3</v>
      </c>
      <c r="E924" s="124" t="s">
        <v>1065</v>
      </c>
      <c r="F924" s="121"/>
      <c r="G924" s="130"/>
      <c r="H924" s="123"/>
      <c r="I924" s="124"/>
      <c r="J924" s="31"/>
      <c r="L924" s="125"/>
      <c r="M924" s="126"/>
      <c r="N924" s="26"/>
    </row>
    <row r="925" spans="1:14" ht="20" customHeight="1">
      <c r="A925" s="125">
        <v>1844.56</v>
      </c>
      <c r="B925" s="127">
        <v>136770.11524264599</v>
      </c>
      <c r="C925" s="133">
        <v>402.6</v>
      </c>
      <c r="D925" s="144">
        <v>6</v>
      </c>
      <c r="E925" s="124" t="s">
        <v>1067</v>
      </c>
      <c r="F925" s="125"/>
      <c r="G925" s="125"/>
      <c r="H925" s="133"/>
      <c r="I925" s="124"/>
      <c r="J925" s="31"/>
      <c r="L925" s="125"/>
      <c r="M925" s="126"/>
      <c r="N925" s="26"/>
    </row>
    <row r="926" spans="1:14" ht="20" customHeight="1">
      <c r="A926" s="121">
        <v>1846.54</v>
      </c>
      <c r="B926" s="130">
        <v>137143.23063566399</v>
      </c>
      <c r="C926" s="123">
        <v>392.41598010000001</v>
      </c>
      <c r="D926" s="122">
        <v>3</v>
      </c>
      <c r="E926" s="124" t="s">
        <v>1065</v>
      </c>
      <c r="F926" s="121"/>
      <c r="G926" s="130"/>
      <c r="H926" s="123"/>
      <c r="I926" s="124"/>
      <c r="J926" s="31"/>
      <c r="L926" s="125"/>
      <c r="M926" s="126"/>
      <c r="N926" s="26"/>
    </row>
    <row r="927" spans="1:14" ht="20" customHeight="1">
      <c r="A927" s="121">
        <v>1849.06</v>
      </c>
      <c r="B927" s="130">
        <v>137566.46729622799</v>
      </c>
      <c r="C927" s="123">
        <v>400.80473019999999</v>
      </c>
      <c r="D927" s="122">
        <v>3</v>
      </c>
      <c r="E927" s="124" t="s">
        <v>1065</v>
      </c>
      <c r="F927" s="121"/>
      <c r="G927" s="130"/>
      <c r="H927" s="123"/>
      <c r="I927" s="124"/>
      <c r="J927" s="31"/>
      <c r="L927" s="125"/>
      <c r="M927" s="126"/>
      <c r="N927" s="26"/>
    </row>
    <row r="928" spans="1:14" ht="20" customHeight="1">
      <c r="A928" s="121">
        <v>1852.56</v>
      </c>
      <c r="B928" s="130">
        <v>138214.36003922901</v>
      </c>
      <c r="C928" s="123">
        <v>402.7699331</v>
      </c>
      <c r="D928" s="122">
        <v>3</v>
      </c>
      <c r="E928" s="124" t="s">
        <v>1065</v>
      </c>
      <c r="F928" s="121"/>
      <c r="G928" s="130"/>
      <c r="H928" s="123"/>
      <c r="I928" s="124"/>
      <c r="J928" s="31"/>
      <c r="L928" s="125"/>
      <c r="M928" s="126"/>
      <c r="N928" s="26"/>
    </row>
    <row r="929" spans="1:14" ht="20" customHeight="1">
      <c r="A929" s="121">
        <v>1852.76</v>
      </c>
      <c r="B929" s="130">
        <v>138260.18988252399</v>
      </c>
      <c r="C929" s="123">
        <v>404.90322350000002</v>
      </c>
      <c r="D929" s="122">
        <v>3</v>
      </c>
      <c r="E929" s="124" t="s">
        <v>1065</v>
      </c>
      <c r="F929" s="121"/>
      <c r="G929" s="130"/>
      <c r="H929" s="123"/>
      <c r="I929" s="124"/>
      <c r="J929" s="31"/>
      <c r="L929" s="125"/>
      <c r="M929" s="126"/>
      <c r="N929" s="26"/>
    </row>
    <row r="930" spans="1:14" ht="20" customHeight="1">
      <c r="A930" s="121">
        <v>1852.94</v>
      </c>
      <c r="B930" s="130">
        <v>138301.43674148899</v>
      </c>
      <c r="C930" s="123">
        <v>406.40099040000001</v>
      </c>
      <c r="D930" s="122">
        <v>3</v>
      </c>
      <c r="E930" s="124" t="s">
        <v>1065</v>
      </c>
      <c r="F930" s="121"/>
      <c r="G930" s="130"/>
      <c r="H930" s="123"/>
      <c r="I930" s="124"/>
      <c r="J930" s="31"/>
      <c r="L930" s="125"/>
      <c r="M930" s="126"/>
      <c r="N930" s="26"/>
    </row>
    <row r="931" spans="1:14" ht="20" customHeight="1">
      <c r="A931" s="125">
        <v>1853.0550000000001</v>
      </c>
      <c r="B931" s="127">
        <v>138327.846272216</v>
      </c>
      <c r="C931" s="133">
        <v>410.9</v>
      </c>
      <c r="D931" s="144">
        <v>6</v>
      </c>
      <c r="E931" s="124" t="s">
        <v>1067</v>
      </c>
      <c r="F931" s="125"/>
      <c r="G931" s="125"/>
      <c r="H931" s="133"/>
      <c r="I931" s="124"/>
      <c r="J931" s="31"/>
      <c r="L931" s="125"/>
      <c r="M931" s="126"/>
      <c r="N931" s="26"/>
    </row>
    <row r="932" spans="1:14" ht="20" customHeight="1">
      <c r="A932" s="121">
        <v>1853.56</v>
      </c>
      <c r="B932" s="130">
        <v>138433.35108670499</v>
      </c>
      <c r="C932" s="123">
        <v>402.88837749999999</v>
      </c>
      <c r="D932" s="122">
        <v>3</v>
      </c>
      <c r="E932" s="124" t="s">
        <v>1065</v>
      </c>
      <c r="F932" s="121"/>
      <c r="G932" s="130"/>
      <c r="H932" s="123"/>
      <c r="I932" s="124"/>
      <c r="J932" s="31"/>
      <c r="L932" s="125"/>
      <c r="M932" s="126"/>
      <c r="N932" s="26"/>
    </row>
    <row r="933" spans="1:14" ht="20" customHeight="1">
      <c r="A933" s="121">
        <v>1853.8</v>
      </c>
      <c r="B933" s="130">
        <v>138483.99339766</v>
      </c>
      <c r="C933" s="123">
        <v>398.28786179999997</v>
      </c>
      <c r="D933" s="122">
        <v>3</v>
      </c>
      <c r="E933" s="124" t="s">
        <v>1065</v>
      </c>
      <c r="F933" s="121"/>
      <c r="G933" s="130"/>
      <c r="H933" s="123"/>
      <c r="I933" s="124"/>
      <c r="J933" s="31"/>
      <c r="L933" s="125"/>
      <c r="M933" s="126"/>
      <c r="N933" s="26"/>
    </row>
    <row r="934" spans="1:14" ht="20" customHeight="1">
      <c r="A934" s="121">
        <v>1854.0349999999999</v>
      </c>
      <c r="B934" s="130">
        <v>138534.317538556</v>
      </c>
      <c r="C934" s="123">
        <v>411.4227568</v>
      </c>
      <c r="D934" s="122">
        <v>3</v>
      </c>
      <c r="E934" s="124" t="s">
        <v>1065</v>
      </c>
      <c r="F934" s="121"/>
      <c r="G934" s="130"/>
      <c r="H934" s="123"/>
      <c r="I934" s="124"/>
      <c r="J934" s="31"/>
      <c r="L934" s="125"/>
      <c r="M934" s="126"/>
      <c r="N934" s="26"/>
    </row>
    <row r="935" spans="1:14" ht="20" customHeight="1">
      <c r="A935" s="121">
        <v>1854.31</v>
      </c>
      <c r="B935" s="130">
        <v>138589.14249048199</v>
      </c>
      <c r="C935" s="123">
        <v>411.08092629999999</v>
      </c>
      <c r="D935" s="122">
        <v>3</v>
      </c>
      <c r="E935" s="124" t="s">
        <v>1065</v>
      </c>
      <c r="F935" s="121"/>
      <c r="G935" s="130"/>
      <c r="H935" s="123"/>
      <c r="I935" s="124"/>
      <c r="J935" s="31"/>
      <c r="L935" s="125"/>
      <c r="M935" s="126"/>
      <c r="N935" s="26"/>
    </row>
    <row r="936" spans="1:14" ht="20" customHeight="1">
      <c r="A936" s="121">
        <v>1854.56</v>
      </c>
      <c r="B936" s="130">
        <v>138639.90633485801</v>
      </c>
      <c r="C936" s="123">
        <v>414.92139789999999</v>
      </c>
      <c r="D936" s="122">
        <v>3</v>
      </c>
      <c r="E936" s="124" t="s">
        <v>1065</v>
      </c>
      <c r="F936" s="121"/>
      <c r="G936" s="130"/>
      <c r="H936" s="123"/>
      <c r="I936" s="124"/>
      <c r="J936" s="31"/>
      <c r="L936" s="125"/>
      <c r="M936" s="126"/>
      <c r="N936" s="26"/>
    </row>
    <row r="937" spans="1:14" ht="20" customHeight="1">
      <c r="A937" s="121">
        <v>1854.8</v>
      </c>
      <c r="B937" s="130">
        <v>138688.63962545901</v>
      </c>
      <c r="C937" s="123">
        <v>414.54672729999999</v>
      </c>
      <c r="D937" s="122">
        <v>3</v>
      </c>
      <c r="E937" s="124" t="s">
        <v>1065</v>
      </c>
      <c r="F937" s="121"/>
      <c r="G937" s="130"/>
      <c r="H937" s="123"/>
      <c r="I937" s="124"/>
      <c r="J937" s="31"/>
      <c r="L937" s="125"/>
      <c r="M937" s="126"/>
      <c r="N937" s="26"/>
    </row>
    <row r="938" spans="1:14" ht="20" customHeight="1">
      <c r="A938" s="121">
        <v>1855.06</v>
      </c>
      <c r="B938" s="130">
        <v>138740.609004044</v>
      </c>
      <c r="C938" s="123">
        <v>417.1304217</v>
      </c>
      <c r="D938" s="122">
        <v>3</v>
      </c>
      <c r="E938" s="124" t="s">
        <v>1065</v>
      </c>
      <c r="F938" s="121"/>
      <c r="G938" s="130"/>
      <c r="H938" s="123"/>
      <c r="I938" s="124"/>
      <c r="J938" s="31"/>
      <c r="L938" s="125"/>
      <c r="M938" s="126"/>
      <c r="N938" s="26"/>
    </row>
    <row r="939" spans="1:14" ht="20" customHeight="1">
      <c r="A939" s="121">
        <v>1855.27</v>
      </c>
      <c r="B939" s="130">
        <v>138780.36306484</v>
      </c>
      <c r="C939" s="123">
        <v>413.55556389999998</v>
      </c>
      <c r="D939" s="122">
        <v>3</v>
      </c>
      <c r="E939" s="124" t="s">
        <v>1065</v>
      </c>
      <c r="F939" s="121"/>
      <c r="G939" s="130"/>
      <c r="H939" s="123"/>
      <c r="I939" s="124"/>
      <c r="J939" s="31"/>
      <c r="L939" s="125"/>
      <c r="M939" s="126"/>
      <c r="N939" s="26"/>
    </row>
    <row r="940" spans="1:14" ht="20" customHeight="1">
      <c r="A940" s="121">
        <v>1855.4024999999999</v>
      </c>
      <c r="B940" s="130">
        <v>138804.97272152299</v>
      </c>
      <c r="C940" s="123">
        <v>410.59970179999999</v>
      </c>
      <c r="D940" s="122">
        <v>3</v>
      </c>
      <c r="E940" s="124" t="s">
        <v>1065</v>
      </c>
      <c r="F940" s="121"/>
      <c r="G940" s="130"/>
      <c r="H940" s="123"/>
      <c r="I940" s="124"/>
      <c r="J940" s="31"/>
      <c r="L940" s="125"/>
      <c r="M940" s="126"/>
      <c r="N940" s="26"/>
    </row>
    <row r="941" spans="1:14" ht="20" customHeight="1">
      <c r="A941" s="121">
        <v>1856.06</v>
      </c>
      <c r="B941" s="130">
        <v>138929.67434669501</v>
      </c>
      <c r="C941" s="123">
        <v>390.06967459999998</v>
      </c>
      <c r="D941" s="122">
        <v>3</v>
      </c>
      <c r="E941" s="124" t="s">
        <v>1065</v>
      </c>
      <c r="F941" s="121"/>
      <c r="G941" s="130"/>
      <c r="H941" s="123"/>
      <c r="I941" s="124"/>
      <c r="J941" s="31"/>
      <c r="L941" s="125"/>
      <c r="M941" s="126"/>
      <c r="N941" s="26"/>
    </row>
    <row r="942" spans="1:14" ht="20" customHeight="1">
      <c r="A942" s="121">
        <v>1856.3</v>
      </c>
      <c r="B942" s="130">
        <v>138974.14872400099</v>
      </c>
      <c r="C942" s="123">
        <v>381.3667087</v>
      </c>
      <c r="D942" s="122">
        <v>3</v>
      </c>
      <c r="E942" s="124" t="s">
        <v>1065</v>
      </c>
      <c r="F942" s="121"/>
      <c r="G942" s="130"/>
      <c r="H942" s="123"/>
      <c r="I942" s="124"/>
      <c r="J942" s="31"/>
      <c r="L942" s="125"/>
      <c r="M942" s="126"/>
      <c r="N942" s="26"/>
    </row>
    <row r="943" spans="1:14" ht="20" customHeight="1">
      <c r="A943" s="121">
        <v>1856.56</v>
      </c>
      <c r="B943" s="130">
        <v>139022.329299417</v>
      </c>
      <c r="C943" s="123">
        <v>378.13348200000001</v>
      </c>
      <c r="D943" s="122">
        <v>3</v>
      </c>
      <c r="E943" s="124" t="s">
        <v>1065</v>
      </c>
      <c r="F943" s="121"/>
      <c r="G943" s="130"/>
      <c r="H943" s="123"/>
      <c r="I943" s="124"/>
      <c r="J943" s="31"/>
      <c r="L943" s="125"/>
      <c r="M943" s="126"/>
      <c r="N943" s="26"/>
    </row>
    <row r="944" spans="1:14" ht="20" customHeight="1">
      <c r="A944" s="121">
        <v>1856.81</v>
      </c>
      <c r="B944" s="130">
        <v>139068.656775777</v>
      </c>
      <c r="C944" s="123">
        <v>381.84200809999999</v>
      </c>
      <c r="D944" s="122">
        <v>3</v>
      </c>
      <c r="E944" s="124" t="s">
        <v>1065</v>
      </c>
      <c r="F944" s="121"/>
      <c r="G944" s="130"/>
      <c r="H944" s="123"/>
      <c r="I944" s="124"/>
      <c r="J944" s="31"/>
      <c r="L944" s="125"/>
      <c r="M944" s="126"/>
      <c r="N944" s="26"/>
    </row>
    <row r="945" spans="1:14" ht="20" customHeight="1">
      <c r="A945" s="121">
        <v>1857.06</v>
      </c>
      <c r="B945" s="130">
        <v>139117.41589995299</v>
      </c>
      <c r="C945" s="123">
        <v>386.3319075</v>
      </c>
      <c r="D945" s="122">
        <v>3</v>
      </c>
      <c r="E945" s="124" t="s">
        <v>1065</v>
      </c>
      <c r="F945" s="121"/>
      <c r="G945" s="130"/>
      <c r="H945" s="123"/>
      <c r="I945" s="124"/>
      <c r="J945" s="31"/>
      <c r="L945" s="125"/>
      <c r="M945" s="126"/>
      <c r="N945" s="26"/>
    </row>
    <row r="946" spans="1:14" ht="20" customHeight="1">
      <c r="A946" s="121">
        <v>1857.3</v>
      </c>
      <c r="B946" s="130">
        <v>139171.616868521</v>
      </c>
      <c r="C946" s="123">
        <v>377.31162769999997</v>
      </c>
      <c r="D946" s="122">
        <v>3</v>
      </c>
      <c r="E946" s="124" t="s">
        <v>1065</v>
      </c>
      <c r="F946" s="121"/>
      <c r="G946" s="130"/>
      <c r="H946" s="123"/>
      <c r="I946" s="124"/>
      <c r="J946" s="31"/>
      <c r="L946" s="125"/>
      <c r="M946" s="126"/>
      <c r="N946" s="26"/>
    </row>
    <row r="947" spans="1:14" ht="20" customHeight="1">
      <c r="A947" s="121">
        <v>1858.0875000000001</v>
      </c>
      <c r="B947" s="130">
        <v>139355.009935615</v>
      </c>
      <c r="C947" s="123">
        <v>361.37556289999998</v>
      </c>
      <c r="D947" s="122">
        <v>3</v>
      </c>
      <c r="E947" s="124" t="s">
        <v>1065</v>
      </c>
      <c r="F947" s="121"/>
      <c r="G947" s="130"/>
      <c r="H947" s="123"/>
      <c r="I947" s="124"/>
      <c r="J947" s="31"/>
      <c r="L947" s="125"/>
      <c r="M947" s="126"/>
      <c r="N947" s="26"/>
    </row>
    <row r="948" spans="1:14" ht="20" customHeight="1">
      <c r="A948" s="121">
        <v>1858.31</v>
      </c>
      <c r="B948" s="130">
        <v>139416.871268174</v>
      </c>
      <c r="C948" s="123">
        <v>363.68831610000001</v>
      </c>
      <c r="D948" s="122">
        <v>3</v>
      </c>
      <c r="E948" s="124" t="s">
        <v>1065</v>
      </c>
      <c r="F948" s="121"/>
      <c r="G948" s="130"/>
      <c r="H948" s="123"/>
      <c r="I948" s="124"/>
      <c r="J948" s="31"/>
      <c r="L948" s="125"/>
      <c r="M948" s="126"/>
      <c r="N948" s="26"/>
    </row>
    <row r="949" spans="1:14" ht="20" customHeight="1">
      <c r="A949" s="121">
        <v>1858.56</v>
      </c>
      <c r="B949" s="130">
        <v>139487.16823698999</v>
      </c>
      <c r="C949" s="123">
        <v>349.158795</v>
      </c>
      <c r="D949" s="122">
        <v>3</v>
      </c>
      <c r="E949" s="124" t="s">
        <v>1065</v>
      </c>
      <c r="F949" s="121"/>
      <c r="G949" s="130"/>
      <c r="H949" s="123"/>
      <c r="I949" s="124"/>
      <c r="J949" s="31"/>
      <c r="L949" s="125"/>
      <c r="M949" s="126"/>
      <c r="N949" s="26"/>
    </row>
    <row r="950" spans="1:14" ht="20" customHeight="1">
      <c r="A950" s="121">
        <v>1858.8</v>
      </c>
      <c r="B950" s="130">
        <v>139554.65332705399</v>
      </c>
      <c r="C950" s="123">
        <v>354.83169720000001</v>
      </c>
      <c r="D950" s="122">
        <v>3</v>
      </c>
      <c r="E950" s="124" t="s">
        <v>1065</v>
      </c>
      <c r="F950" s="121"/>
      <c r="G950" s="130"/>
      <c r="H950" s="123"/>
      <c r="I950" s="124"/>
      <c r="J950" s="31"/>
      <c r="L950" s="125"/>
      <c r="M950" s="126"/>
      <c r="N950" s="26"/>
    </row>
    <row r="951" spans="1:14" ht="20" customHeight="1">
      <c r="A951" s="121">
        <v>1859.06</v>
      </c>
      <c r="B951" s="130">
        <v>139624.799802386</v>
      </c>
      <c r="C951" s="123">
        <v>353.53517859999999</v>
      </c>
      <c r="D951" s="122">
        <v>3</v>
      </c>
      <c r="E951" s="124" t="s">
        <v>1065</v>
      </c>
      <c r="F951" s="121"/>
      <c r="G951" s="130"/>
      <c r="H951" s="123"/>
      <c r="I951" s="124"/>
      <c r="J951" s="31"/>
      <c r="L951" s="125"/>
      <c r="M951" s="126"/>
      <c r="N951" s="26"/>
    </row>
    <row r="952" spans="1:14" ht="20" customHeight="1">
      <c r="A952" s="121">
        <v>1859.31</v>
      </c>
      <c r="B952" s="130">
        <v>139682.753553552</v>
      </c>
      <c r="C952" s="123">
        <v>349.46433719999999</v>
      </c>
      <c r="D952" s="122">
        <v>3</v>
      </c>
      <c r="E952" s="124" t="s">
        <v>1065</v>
      </c>
      <c r="F952" s="121"/>
      <c r="G952" s="130"/>
      <c r="H952" s="123"/>
      <c r="I952" s="124"/>
      <c r="J952" s="31"/>
      <c r="L952" s="125"/>
      <c r="M952" s="126"/>
      <c r="N952" s="26"/>
    </row>
    <row r="953" spans="1:14" ht="20" customHeight="1">
      <c r="A953" s="121">
        <v>1860.06</v>
      </c>
      <c r="B953" s="130">
        <v>139853.20111507599</v>
      </c>
      <c r="C953" s="123">
        <v>353.54941910000002</v>
      </c>
      <c r="D953" s="122">
        <v>3</v>
      </c>
      <c r="E953" s="124" t="s">
        <v>1065</v>
      </c>
      <c r="F953" s="121"/>
      <c r="G953" s="130"/>
      <c r="H953" s="123"/>
      <c r="I953" s="124"/>
      <c r="J953" s="31"/>
      <c r="L953" s="125"/>
      <c r="M953" s="126"/>
      <c r="N953" s="26"/>
    </row>
    <row r="954" spans="1:14" ht="20" customHeight="1">
      <c r="A954" s="121">
        <v>1860.3150000000001</v>
      </c>
      <c r="B954" s="130">
        <v>139898.68035107499</v>
      </c>
      <c r="C954" s="123">
        <v>349.67296690000001</v>
      </c>
      <c r="D954" s="122">
        <v>3</v>
      </c>
      <c r="E954" s="124" t="s">
        <v>1065</v>
      </c>
      <c r="F954" s="121"/>
      <c r="G954" s="130"/>
      <c r="H954" s="123"/>
      <c r="I954" s="124"/>
      <c r="J954" s="31"/>
      <c r="L954" s="125"/>
      <c r="M954" s="126"/>
      <c r="N954" s="26"/>
    </row>
    <row r="955" spans="1:14" ht="20" customHeight="1">
      <c r="A955" s="121">
        <v>1860.56</v>
      </c>
      <c r="B955" s="130">
        <v>139940.66118430599</v>
      </c>
      <c r="C955" s="123">
        <v>357.47647999999998</v>
      </c>
      <c r="D955" s="122">
        <v>3</v>
      </c>
      <c r="E955" s="124" t="s">
        <v>1065</v>
      </c>
      <c r="F955" s="121"/>
      <c r="G955" s="130"/>
      <c r="H955" s="123"/>
      <c r="I955" s="124"/>
      <c r="J955" s="31"/>
      <c r="L955" s="125"/>
      <c r="M955" s="126"/>
      <c r="N955" s="26"/>
    </row>
    <row r="956" spans="1:14" ht="20" customHeight="1">
      <c r="A956" s="121">
        <v>1860.81</v>
      </c>
      <c r="B956" s="130">
        <v>139984.39121892001</v>
      </c>
      <c r="C956" s="123">
        <v>355.33911019999999</v>
      </c>
      <c r="D956" s="122">
        <v>3</v>
      </c>
      <c r="E956" s="124" t="s">
        <v>1065</v>
      </c>
      <c r="F956" s="121"/>
      <c r="G956" s="130"/>
      <c r="H956" s="123"/>
      <c r="I956" s="124"/>
      <c r="J956" s="31"/>
      <c r="L956" s="125"/>
      <c r="M956" s="126"/>
      <c r="N956" s="26"/>
    </row>
    <row r="957" spans="1:14" ht="20" customHeight="1">
      <c r="A957" s="121">
        <v>1861.06</v>
      </c>
      <c r="B957" s="130">
        <v>140028.809917434</v>
      </c>
      <c r="C957" s="123">
        <v>354.1874449</v>
      </c>
      <c r="D957" s="122">
        <v>3</v>
      </c>
      <c r="E957" s="124" t="s">
        <v>1065</v>
      </c>
      <c r="F957" s="121"/>
      <c r="G957" s="130"/>
      <c r="H957" s="123"/>
      <c r="I957" s="124"/>
      <c r="J957" s="31"/>
      <c r="L957" s="125"/>
      <c r="M957" s="126"/>
      <c r="N957" s="26"/>
    </row>
    <row r="958" spans="1:14" ht="20" customHeight="1">
      <c r="A958" s="121">
        <v>1863.54</v>
      </c>
      <c r="B958" s="130">
        <v>140525.338297209</v>
      </c>
      <c r="C958" s="123">
        <v>350.61533609999998</v>
      </c>
      <c r="D958" s="122">
        <v>3</v>
      </c>
      <c r="E958" s="124" t="s">
        <v>1065</v>
      </c>
      <c r="F958" s="121"/>
      <c r="G958" s="130"/>
      <c r="H958" s="123"/>
      <c r="I958" s="124"/>
      <c r="J958" s="31"/>
      <c r="L958" s="125"/>
      <c r="M958" s="126"/>
      <c r="N958" s="26"/>
    </row>
    <row r="959" spans="1:14" ht="20" customHeight="1">
      <c r="A959" s="121">
        <v>1866.06</v>
      </c>
      <c r="B959" s="130">
        <v>141083.25489266199</v>
      </c>
      <c r="C959" s="123">
        <v>356.23885009999998</v>
      </c>
      <c r="D959" s="122">
        <v>3</v>
      </c>
      <c r="E959" s="124" t="s">
        <v>1065</v>
      </c>
      <c r="F959" s="121"/>
      <c r="G959" s="130"/>
      <c r="H959" s="123"/>
      <c r="I959" s="124"/>
      <c r="J959" s="31"/>
      <c r="L959" s="125"/>
      <c r="M959" s="126"/>
      <c r="N959" s="26"/>
    </row>
    <row r="960" spans="1:14" ht="20" customHeight="1">
      <c r="A960" s="125">
        <v>1867.4449999999999</v>
      </c>
      <c r="B960" s="127">
        <v>141364.29752733299</v>
      </c>
      <c r="C960" s="128">
        <v>362.4</v>
      </c>
      <c r="D960" s="144">
        <v>6</v>
      </c>
      <c r="E960" s="124" t="s">
        <v>1067</v>
      </c>
      <c r="F960" s="125"/>
      <c r="G960" s="125"/>
      <c r="H960" s="128"/>
      <c r="I960" s="124"/>
      <c r="J960" s="31"/>
      <c r="L960" s="125"/>
      <c r="M960" s="126"/>
      <c r="N960" s="26"/>
    </row>
    <row r="961" spans="1:14" ht="20" customHeight="1">
      <c r="A961" s="121">
        <v>1868.56</v>
      </c>
      <c r="B961" s="130">
        <v>141588.34795934</v>
      </c>
      <c r="C961" s="123">
        <v>355.77567570000002</v>
      </c>
      <c r="D961" s="122">
        <v>3</v>
      </c>
      <c r="E961" s="124" t="s">
        <v>1065</v>
      </c>
      <c r="F961" s="121"/>
      <c r="G961" s="130"/>
      <c r="H961" s="123"/>
      <c r="I961" s="124"/>
      <c r="J961" s="31"/>
      <c r="L961" s="125"/>
      <c r="M961" s="126"/>
      <c r="N961" s="26"/>
    </row>
    <row r="962" spans="1:14" ht="20" customHeight="1">
      <c r="A962" s="121">
        <v>1870.56</v>
      </c>
      <c r="B962" s="130">
        <v>141986.60796989701</v>
      </c>
      <c r="C962" s="123">
        <v>359.09920920000002</v>
      </c>
      <c r="D962" s="122">
        <v>3</v>
      </c>
      <c r="E962" s="124" t="s">
        <v>1065</v>
      </c>
      <c r="F962" s="121"/>
      <c r="G962" s="130"/>
      <c r="H962" s="123"/>
      <c r="I962" s="124"/>
      <c r="J962" s="31"/>
      <c r="L962" s="125"/>
      <c r="M962" s="126"/>
      <c r="N962" s="26"/>
    </row>
    <row r="963" spans="1:14" ht="20" customHeight="1">
      <c r="A963" s="121">
        <v>1873.5475000000001</v>
      </c>
      <c r="B963" s="130">
        <v>142566.93494462801</v>
      </c>
      <c r="C963" s="123">
        <v>350.01755659999998</v>
      </c>
      <c r="D963" s="122">
        <v>3</v>
      </c>
      <c r="E963" s="124" t="s">
        <v>1065</v>
      </c>
      <c r="F963" s="121"/>
      <c r="G963" s="130"/>
      <c r="H963" s="123"/>
      <c r="I963" s="124"/>
      <c r="J963" s="31"/>
      <c r="L963" s="125"/>
      <c r="M963" s="126"/>
      <c r="N963" s="26"/>
    </row>
    <row r="964" spans="1:14" ht="20" customHeight="1">
      <c r="A964" s="125">
        <v>1874.56</v>
      </c>
      <c r="B964" s="127">
        <v>142768.41985321601</v>
      </c>
      <c r="C964" s="128">
        <v>355.6</v>
      </c>
      <c r="D964" s="144">
        <v>6</v>
      </c>
      <c r="E964" s="124" t="s">
        <v>1067</v>
      </c>
      <c r="F964" s="125"/>
      <c r="G964" s="125"/>
      <c r="H964" s="128"/>
      <c r="I964" s="124"/>
      <c r="J964" s="31"/>
      <c r="L964" s="125"/>
      <c r="M964" s="126"/>
      <c r="N964" s="26"/>
    </row>
    <row r="965" spans="1:14" ht="20" customHeight="1">
      <c r="A965" s="121">
        <v>1876.06</v>
      </c>
      <c r="B965" s="130">
        <v>143085.70355503901</v>
      </c>
      <c r="C965" s="123">
        <v>391.4047693</v>
      </c>
      <c r="D965" s="122">
        <v>3</v>
      </c>
      <c r="E965" s="124" t="s">
        <v>1065</v>
      </c>
      <c r="F965" s="121"/>
      <c r="G965" s="130"/>
      <c r="H965" s="123"/>
      <c r="I965" s="124"/>
      <c r="J965" s="31"/>
      <c r="L965" s="125"/>
      <c r="M965" s="126"/>
      <c r="N965" s="26"/>
    </row>
    <row r="966" spans="1:14" ht="20" customHeight="1">
      <c r="A966" s="121">
        <v>1879.06</v>
      </c>
      <c r="B966" s="130">
        <v>143692.607684555</v>
      </c>
      <c r="C966" s="123">
        <v>399.61088360000002</v>
      </c>
      <c r="D966" s="122">
        <v>3</v>
      </c>
      <c r="E966" s="124" t="s">
        <v>1065</v>
      </c>
      <c r="F966" s="121"/>
      <c r="G966" s="130"/>
      <c r="H966" s="123"/>
      <c r="I966" s="124"/>
      <c r="J966" s="31"/>
      <c r="L966" s="125"/>
      <c r="M966" s="126"/>
      <c r="N966" s="26"/>
    </row>
    <row r="967" spans="1:14" ht="20" customHeight="1">
      <c r="A967" s="121">
        <v>1881.04</v>
      </c>
      <c r="B967" s="130">
        <v>144100.95337799101</v>
      </c>
      <c r="C967" s="123">
        <v>386.5695561</v>
      </c>
      <c r="D967" s="122">
        <v>3</v>
      </c>
      <c r="E967" s="124" t="s">
        <v>1065</v>
      </c>
      <c r="F967" s="121"/>
      <c r="G967" s="130"/>
      <c r="H967" s="123"/>
      <c r="I967" s="124"/>
      <c r="J967" s="31"/>
      <c r="L967" s="125"/>
      <c r="M967" s="126"/>
      <c r="N967" s="26"/>
    </row>
    <row r="968" spans="1:14" ht="20" customHeight="1">
      <c r="A968" s="121">
        <v>1883.59</v>
      </c>
      <c r="B968" s="130">
        <v>144608.98336143399</v>
      </c>
      <c r="C968" s="123">
        <v>435.92024090000001</v>
      </c>
      <c r="D968" s="122">
        <v>3</v>
      </c>
      <c r="E968" s="124" t="s">
        <v>1065</v>
      </c>
      <c r="F968" s="121"/>
      <c r="G968" s="130"/>
      <c r="H968" s="123"/>
      <c r="I968" s="124"/>
      <c r="J968" s="31"/>
      <c r="L968" s="125"/>
      <c r="M968" s="126"/>
      <c r="N968" s="26"/>
    </row>
    <row r="969" spans="1:14" ht="20" customHeight="1">
      <c r="A969" s="121">
        <v>1886.06</v>
      </c>
      <c r="B969" s="130">
        <v>145090.988678669</v>
      </c>
      <c r="C969" s="123">
        <v>373.17485690000001</v>
      </c>
      <c r="D969" s="122">
        <v>3</v>
      </c>
      <c r="E969" s="124" t="s">
        <v>1065</v>
      </c>
      <c r="F969" s="121"/>
      <c r="G969" s="130"/>
      <c r="H969" s="123"/>
      <c r="I969" s="124"/>
      <c r="J969" s="31"/>
      <c r="L969" s="125"/>
      <c r="M969" s="126"/>
      <c r="N969" s="26"/>
    </row>
    <row r="970" spans="1:14" ht="20" customHeight="1">
      <c r="A970" s="125">
        <v>1887.0550000000001</v>
      </c>
      <c r="B970" s="127">
        <v>145288.11706991601</v>
      </c>
      <c r="C970" s="128">
        <v>387.7</v>
      </c>
      <c r="D970" s="144">
        <v>6</v>
      </c>
      <c r="E970" s="124" t="s">
        <v>1067</v>
      </c>
      <c r="F970" s="125"/>
      <c r="G970" s="125"/>
      <c r="H970" s="128"/>
      <c r="I970" s="124"/>
      <c r="J970" s="31"/>
      <c r="L970" s="125"/>
      <c r="M970" s="126"/>
      <c r="N970" s="26"/>
    </row>
    <row r="971" spans="1:14" ht="20" customHeight="1">
      <c r="A971" s="121">
        <v>1889.05</v>
      </c>
      <c r="B971" s="130">
        <v>145659.06801483501</v>
      </c>
      <c r="C971" s="123">
        <v>394.71054600000002</v>
      </c>
      <c r="D971" s="122">
        <v>3</v>
      </c>
      <c r="E971" s="124" t="s">
        <v>1065</v>
      </c>
      <c r="F971" s="121"/>
      <c r="G971" s="130"/>
      <c r="H971" s="123"/>
      <c r="I971" s="124"/>
      <c r="J971" s="31"/>
      <c r="L971" s="125"/>
      <c r="M971" s="126"/>
      <c r="N971" s="26"/>
    </row>
    <row r="972" spans="1:14" ht="20" customHeight="1">
      <c r="A972" s="121">
        <v>1892.56</v>
      </c>
      <c r="B972" s="130">
        <v>146355.49276962099</v>
      </c>
      <c r="C972" s="123">
        <v>426.1526811</v>
      </c>
      <c r="D972" s="122">
        <v>3</v>
      </c>
      <c r="E972" s="124" t="s">
        <v>1065</v>
      </c>
      <c r="F972" s="121"/>
      <c r="G972" s="130"/>
      <c r="H972" s="123"/>
      <c r="I972" s="124"/>
      <c r="J972" s="31"/>
      <c r="L972" s="125"/>
      <c r="M972" s="126"/>
      <c r="N972" s="26"/>
    </row>
    <row r="973" spans="1:14" ht="20" customHeight="1">
      <c r="A973" s="121">
        <v>1894.56</v>
      </c>
      <c r="B973" s="130">
        <v>146760.210601581</v>
      </c>
      <c r="C973" s="123">
        <v>398.20098350000001</v>
      </c>
      <c r="D973" s="122">
        <v>3</v>
      </c>
      <c r="E973" s="124" t="s">
        <v>1065</v>
      </c>
      <c r="F973" s="121"/>
      <c r="G973" s="130"/>
      <c r="H973" s="123"/>
      <c r="I973" s="124"/>
      <c r="J973" s="31"/>
      <c r="L973" s="125"/>
      <c r="M973" s="126"/>
      <c r="N973" s="26"/>
    </row>
    <row r="974" spans="1:14" ht="20" customHeight="1">
      <c r="A974" s="121">
        <v>1897.57</v>
      </c>
      <c r="B974" s="130">
        <v>147375.893179709</v>
      </c>
      <c r="C974" s="123">
        <v>416.45641849999998</v>
      </c>
      <c r="D974" s="122">
        <v>3</v>
      </c>
      <c r="E974" s="124" t="s">
        <v>1065</v>
      </c>
      <c r="F974" s="121"/>
      <c r="G974" s="130"/>
      <c r="H974" s="123"/>
      <c r="I974" s="124"/>
      <c r="J974" s="31"/>
      <c r="L974" s="125"/>
      <c r="M974" s="126"/>
      <c r="N974" s="26"/>
    </row>
    <row r="975" spans="1:14" ht="20" customHeight="1">
      <c r="A975" s="125">
        <v>1899.9449999999999</v>
      </c>
      <c r="B975" s="127">
        <v>147881.21975464199</v>
      </c>
      <c r="C975" s="128">
        <v>433.1</v>
      </c>
      <c r="D975" s="144">
        <v>6</v>
      </c>
      <c r="E975" s="124" t="s">
        <v>1067</v>
      </c>
      <c r="F975" s="125"/>
      <c r="G975" s="125"/>
      <c r="H975" s="128"/>
      <c r="I975" s="124"/>
      <c r="J975" s="31"/>
      <c r="L975" s="125"/>
      <c r="M975" s="126"/>
      <c r="N975" s="26"/>
    </row>
    <row r="976" spans="1:14" ht="20" customHeight="1">
      <c r="A976" s="121">
        <v>1901.56</v>
      </c>
      <c r="B976" s="130">
        <v>148221.64724821699</v>
      </c>
      <c r="C976" s="123">
        <v>464.70367340000001</v>
      </c>
      <c r="D976" s="122">
        <v>3</v>
      </c>
      <c r="E976" s="124" t="s">
        <v>1065</v>
      </c>
      <c r="F976" s="121"/>
      <c r="G976" s="130"/>
      <c r="H976" s="123"/>
      <c r="I976" s="124"/>
      <c r="J976" s="31"/>
      <c r="L976" s="125"/>
      <c r="M976" s="126"/>
      <c r="N976" s="26"/>
    </row>
    <row r="977" spans="1:14" ht="20" customHeight="1">
      <c r="A977" s="121">
        <v>1903.56</v>
      </c>
      <c r="B977" s="130">
        <v>148599.65136828599</v>
      </c>
      <c r="C977" s="123">
        <v>427.37717789999999</v>
      </c>
      <c r="D977" s="122">
        <v>3</v>
      </c>
      <c r="E977" s="124" t="s">
        <v>1065</v>
      </c>
      <c r="F977" s="121"/>
      <c r="G977" s="130"/>
      <c r="H977" s="123"/>
      <c r="I977" s="124"/>
      <c r="J977" s="31"/>
      <c r="L977" s="125"/>
      <c r="M977" s="126"/>
      <c r="N977" s="26"/>
    </row>
    <row r="978" spans="1:14" ht="20" customHeight="1">
      <c r="A978" s="121">
        <v>1906.0549999999998</v>
      </c>
      <c r="B978" s="130">
        <v>149081.31497990599</v>
      </c>
      <c r="C978" s="123">
        <v>425.85139129999999</v>
      </c>
      <c r="D978" s="122">
        <v>3</v>
      </c>
      <c r="E978" s="124" t="s">
        <v>1065</v>
      </c>
      <c r="F978" s="121"/>
      <c r="G978" s="130"/>
      <c r="H978" s="123"/>
      <c r="I978" s="124"/>
      <c r="J978" s="31"/>
      <c r="L978" s="125"/>
      <c r="M978" s="126"/>
      <c r="N978" s="26"/>
    </row>
    <row r="979" spans="1:14" ht="20" customHeight="1">
      <c r="A979" s="121">
        <v>1908.56</v>
      </c>
      <c r="B979" s="130">
        <v>149570.44756551701</v>
      </c>
      <c r="C979" s="123">
        <v>435.87419870000002</v>
      </c>
      <c r="D979" s="122">
        <v>3</v>
      </c>
      <c r="E979" s="124" t="s">
        <v>1065</v>
      </c>
      <c r="F979" s="121"/>
      <c r="G979" s="130"/>
      <c r="H979" s="123"/>
      <c r="I979" s="124"/>
      <c r="J979" s="31"/>
      <c r="L979" s="125"/>
      <c r="M979" s="126"/>
      <c r="N979" s="26"/>
    </row>
    <row r="980" spans="1:14" ht="20" customHeight="1">
      <c r="A980" s="125">
        <v>1909.5550000000001</v>
      </c>
      <c r="B980" s="127">
        <v>149768.82784014</v>
      </c>
      <c r="C980" s="128">
        <v>448.1</v>
      </c>
      <c r="D980" s="144">
        <v>6</v>
      </c>
      <c r="E980" s="124" t="s">
        <v>1067</v>
      </c>
      <c r="F980" s="125"/>
      <c r="G980" s="125"/>
      <c r="H980" s="128"/>
      <c r="I980" s="124"/>
      <c r="J980" s="31"/>
      <c r="L980" s="125"/>
      <c r="M980" s="126"/>
      <c r="N980" s="26"/>
    </row>
    <row r="981" spans="1:14" ht="20" customHeight="1">
      <c r="A981" s="121">
        <v>1911.06</v>
      </c>
      <c r="B981" s="130">
        <v>150058.206586755</v>
      </c>
      <c r="C981" s="123">
        <v>454.93035959999997</v>
      </c>
      <c r="D981" s="122">
        <v>3</v>
      </c>
      <c r="E981" s="124" t="s">
        <v>1065</v>
      </c>
      <c r="F981" s="121"/>
      <c r="G981" s="130"/>
      <c r="H981" s="123"/>
      <c r="I981" s="124"/>
      <c r="J981" s="31"/>
      <c r="L981" s="125"/>
      <c r="M981" s="126"/>
      <c r="N981" s="26"/>
    </row>
    <row r="982" spans="1:14" ht="20" customHeight="1">
      <c r="A982" s="121">
        <v>1914.06</v>
      </c>
      <c r="B982" s="130">
        <v>150635.93652327501</v>
      </c>
      <c r="C982" s="123">
        <v>406.7697642</v>
      </c>
      <c r="D982" s="122">
        <v>3</v>
      </c>
      <c r="E982" s="124" t="s">
        <v>1065</v>
      </c>
      <c r="F982" s="121"/>
      <c r="G982" s="130"/>
      <c r="H982" s="123"/>
      <c r="I982" s="124"/>
      <c r="J982" s="31"/>
      <c r="L982" s="125"/>
      <c r="M982" s="126"/>
      <c r="N982" s="26"/>
    </row>
    <row r="983" spans="1:14" ht="20" customHeight="1">
      <c r="A983" s="121">
        <v>1916.06</v>
      </c>
      <c r="B983" s="130">
        <v>151022.03265070901</v>
      </c>
      <c r="C983" s="123">
        <v>421.34137650000002</v>
      </c>
      <c r="D983" s="122">
        <v>3</v>
      </c>
      <c r="E983" s="124" t="s">
        <v>1065</v>
      </c>
      <c r="F983" s="121"/>
      <c r="G983" s="130"/>
      <c r="H983" s="123"/>
      <c r="I983" s="124"/>
      <c r="J983" s="31"/>
      <c r="L983" s="125"/>
      <c r="M983" s="126"/>
      <c r="N983" s="26"/>
    </row>
    <row r="984" spans="1:14" ht="20" customHeight="1">
      <c r="A984" s="121">
        <v>1918.5450000000001</v>
      </c>
      <c r="B984" s="130">
        <v>151554.52146210201</v>
      </c>
      <c r="C984" s="123">
        <v>422.8806932</v>
      </c>
      <c r="D984" s="122">
        <v>3</v>
      </c>
      <c r="E984" s="124" t="s">
        <v>1065</v>
      </c>
      <c r="F984" s="121"/>
      <c r="G984" s="130"/>
      <c r="H984" s="123"/>
      <c r="I984" s="124"/>
      <c r="J984" s="31"/>
      <c r="L984" s="125"/>
      <c r="M984" s="126"/>
      <c r="N984" s="26"/>
    </row>
    <row r="985" spans="1:14" ht="20" customHeight="1">
      <c r="A985" s="125">
        <v>1919.5550000000001</v>
      </c>
      <c r="B985" s="127">
        <v>151767.14078611101</v>
      </c>
      <c r="C985" s="128">
        <v>424.9</v>
      </c>
      <c r="D985" s="144">
        <v>6</v>
      </c>
      <c r="E985" s="124" t="s">
        <v>1067</v>
      </c>
      <c r="F985" s="125"/>
      <c r="G985" s="125"/>
      <c r="H985" s="128"/>
      <c r="I985" s="124"/>
      <c r="J985" s="31"/>
      <c r="L985" s="125"/>
      <c r="M985" s="126"/>
      <c r="N985" s="26"/>
    </row>
    <row r="986" spans="1:14" ht="20" customHeight="1">
      <c r="A986" s="121">
        <v>1920.06</v>
      </c>
      <c r="B986" s="130">
        <v>151870.08594098201</v>
      </c>
      <c r="C986" s="123">
        <v>429.3860143</v>
      </c>
      <c r="D986" s="122">
        <v>3</v>
      </c>
      <c r="E986" s="124" t="s">
        <v>1065</v>
      </c>
      <c r="F986" s="121"/>
      <c r="G986" s="130"/>
      <c r="H986" s="123"/>
      <c r="I986" s="124"/>
      <c r="J986" s="31"/>
      <c r="L986" s="125"/>
      <c r="M986" s="126"/>
      <c r="N986" s="26"/>
    </row>
    <row r="987" spans="1:14" ht="20" customHeight="1">
      <c r="A987" s="121">
        <v>1921.56</v>
      </c>
      <c r="B987" s="130">
        <v>152171.504820184</v>
      </c>
      <c r="C987" s="123">
        <v>433.12736690000003</v>
      </c>
      <c r="D987" s="122">
        <v>3</v>
      </c>
      <c r="E987" s="124" t="s">
        <v>1065</v>
      </c>
      <c r="F987" s="121"/>
      <c r="G987" s="130"/>
      <c r="H987" s="123"/>
      <c r="I987" s="124"/>
      <c r="J987" s="31"/>
      <c r="L987" s="125"/>
      <c r="M987" s="126"/>
      <c r="N987" s="26"/>
    </row>
    <row r="988" spans="1:14" ht="20" customHeight="1">
      <c r="A988" s="121">
        <v>1924.06</v>
      </c>
      <c r="B988" s="130">
        <v>152690.60852938099</v>
      </c>
      <c r="C988" s="123">
        <v>427.5843016</v>
      </c>
      <c r="D988" s="122">
        <v>3</v>
      </c>
      <c r="E988" s="124" t="s">
        <v>1065</v>
      </c>
      <c r="F988" s="121"/>
      <c r="G988" s="130"/>
      <c r="H988" s="123"/>
      <c r="I988" s="124"/>
      <c r="J988" s="31"/>
      <c r="L988" s="125"/>
      <c r="M988" s="126"/>
      <c r="N988" s="26"/>
    </row>
    <row r="989" spans="1:14" ht="20" customHeight="1">
      <c r="A989" s="121">
        <v>1925.56</v>
      </c>
      <c r="B989" s="130">
        <v>152984.72121809999</v>
      </c>
      <c r="C989" s="134">
        <v>421.81700510246208</v>
      </c>
      <c r="D989" s="122">
        <v>3</v>
      </c>
      <c r="E989" s="124" t="s">
        <v>1065</v>
      </c>
      <c r="F989" s="121"/>
      <c r="G989" s="130"/>
      <c r="H989" s="123"/>
      <c r="I989" s="124"/>
      <c r="J989" s="31"/>
      <c r="L989" s="125"/>
      <c r="M989" s="126"/>
      <c r="N989" s="26"/>
    </row>
    <row r="990" spans="1:14" ht="20" customHeight="1">
      <c r="A990" s="121">
        <v>1927.56</v>
      </c>
      <c r="B990" s="130">
        <v>153388.95155532</v>
      </c>
      <c r="C990" s="123">
        <v>419.12875769999999</v>
      </c>
      <c r="D990" s="122">
        <v>3</v>
      </c>
      <c r="E990" s="124" t="s">
        <v>1065</v>
      </c>
      <c r="F990" s="121"/>
      <c r="G990" s="130"/>
      <c r="H990" s="123"/>
      <c r="I990" s="124"/>
      <c r="J990" s="31"/>
      <c r="L990" s="125"/>
      <c r="M990" s="126"/>
      <c r="N990" s="26"/>
    </row>
    <row r="991" spans="1:14" ht="20" customHeight="1">
      <c r="A991" s="121">
        <v>1929.06</v>
      </c>
      <c r="B991" s="130">
        <v>153729.837844483</v>
      </c>
      <c r="C991" s="123">
        <v>413.33785490000002</v>
      </c>
      <c r="D991" s="122">
        <v>3</v>
      </c>
      <c r="E991" s="124" t="s">
        <v>1065</v>
      </c>
      <c r="F991" s="121"/>
      <c r="G991" s="130"/>
      <c r="H991" s="123"/>
      <c r="I991" s="124"/>
      <c r="J991" s="31"/>
      <c r="L991" s="125"/>
      <c r="M991" s="126"/>
      <c r="N991" s="26"/>
    </row>
    <row r="992" spans="1:14" ht="20" customHeight="1">
      <c r="A992" s="125">
        <v>1929.94</v>
      </c>
      <c r="B992" s="127">
        <v>153938.54605403999</v>
      </c>
      <c r="C992" s="128">
        <v>425.3</v>
      </c>
      <c r="D992" s="144">
        <v>6</v>
      </c>
      <c r="E992" s="124" t="s">
        <v>1067</v>
      </c>
      <c r="F992" s="125"/>
      <c r="G992" s="125"/>
      <c r="H992" s="128"/>
      <c r="I992" s="124"/>
      <c r="J992" s="31"/>
      <c r="L992" s="125"/>
      <c r="M992" s="126"/>
      <c r="N992" s="26"/>
    </row>
    <row r="993" spans="1:14" ht="20" customHeight="1">
      <c r="A993" s="121">
        <v>1931.56</v>
      </c>
      <c r="B993" s="130">
        <v>154267.745444003</v>
      </c>
      <c r="C993" s="123">
        <v>413.68538289999998</v>
      </c>
      <c r="D993" s="122">
        <v>3</v>
      </c>
      <c r="E993" s="124" t="s">
        <v>1065</v>
      </c>
      <c r="F993" s="121"/>
      <c r="G993" s="130"/>
      <c r="H993" s="123"/>
      <c r="I993" s="124"/>
      <c r="J993" s="31"/>
      <c r="L993" s="125"/>
      <c r="M993" s="126"/>
      <c r="N993" s="26"/>
    </row>
    <row r="994" spans="1:14" ht="20" customHeight="1">
      <c r="A994" s="121">
        <v>1933.56</v>
      </c>
      <c r="B994" s="130">
        <v>154754.962998306</v>
      </c>
      <c r="C994" s="123">
        <v>407.79044449999998</v>
      </c>
      <c r="D994" s="122">
        <v>3</v>
      </c>
      <c r="E994" s="124" t="s">
        <v>1065</v>
      </c>
      <c r="F994" s="121"/>
      <c r="G994" s="130"/>
      <c r="H994" s="123"/>
      <c r="I994" s="124"/>
      <c r="J994" s="31"/>
      <c r="L994" s="125"/>
      <c r="M994" s="126"/>
      <c r="N994" s="26"/>
    </row>
    <row r="995" spans="1:14" ht="20" customHeight="1">
      <c r="A995" s="121">
        <v>1935.06</v>
      </c>
      <c r="B995" s="130">
        <v>155153.49287968001</v>
      </c>
      <c r="C995" s="123">
        <v>389.71025559999998</v>
      </c>
      <c r="D995" s="122">
        <v>3</v>
      </c>
      <c r="E995" s="124" t="s">
        <v>1065</v>
      </c>
      <c r="F995" s="121"/>
      <c r="G995" s="130"/>
      <c r="H995" s="123"/>
      <c r="I995" s="124"/>
      <c r="J995" s="31"/>
      <c r="L995" s="125"/>
      <c r="M995" s="126"/>
      <c r="N995" s="26"/>
    </row>
    <row r="996" spans="1:14" ht="20" customHeight="1">
      <c r="A996" s="121">
        <v>1937.56</v>
      </c>
      <c r="B996" s="130">
        <v>155762.392466866</v>
      </c>
      <c r="C996" s="123">
        <v>393.76586459999999</v>
      </c>
      <c r="D996" s="122">
        <v>3</v>
      </c>
      <c r="E996" s="124" t="s">
        <v>1065</v>
      </c>
      <c r="F996" s="121"/>
      <c r="G996" s="130"/>
      <c r="H996" s="123"/>
      <c r="I996" s="124"/>
      <c r="J996" s="31"/>
      <c r="L996" s="125"/>
      <c r="M996" s="126"/>
      <c r="N996" s="26"/>
    </row>
    <row r="997" spans="1:14" ht="20" customHeight="1">
      <c r="A997" s="125">
        <v>1939.95</v>
      </c>
      <c r="B997" s="127">
        <v>156411.90021625801</v>
      </c>
      <c r="C997" s="128">
        <v>417.9</v>
      </c>
      <c r="D997" s="144">
        <v>6</v>
      </c>
      <c r="E997" s="124" t="s">
        <v>1067</v>
      </c>
      <c r="F997" s="125"/>
      <c r="G997" s="125"/>
      <c r="H997" s="128"/>
      <c r="I997" s="124"/>
      <c r="J997" s="31"/>
      <c r="L997" s="125"/>
      <c r="M997" s="126"/>
      <c r="N997" s="26"/>
    </row>
    <row r="998" spans="1:14" ht="20" customHeight="1">
      <c r="A998" s="121">
        <v>1940.56</v>
      </c>
      <c r="B998" s="130">
        <v>156562.92496437099</v>
      </c>
      <c r="C998" s="123">
        <v>412.36653960000001</v>
      </c>
      <c r="D998" s="122">
        <v>3</v>
      </c>
      <c r="E998" s="124" t="s">
        <v>1065</v>
      </c>
      <c r="F998" s="121"/>
      <c r="G998" s="130"/>
      <c r="H998" s="123"/>
      <c r="I998" s="124"/>
      <c r="J998" s="31"/>
      <c r="L998" s="125"/>
      <c r="M998" s="126"/>
      <c r="N998" s="26"/>
    </row>
    <row r="999" spans="1:14" ht="20" customHeight="1">
      <c r="A999" s="121">
        <v>1942.56</v>
      </c>
      <c r="B999" s="130">
        <v>157060.76862755301</v>
      </c>
      <c r="C999" s="123">
        <v>405.65874680000002</v>
      </c>
      <c r="D999" s="122">
        <v>3</v>
      </c>
      <c r="E999" s="124" t="s">
        <v>1065</v>
      </c>
      <c r="F999" s="121"/>
      <c r="G999" s="130"/>
      <c r="H999" s="123"/>
      <c r="I999" s="124"/>
      <c r="J999" s="31"/>
      <c r="L999" s="125"/>
      <c r="M999" s="126"/>
      <c r="N999" s="26"/>
    </row>
    <row r="1000" spans="1:14" ht="20" customHeight="1">
      <c r="A1000" s="121">
        <v>1944.56</v>
      </c>
      <c r="B1000" s="130">
        <v>157624.159231422</v>
      </c>
      <c r="C1000" s="123">
        <v>425.9391382</v>
      </c>
      <c r="D1000" s="122">
        <v>3</v>
      </c>
      <c r="E1000" s="124" t="s">
        <v>1065</v>
      </c>
      <c r="F1000" s="121"/>
      <c r="G1000" s="130"/>
      <c r="H1000" s="123"/>
      <c r="I1000" s="124"/>
      <c r="J1000" s="31"/>
      <c r="L1000" s="125"/>
      <c r="M1000" s="126"/>
      <c r="N1000" s="26"/>
    </row>
    <row r="1001" spans="1:14" ht="20" customHeight="1">
      <c r="A1001" s="121">
        <v>1949.06</v>
      </c>
      <c r="B1001" s="130">
        <v>158805.38134302801</v>
      </c>
      <c r="C1001" s="123">
        <v>426.07959010000002</v>
      </c>
      <c r="D1001" s="122">
        <v>3</v>
      </c>
      <c r="E1001" s="124" t="s">
        <v>1065</v>
      </c>
      <c r="F1001" s="121"/>
      <c r="G1001" s="130"/>
      <c r="H1001" s="123"/>
      <c r="I1001" s="124"/>
      <c r="J1001" s="31"/>
      <c r="L1001" s="125"/>
      <c r="M1001" s="126"/>
      <c r="N1001" s="26"/>
    </row>
    <row r="1002" spans="1:14" ht="20" customHeight="1">
      <c r="A1002" s="125">
        <v>1949.56</v>
      </c>
      <c r="B1002" s="127">
        <v>158932.116502138</v>
      </c>
      <c r="C1002" s="128">
        <v>418.5</v>
      </c>
      <c r="D1002" s="144">
        <v>6</v>
      </c>
      <c r="E1002" s="124" t="s">
        <v>1067</v>
      </c>
      <c r="F1002" s="125"/>
      <c r="G1002" s="125"/>
      <c r="H1002" s="128"/>
      <c r="I1002" s="124"/>
      <c r="J1002" s="31"/>
      <c r="L1002" s="125"/>
      <c r="M1002" s="126"/>
      <c r="N1002" s="26"/>
    </row>
    <row r="1003" spans="1:14" ht="20" customHeight="1">
      <c r="A1003" s="121">
        <v>1951.0419999999999</v>
      </c>
      <c r="B1003" s="130">
        <v>159292.079041619</v>
      </c>
      <c r="C1003" s="123">
        <v>415.12693589999998</v>
      </c>
      <c r="D1003" s="122">
        <v>3</v>
      </c>
      <c r="E1003" s="124" t="s">
        <v>1065</v>
      </c>
      <c r="F1003" s="121"/>
      <c r="G1003" s="130"/>
      <c r="H1003" s="123"/>
      <c r="I1003" s="124"/>
      <c r="J1003" s="31"/>
      <c r="L1003" s="125"/>
      <c r="M1003" s="126"/>
      <c r="N1003" s="26"/>
    </row>
    <row r="1004" spans="1:14" ht="20" customHeight="1">
      <c r="A1004" s="121">
        <v>1953.575</v>
      </c>
      <c r="B1004" s="130">
        <v>159942.665598805</v>
      </c>
      <c r="C1004" s="123">
        <v>433.32989279999998</v>
      </c>
      <c r="D1004" s="122">
        <v>3</v>
      </c>
      <c r="E1004" s="124" t="s">
        <v>1065</v>
      </c>
      <c r="F1004" s="121"/>
      <c r="G1004" s="130"/>
      <c r="H1004" s="123"/>
      <c r="I1004" s="124"/>
      <c r="J1004" s="31"/>
      <c r="L1004" s="125"/>
      <c r="M1004" s="126"/>
      <c r="N1004" s="26"/>
    </row>
    <row r="1005" spans="1:14" ht="20" customHeight="1">
      <c r="A1005" s="125">
        <v>1954.56</v>
      </c>
      <c r="B1005" s="127">
        <v>160207.329928591</v>
      </c>
      <c r="C1005" s="128">
        <v>449.3</v>
      </c>
      <c r="D1005" s="144">
        <v>6</v>
      </c>
      <c r="E1005" s="124" t="s">
        <v>1067</v>
      </c>
      <c r="F1005" s="125"/>
      <c r="G1005" s="125"/>
      <c r="H1005" s="128"/>
      <c r="I1005" s="124"/>
      <c r="J1005" s="31"/>
      <c r="L1005" s="125"/>
      <c r="M1005" s="126"/>
      <c r="N1005" s="26"/>
    </row>
    <row r="1006" spans="1:14" ht="20" customHeight="1">
      <c r="A1006" s="121">
        <v>1956.06</v>
      </c>
      <c r="B1006" s="130">
        <v>160548.03319923201</v>
      </c>
      <c r="C1006" s="123">
        <v>463.13313699999998</v>
      </c>
      <c r="D1006" s="122">
        <v>3</v>
      </c>
      <c r="E1006" s="124" t="s">
        <v>1065</v>
      </c>
      <c r="F1006" s="121"/>
      <c r="G1006" s="130"/>
      <c r="H1006" s="123"/>
      <c r="I1006" s="124"/>
      <c r="J1006" s="31"/>
      <c r="L1006" s="125"/>
      <c r="M1006" s="126"/>
      <c r="N1006" s="26"/>
    </row>
    <row r="1007" spans="1:14" ht="20" customHeight="1">
      <c r="A1007" s="121">
        <v>1958.06</v>
      </c>
      <c r="B1007" s="130">
        <v>160957.62743894599</v>
      </c>
      <c r="C1007" s="123">
        <v>418.05214310000002</v>
      </c>
      <c r="D1007" s="122">
        <v>3</v>
      </c>
      <c r="E1007" s="124" t="s">
        <v>1065</v>
      </c>
      <c r="F1007" s="121"/>
      <c r="G1007" s="130"/>
      <c r="H1007" s="123"/>
      <c r="I1007" s="124"/>
      <c r="J1007" s="31"/>
      <c r="L1007" s="125"/>
      <c r="M1007" s="126"/>
      <c r="N1007" s="26"/>
    </row>
    <row r="1008" spans="1:14" ht="20" customHeight="1">
      <c r="A1008" s="121">
        <v>1960.56</v>
      </c>
      <c r="B1008" s="130">
        <v>161520.75490728501</v>
      </c>
      <c r="C1008" s="123">
        <v>414.5069972</v>
      </c>
      <c r="D1008" s="122">
        <v>3</v>
      </c>
      <c r="E1008" s="124" t="s">
        <v>1065</v>
      </c>
      <c r="F1008" s="121"/>
      <c r="G1008" s="130"/>
      <c r="H1008" s="123"/>
      <c r="I1008" s="124"/>
      <c r="J1008" s="31"/>
      <c r="L1008" s="125"/>
      <c r="M1008" s="126"/>
      <c r="N1008" s="26"/>
    </row>
    <row r="1009" spans="1:14" ht="20" customHeight="1">
      <c r="A1009" s="121">
        <v>1962.56</v>
      </c>
      <c r="B1009" s="130">
        <v>161970.45398815899</v>
      </c>
      <c r="C1009" s="123">
        <v>415.0908058</v>
      </c>
      <c r="D1009" s="122">
        <v>3</v>
      </c>
      <c r="E1009" s="124" t="s">
        <v>1065</v>
      </c>
      <c r="F1009" s="121"/>
      <c r="G1009" s="130"/>
      <c r="H1009" s="123"/>
      <c r="I1009" s="124"/>
      <c r="J1009" s="31"/>
      <c r="L1009" s="125"/>
      <c r="M1009" s="126"/>
      <c r="N1009" s="26"/>
    </row>
    <row r="1010" spans="1:14" ht="20" customHeight="1">
      <c r="A1010" s="125">
        <v>1964.56</v>
      </c>
      <c r="B1010" s="127">
        <v>162416.145561318</v>
      </c>
      <c r="C1010" s="128">
        <v>429.2</v>
      </c>
      <c r="D1010" s="144">
        <v>6</v>
      </c>
      <c r="E1010" s="124" t="s">
        <v>1067</v>
      </c>
      <c r="F1010" s="125"/>
      <c r="G1010" s="125"/>
      <c r="H1010" s="128"/>
      <c r="I1010" s="124"/>
      <c r="J1010" s="31"/>
      <c r="L1010" s="125"/>
      <c r="M1010" s="126"/>
      <c r="N1010" s="26"/>
    </row>
    <row r="1011" spans="1:14" ht="20" customHeight="1">
      <c r="A1011" s="121">
        <v>1965.56</v>
      </c>
      <c r="B1011" s="130">
        <v>162642.04287615101</v>
      </c>
      <c r="C1011" s="123">
        <v>417.17492370000002</v>
      </c>
      <c r="D1011" s="122">
        <v>3</v>
      </c>
      <c r="E1011" s="124" t="s">
        <v>1065</v>
      </c>
      <c r="F1011" s="121"/>
      <c r="G1011" s="130"/>
      <c r="H1011" s="123"/>
      <c r="I1011" s="124"/>
      <c r="J1011" s="31"/>
      <c r="L1011" s="125"/>
      <c r="M1011" s="126"/>
      <c r="N1011" s="26"/>
    </row>
    <row r="1012" spans="1:14" ht="20" customHeight="1">
      <c r="A1012" s="121">
        <v>1967.56</v>
      </c>
      <c r="B1012" s="130">
        <v>163122.99373296701</v>
      </c>
      <c r="C1012" s="123">
        <v>430.6790421</v>
      </c>
      <c r="D1012" s="122">
        <v>3</v>
      </c>
      <c r="E1012" s="124" t="s">
        <v>1065</v>
      </c>
      <c r="F1012" s="121"/>
      <c r="G1012" s="130"/>
      <c r="H1012" s="123"/>
      <c r="I1012" s="124"/>
      <c r="J1012" s="31"/>
      <c r="L1012" s="125"/>
      <c r="M1012" s="126"/>
      <c r="N1012" s="26"/>
    </row>
    <row r="1013" spans="1:14" ht="20" customHeight="1">
      <c r="A1013" s="121">
        <v>1970.08</v>
      </c>
      <c r="B1013" s="130">
        <v>163677.27916412699</v>
      </c>
      <c r="C1013" s="123">
        <v>460.81262939999999</v>
      </c>
      <c r="D1013" s="122">
        <v>3</v>
      </c>
      <c r="E1013" s="124" t="s">
        <v>1065</v>
      </c>
      <c r="F1013" s="121"/>
      <c r="G1013" s="130"/>
      <c r="H1013" s="123"/>
      <c r="I1013" s="124"/>
      <c r="J1013" s="31"/>
      <c r="L1013" s="125"/>
      <c r="M1013" s="126"/>
      <c r="N1013" s="26"/>
    </row>
    <row r="1014" spans="1:14" ht="20" customHeight="1">
      <c r="A1014" s="121">
        <v>1972.06</v>
      </c>
      <c r="B1014" s="130">
        <v>164082.29356048701</v>
      </c>
      <c r="C1014" s="123">
        <v>425.38594660000001</v>
      </c>
      <c r="D1014" s="122">
        <v>3</v>
      </c>
      <c r="E1014" s="124" t="s">
        <v>1065</v>
      </c>
      <c r="F1014" s="121"/>
      <c r="G1014" s="130"/>
      <c r="H1014" s="123"/>
      <c r="I1014" s="124"/>
      <c r="J1014" s="31"/>
      <c r="L1014" s="125"/>
      <c r="M1014" s="126"/>
      <c r="N1014" s="26"/>
    </row>
    <row r="1015" spans="1:14" ht="20" customHeight="1">
      <c r="A1015" s="121">
        <v>1974.06</v>
      </c>
      <c r="B1015" s="130">
        <v>164527.56420573001</v>
      </c>
      <c r="C1015" s="123">
        <v>422.46265249999999</v>
      </c>
      <c r="D1015" s="122">
        <v>3</v>
      </c>
      <c r="E1015" s="124" t="s">
        <v>1065</v>
      </c>
      <c r="F1015" s="121"/>
      <c r="G1015" s="130"/>
      <c r="H1015" s="123"/>
      <c r="I1015" s="124"/>
      <c r="J1015" s="31"/>
      <c r="L1015" s="125"/>
      <c r="M1015" s="126"/>
      <c r="N1015" s="26"/>
    </row>
    <row r="1016" spans="1:14" ht="20" customHeight="1">
      <c r="A1016" s="125">
        <v>1974.57</v>
      </c>
      <c r="B1016" s="122">
        <v>164637.25728736099</v>
      </c>
      <c r="C1016" s="123">
        <v>432.4</v>
      </c>
      <c r="D1016" s="144">
        <v>6</v>
      </c>
      <c r="E1016" s="124" t="s">
        <v>1068</v>
      </c>
      <c r="H1016" s="123"/>
      <c r="I1016" s="124"/>
      <c r="L1016" s="132"/>
      <c r="M1016" s="31"/>
      <c r="N1016" s="26"/>
    </row>
    <row r="1017" spans="1:14" ht="20" customHeight="1">
      <c r="A1017" s="121">
        <v>1976.94</v>
      </c>
      <c r="B1017" s="130">
        <v>165135.78639034601</v>
      </c>
      <c r="C1017" s="123">
        <v>400.94846310000003</v>
      </c>
      <c r="D1017" s="122">
        <v>3</v>
      </c>
      <c r="E1017" s="124" t="s">
        <v>1065</v>
      </c>
      <c r="F1017" s="121"/>
      <c r="G1017" s="130"/>
      <c r="H1017" s="123"/>
      <c r="I1017" s="124"/>
      <c r="J1017" s="31"/>
      <c r="L1017" s="125"/>
      <c r="M1017" s="126"/>
      <c r="N1017" s="26"/>
    </row>
    <row r="1018" spans="1:14" ht="20" customHeight="1">
      <c r="A1018" s="121">
        <v>1979.06</v>
      </c>
      <c r="B1018" s="130">
        <v>165645.19860202199</v>
      </c>
      <c r="C1018" s="123">
        <v>400.1570663</v>
      </c>
      <c r="D1018" s="122">
        <v>3</v>
      </c>
      <c r="E1018" s="124" t="s">
        <v>1065</v>
      </c>
      <c r="F1018" s="121"/>
      <c r="G1018" s="130"/>
      <c r="H1018" s="123"/>
      <c r="I1018" s="124"/>
      <c r="J1018" s="31"/>
      <c r="L1018" s="125"/>
      <c r="M1018" s="126"/>
      <c r="N1018" s="26"/>
    </row>
    <row r="1019" spans="1:14" ht="20" customHeight="1">
      <c r="A1019" s="121">
        <v>1982.06</v>
      </c>
      <c r="B1019" s="122">
        <v>166376.39897004</v>
      </c>
      <c r="C1019" s="123">
        <v>416.9282905</v>
      </c>
      <c r="D1019" s="122">
        <v>3</v>
      </c>
      <c r="E1019" s="124" t="s">
        <v>1065</v>
      </c>
      <c r="F1019" s="121"/>
      <c r="G1019" s="122"/>
      <c r="H1019" s="123"/>
      <c r="I1019" s="124"/>
      <c r="J1019" s="31"/>
      <c r="L1019" s="125"/>
      <c r="M1019" s="126"/>
      <c r="N1019" s="26"/>
    </row>
    <row r="1020" spans="1:14" ht="20" customHeight="1">
      <c r="A1020" s="129">
        <v>1984.06</v>
      </c>
      <c r="B1020" s="130">
        <v>166882.333954387</v>
      </c>
      <c r="C1020" s="123">
        <v>428.71195180000001</v>
      </c>
      <c r="D1020" s="122">
        <v>3</v>
      </c>
      <c r="E1020" s="124" t="s">
        <v>1065</v>
      </c>
      <c r="F1020" s="129"/>
      <c r="G1020" s="130"/>
      <c r="H1020" s="123"/>
      <c r="I1020" s="124"/>
      <c r="J1020" s="31"/>
      <c r="L1020" s="125"/>
      <c r="M1020" s="126"/>
      <c r="N1020" s="26"/>
    </row>
    <row r="1021" spans="1:14" ht="20" customHeight="1">
      <c r="A1021" s="125">
        <v>1984.5550000000001</v>
      </c>
      <c r="B1021" s="127">
        <v>167014.31056442799</v>
      </c>
      <c r="C1021" s="128">
        <v>433.1</v>
      </c>
      <c r="D1021" s="144">
        <v>6</v>
      </c>
      <c r="E1021" s="124" t="s">
        <v>1067</v>
      </c>
      <c r="F1021" s="125"/>
      <c r="G1021" s="125"/>
      <c r="H1021" s="128"/>
      <c r="I1021" s="124"/>
      <c r="J1021" s="31"/>
      <c r="L1021" s="125"/>
      <c r="M1021" s="126"/>
      <c r="N1021" s="26"/>
    </row>
    <row r="1022" spans="1:14" ht="20" customHeight="1">
      <c r="A1022" s="121">
        <v>1986.56</v>
      </c>
      <c r="B1022" s="122">
        <v>167513.08385572699</v>
      </c>
      <c r="C1022" s="123">
        <v>451.23040020000002</v>
      </c>
      <c r="D1022" s="122">
        <v>3</v>
      </c>
      <c r="E1022" s="124" t="s">
        <v>1065</v>
      </c>
      <c r="F1022" s="121"/>
      <c r="G1022" s="122"/>
      <c r="H1022" s="123"/>
      <c r="I1022" s="124"/>
      <c r="J1022" s="31"/>
      <c r="L1022" s="125"/>
      <c r="M1022" s="126"/>
      <c r="N1022" s="26"/>
    </row>
    <row r="1023" spans="1:14" ht="20" customHeight="1">
      <c r="A1023" s="129">
        <v>1989.56</v>
      </c>
      <c r="B1023" s="130">
        <v>168201.71517111</v>
      </c>
      <c r="C1023" s="123">
        <v>452.99786549999999</v>
      </c>
      <c r="D1023" s="122">
        <v>3</v>
      </c>
      <c r="E1023" s="124" t="s">
        <v>1065</v>
      </c>
      <c r="F1023" s="129"/>
      <c r="G1023" s="130"/>
      <c r="H1023" s="123"/>
      <c r="I1023" s="124"/>
      <c r="J1023" s="31"/>
      <c r="L1023" s="125"/>
      <c r="M1023" s="126"/>
      <c r="N1023" s="26"/>
    </row>
    <row r="1024" spans="1:14" ht="20" customHeight="1">
      <c r="A1024" s="121">
        <v>1992.06</v>
      </c>
      <c r="B1024" s="122">
        <v>168752.07246968799</v>
      </c>
      <c r="C1024" s="123">
        <v>494.7697958</v>
      </c>
      <c r="D1024" s="122">
        <v>3</v>
      </c>
      <c r="E1024" s="124" t="s">
        <v>1065</v>
      </c>
      <c r="F1024" s="121"/>
      <c r="G1024" s="122"/>
      <c r="H1024" s="123"/>
      <c r="I1024" s="124"/>
      <c r="J1024" s="31"/>
      <c r="L1024" s="125"/>
      <c r="M1024" s="126"/>
      <c r="N1024" s="26"/>
    </row>
    <row r="1025" spans="1:14" ht="20" customHeight="1">
      <c r="A1025" s="121">
        <v>1994.06</v>
      </c>
      <c r="B1025" s="122">
        <v>169152.61070937599</v>
      </c>
      <c r="C1025" s="123">
        <v>497.6003905</v>
      </c>
      <c r="D1025" s="122">
        <v>3</v>
      </c>
      <c r="E1025" s="124" t="s">
        <v>1065</v>
      </c>
      <c r="F1025" s="121"/>
      <c r="G1025" s="122"/>
      <c r="H1025" s="123"/>
      <c r="I1025" s="124"/>
      <c r="J1025" s="31"/>
      <c r="L1025" s="125"/>
      <c r="M1025" s="126"/>
      <c r="N1025" s="26"/>
    </row>
    <row r="1026" spans="1:14" ht="20" customHeight="1">
      <c r="A1026" s="125">
        <v>1994.55</v>
      </c>
      <c r="B1026" s="127">
        <v>169254.77225249301</v>
      </c>
      <c r="C1026" s="128">
        <v>487.5</v>
      </c>
      <c r="D1026" s="144">
        <v>6</v>
      </c>
      <c r="E1026" s="124" t="s">
        <v>1067</v>
      </c>
      <c r="F1026" s="125"/>
      <c r="G1026" s="125"/>
      <c r="H1026" s="128"/>
      <c r="I1026" s="124"/>
      <c r="J1026" s="31"/>
      <c r="L1026" s="125"/>
      <c r="M1026" s="126"/>
      <c r="N1026" s="26"/>
    </row>
    <row r="1027" spans="1:14" ht="20" customHeight="1">
      <c r="A1027" s="121">
        <v>1996.06</v>
      </c>
      <c r="B1027" s="122">
        <v>169565.466427935</v>
      </c>
      <c r="C1027" s="123">
        <v>510.32713289999998</v>
      </c>
      <c r="D1027" s="122">
        <v>3</v>
      </c>
      <c r="E1027" s="124" t="s">
        <v>1065</v>
      </c>
      <c r="F1027" s="121"/>
      <c r="G1027" s="122"/>
      <c r="H1027" s="123"/>
      <c r="I1027" s="124"/>
      <c r="J1027" s="31"/>
      <c r="L1027" s="125"/>
      <c r="M1027" s="126"/>
      <c r="N1027" s="26"/>
    </row>
    <row r="1028" spans="1:14" ht="20" customHeight="1">
      <c r="A1028" s="121">
        <v>1998.56</v>
      </c>
      <c r="B1028" s="122">
        <v>170081.902783172</v>
      </c>
      <c r="C1028" s="123">
        <v>446.80944729999999</v>
      </c>
      <c r="D1028" s="122">
        <v>3</v>
      </c>
      <c r="E1028" s="124" t="s">
        <v>1065</v>
      </c>
      <c r="F1028" s="121"/>
      <c r="G1028" s="122"/>
      <c r="H1028" s="123"/>
      <c r="I1028" s="124"/>
      <c r="J1028" s="31"/>
      <c r="L1028" s="125"/>
      <c r="M1028" s="126"/>
      <c r="N1028" s="26"/>
    </row>
    <row r="1029" spans="1:14" ht="20" customHeight="1">
      <c r="A1029" s="125">
        <v>1999.55</v>
      </c>
      <c r="B1029" s="127">
        <v>170304.61181852099</v>
      </c>
      <c r="C1029" s="128">
        <v>454.3</v>
      </c>
      <c r="D1029" s="144">
        <v>6</v>
      </c>
      <c r="E1029" s="124" t="s">
        <v>1067</v>
      </c>
      <c r="F1029" s="125"/>
      <c r="G1029" s="125"/>
      <c r="H1029" s="128"/>
      <c r="I1029" s="124"/>
      <c r="J1029" s="31"/>
      <c r="L1029" s="125"/>
      <c r="M1029" s="126"/>
      <c r="N1029" s="26"/>
    </row>
    <row r="1030" spans="1:14" ht="20" customHeight="1">
      <c r="A1030" s="121">
        <v>2001.06</v>
      </c>
      <c r="B1030" s="122">
        <v>170645.96682302101</v>
      </c>
      <c r="C1030" s="123">
        <v>468.82945840000002</v>
      </c>
      <c r="D1030" s="122">
        <v>3</v>
      </c>
      <c r="E1030" s="124" t="s">
        <v>1065</v>
      </c>
      <c r="F1030" s="121"/>
      <c r="G1030" s="122"/>
      <c r="H1030" s="123"/>
      <c r="I1030" s="124"/>
      <c r="J1030" s="31"/>
      <c r="L1030" s="125"/>
      <c r="M1030" s="126"/>
      <c r="N1030" s="26"/>
    </row>
    <row r="1031" spans="1:14" ht="20" customHeight="1">
      <c r="A1031" s="121">
        <v>2003.44</v>
      </c>
      <c r="B1031" s="122">
        <v>171176.22418808201</v>
      </c>
      <c r="C1031" s="123">
        <v>443.83075159999999</v>
      </c>
      <c r="D1031" s="122">
        <v>3</v>
      </c>
      <c r="E1031" s="124" t="s">
        <v>1065</v>
      </c>
      <c r="F1031" s="121"/>
      <c r="G1031" s="122"/>
      <c r="H1031" s="123"/>
      <c r="I1031" s="124"/>
      <c r="J1031" s="31"/>
      <c r="L1031" s="125"/>
      <c r="M1031" s="126"/>
      <c r="N1031" s="26"/>
    </row>
    <row r="1032" spans="1:14" ht="20" customHeight="1">
      <c r="A1032" s="121">
        <v>2006.06</v>
      </c>
      <c r="B1032" s="122">
        <v>171775.90161560901</v>
      </c>
      <c r="C1032" s="123">
        <v>450.37109400000003</v>
      </c>
      <c r="D1032" s="122">
        <v>3</v>
      </c>
      <c r="E1032" s="124" t="s">
        <v>1065</v>
      </c>
      <c r="F1032" s="121"/>
      <c r="G1032" s="122"/>
      <c r="H1032" s="123"/>
      <c r="I1032" s="124"/>
      <c r="J1032" s="31"/>
      <c r="L1032" s="125"/>
      <c r="M1032" s="126"/>
      <c r="N1032" s="26"/>
    </row>
    <row r="1033" spans="1:14" ht="20" customHeight="1">
      <c r="A1033" s="125">
        <v>2007.0835000000002</v>
      </c>
      <c r="B1033" s="127">
        <v>172022.98089774599</v>
      </c>
      <c r="C1033" s="128">
        <v>458.6</v>
      </c>
      <c r="D1033" s="144">
        <v>6</v>
      </c>
      <c r="E1033" s="124" t="s">
        <v>1067</v>
      </c>
      <c r="F1033" s="125"/>
      <c r="G1033" s="125"/>
      <c r="H1033" s="128"/>
      <c r="I1033" s="124"/>
      <c r="J1033" s="31"/>
      <c r="L1033" s="125"/>
      <c r="M1033" s="126"/>
      <c r="N1033" s="26"/>
    </row>
    <row r="1034" spans="1:14" ht="20" customHeight="1">
      <c r="A1034" s="121">
        <v>2008.5810000000001</v>
      </c>
      <c r="B1034" s="122">
        <v>172396.76225942301</v>
      </c>
      <c r="C1034" s="123">
        <v>481.45541530000003</v>
      </c>
      <c r="D1034" s="122">
        <v>3</v>
      </c>
      <c r="E1034" s="124" t="s">
        <v>1065</v>
      </c>
      <c r="F1034" s="121"/>
      <c r="G1034" s="122"/>
      <c r="H1034" s="123"/>
      <c r="I1034" s="124"/>
      <c r="J1034" s="31"/>
      <c r="L1034" s="125"/>
      <c r="M1034" s="126"/>
      <c r="N1034" s="26"/>
    </row>
    <row r="1035" spans="1:14" ht="20" customHeight="1">
      <c r="A1035" s="121">
        <v>2010.56</v>
      </c>
      <c r="B1035" s="122">
        <v>172851.77675903001</v>
      </c>
      <c r="C1035" s="123">
        <v>493.09574780000003</v>
      </c>
      <c r="D1035" s="122">
        <v>3</v>
      </c>
      <c r="E1035" s="124" t="s">
        <v>1065</v>
      </c>
      <c r="F1035" s="121"/>
      <c r="G1035" s="122"/>
      <c r="H1035" s="123"/>
      <c r="I1035" s="124"/>
      <c r="J1035" s="31"/>
      <c r="L1035" s="125"/>
      <c r="M1035" s="126"/>
      <c r="N1035" s="26"/>
    </row>
    <row r="1036" spans="1:14" ht="20" customHeight="1">
      <c r="A1036" s="121">
        <v>2013.06</v>
      </c>
      <c r="B1036" s="122">
        <v>173405.513299705</v>
      </c>
      <c r="C1036" s="123">
        <v>486.06321029999998</v>
      </c>
      <c r="D1036" s="122">
        <v>3</v>
      </c>
      <c r="E1036" s="124" t="s">
        <v>1065</v>
      </c>
      <c r="F1036" s="121"/>
      <c r="G1036" s="122"/>
      <c r="H1036" s="123"/>
      <c r="I1036" s="124"/>
      <c r="J1036" s="31"/>
      <c r="L1036" s="125"/>
      <c r="M1036" s="126"/>
      <c r="N1036" s="26"/>
    </row>
    <row r="1037" spans="1:14" ht="20" customHeight="1">
      <c r="A1037" s="125">
        <v>2014.5550000000001</v>
      </c>
      <c r="B1037" s="127">
        <v>173733.73246650401</v>
      </c>
      <c r="C1037" s="128">
        <v>468.2</v>
      </c>
      <c r="D1037" s="144">
        <v>6</v>
      </c>
      <c r="E1037" s="124" t="s">
        <v>1067</v>
      </c>
      <c r="F1037" s="125"/>
      <c r="G1037" s="125"/>
      <c r="H1037" s="128"/>
      <c r="I1037" s="124"/>
      <c r="J1037" s="31"/>
      <c r="L1037" s="125"/>
      <c r="M1037" s="126"/>
      <c r="N1037" s="26"/>
    </row>
    <row r="1038" spans="1:14" ht="20" customHeight="1">
      <c r="A1038" s="121">
        <v>2016.44</v>
      </c>
      <c r="B1038" s="122">
        <v>174147.000331207</v>
      </c>
      <c r="C1038" s="123">
        <v>440.08801419999998</v>
      </c>
      <c r="D1038" s="122">
        <v>3</v>
      </c>
      <c r="E1038" s="124" t="s">
        <v>1065</v>
      </c>
      <c r="F1038" s="121"/>
      <c r="G1038" s="122"/>
      <c r="H1038" s="123"/>
      <c r="I1038" s="124"/>
      <c r="J1038" s="31"/>
      <c r="L1038" s="125"/>
      <c r="M1038" s="126"/>
      <c r="N1038" s="26"/>
    </row>
    <row r="1039" spans="1:14" ht="20" customHeight="1">
      <c r="A1039" s="121">
        <v>2017.56</v>
      </c>
      <c r="B1039" s="122">
        <v>174378.05722759099</v>
      </c>
      <c r="C1039" s="123">
        <v>441.85373629999998</v>
      </c>
      <c r="D1039" s="122">
        <v>3</v>
      </c>
      <c r="E1039" s="124" t="s">
        <v>1065</v>
      </c>
      <c r="F1039" s="121"/>
      <c r="G1039" s="122"/>
      <c r="H1039" s="123"/>
      <c r="I1039" s="124"/>
      <c r="J1039" s="31"/>
      <c r="L1039" s="125"/>
      <c r="M1039" s="126"/>
      <c r="N1039" s="26"/>
    </row>
    <row r="1040" spans="1:14" ht="20" customHeight="1">
      <c r="A1040" s="135">
        <v>2019.44</v>
      </c>
      <c r="B1040" s="122">
        <v>174756.03033020801</v>
      </c>
      <c r="C1040" s="123">
        <v>447.78230330000002</v>
      </c>
      <c r="D1040" s="122">
        <v>3</v>
      </c>
      <c r="E1040" s="124" t="s">
        <v>1065</v>
      </c>
      <c r="F1040" s="135"/>
      <c r="G1040" s="122"/>
      <c r="H1040" s="123"/>
      <c r="I1040" s="124"/>
      <c r="J1040" s="31"/>
      <c r="L1040" s="125"/>
      <c r="M1040" s="126"/>
      <c r="N1040" s="26"/>
    </row>
    <row r="1041" spans="1:14" ht="20" customHeight="1">
      <c r="A1041" s="125">
        <v>2019.55</v>
      </c>
      <c r="B1041" s="127">
        <v>174778.71009060199</v>
      </c>
      <c r="C1041" s="128">
        <v>452.7</v>
      </c>
      <c r="D1041" s="144">
        <v>6</v>
      </c>
      <c r="E1041" s="124" t="s">
        <v>1067</v>
      </c>
      <c r="F1041" s="125"/>
      <c r="G1041" s="125"/>
      <c r="H1041" s="128"/>
      <c r="I1041" s="124"/>
      <c r="J1041" s="31"/>
      <c r="L1041" s="125"/>
      <c r="M1041" s="126"/>
      <c r="N1041" s="26"/>
    </row>
    <row r="1042" spans="1:14" ht="20" customHeight="1">
      <c r="A1042" s="135">
        <v>2021.06</v>
      </c>
      <c r="B1042" s="122">
        <v>175090.32106904799</v>
      </c>
      <c r="C1042" s="123">
        <v>472.2127443</v>
      </c>
      <c r="D1042" s="122">
        <v>3</v>
      </c>
      <c r="E1042" s="124" t="s">
        <v>1065</v>
      </c>
      <c r="F1042" s="135"/>
      <c r="G1042" s="122"/>
      <c r="H1042" s="123"/>
      <c r="I1042" s="124"/>
      <c r="J1042" s="31"/>
      <c r="L1042" s="125"/>
      <c r="M1042" s="126"/>
      <c r="N1042" s="26"/>
    </row>
    <row r="1043" spans="1:14" ht="20" customHeight="1">
      <c r="A1043" s="121">
        <v>2023.06</v>
      </c>
      <c r="B1043" s="122">
        <v>175527.37277048599</v>
      </c>
      <c r="C1043" s="123">
        <v>435.28771</v>
      </c>
      <c r="D1043" s="122">
        <v>3</v>
      </c>
      <c r="E1043" s="124" t="s">
        <v>1065</v>
      </c>
      <c r="F1043" s="121"/>
      <c r="G1043" s="122"/>
      <c r="H1043" s="123"/>
      <c r="I1043" s="124"/>
      <c r="J1043" s="31"/>
      <c r="L1043" s="125"/>
      <c r="M1043" s="126"/>
      <c r="N1043" s="26"/>
    </row>
    <row r="1044" spans="1:14" ht="20" customHeight="1">
      <c r="A1044" s="125">
        <v>2024.56</v>
      </c>
      <c r="B1044" s="127">
        <v>175891.46732098699</v>
      </c>
      <c r="C1044" s="128">
        <v>445.8</v>
      </c>
      <c r="D1044" s="144">
        <v>6</v>
      </c>
      <c r="E1044" s="124" t="s">
        <v>1067</v>
      </c>
      <c r="F1044" s="125"/>
      <c r="G1044" s="125"/>
      <c r="H1044" s="128"/>
      <c r="I1044" s="124"/>
      <c r="J1044" s="31"/>
      <c r="L1044" s="125"/>
      <c r="M1044" s="126"/>
      <c r="N1044" s="26"/>
    </row>
    <row r="1045" spans="1:14" ht="20" customHeight="1">
      <c r="A1045" s="121">
        <v>2025.56</v>
      </c>
      <c r="B1045" s="122">
        <v>176146.69945247599</v>
      </c>
      <c r="C1045" s="123">
        <v>453.92729430000003</v>
      </c>
      <c r="D1045" s="122">
        <v>3</v>
      </c>
      <c r="E1045" s="124" t="s">
        <v>1065</v>
      </c>
      <c r="F1045" s="121"/>
      <c r="G1045" s="122"/>
      <c r="H1045" s="123"/>
      <c r="I1045" s="124"/>
      <c r="J1045" s="31"/>
      <c r="L1045" s="125"/>
      <c r="M1045" s="126"/>
      <c r="N1045" s="26"/>
    </row>
    <row r="1046" spans="1:14" ht="20" customHeight="1">
      <c r="A1046" s="121">
        <v>2027.56</v>
      </c>
      <c r="B1046" s="122">
        <v>176693.839385959</v>
      </c>
      <c r="C1046" s="123">
        <v>469.49672390000001</v>
      </c>
      <c r="D1046" s="122">
        <v>3</v>
      </c>
      <c r="E1046" s="124" t="s">
        <v>1065</v>
      </c>
      <c r="F1046" s="121"/>
      <c r="G1046" s="122"/>
      <c r="H1046" s="123"/>
      <c r="I1046" s="124"/>
      <c r="J1046" s="31"/>
      <c r="L1046" s="125"/>
      <c r="M1046" s="126"/>
      <c r="N1046" s="26"/>
    </row>
    <row r="1047" spans="1:14" ht="20" customHeight="1">
      <c r="A1047" s="125">
        <v>2028.0550000000001</v>
      </c>
      <c r="B1047" s="127">
        <v>176824.91780956599</v>
      </c>
      <c r="C1047" s="128">
        <v>477.5</v>
      </c>
      <c r="D1047" s="144">
        <v>6</v>
      </c>
      <c r="E1047" s="124" t="s">
        <v>1067</v>
      </c>
      <c r="F1047" s="125"/>
      <c r="G1047" s="125"/>
      <c r="H1047" s="128"/>
      <c r="I1047" s="124"/>
      <c r="J1047" s="31"/>
      <c r="L1047" s="125"/>
      <c r="M1047" s="126"/>
      <c r="N1047" s="26"/>
    </row>
    <row r="1048" spans="1:14" ht="20" customHeight="1">
      <c r="A1048" s="135">
        <v>2029.94</v>
      </c>
      <c r="B1048" s="122">
        <v>177306.094814382</v>
      </c>
      <c r="C1048" s="123">
        <v>464.68056489999998</v>
      </c>
      <c r="D1048" s="122">
        <v>3</v>
      </c>
      <c r="E1048" s="124" t="s">
        <v>1065</v>
      </c>
      <c r="F1048" s="135"/>
      <c r="G1048" s="122"/>
      <c r="H1048" s="123"/>
      <c r="I1048" s="124"/>
      <c r="J1048" s="31"/>
      <c r="L1048" s="125"/>
      <c r="M1048" s="126"/>
      <c r="N1048" s="26"/>
    </row>
    <row r="1049" spans="1:14" ht="20" customHeight="1">
      <c r="A1049" s="121">
        <v>2032.06</v>
      </c>
      <c r="B1049" s="122">
        <v>177880.51286731599</v>
      </c>
      <c r="C1049" s="123">
        <v>476.55705669999998</v>
      </c>
      <c r="D1049" s="122">
        <v>3</v>
      </c>
      <c r="E1049" s="124" t="s">
        <v>1065</v>
      </c>
      <c r="F1049" s="121"/>
      <c r="G1049" s="122"/>
      <c r="H1049" s="123"/>
      <c r="I1049" s="124"/>
      <c r="J1049" s="31"/>
      <c r="L1049" s="125"/>
      <c r="M1049" s="126"/>
      <c r="N1049" s="26"/>
    </row>
    <row r="1050" spans="1:14" ht="20" customHeight="1">
      <c r="A1050" s="135">
        <v>2033.56</v>
      </c>
      <c r="B1050" s="122">
        <v>178296.79948291401</v>
      </c>
      <c r="C1050" s="123">
        <v>490.70571200000001</v>
      </c>
      <c r="D1050" s="122">
        <v>3</v>
      </c>
      <c r="E1050" s="124" t="s">
        <v>1065</v>
      </c>
      <c r="F1050" s="135"/>
      <c r="G1050" s="122"/>
      <c r="H1050" s="123"/>
      <c r="I1050" s="124"/>
      <c r="J1050" s="31"/>
      <c r="L1050" s="125"/>
      <c r="M1050" s="126"/>
      <c r="N1050" s="26"/>
    </row>
    <row r="1051" spans="1:14" ht="20" customHeight="1">
      <c r="A1051" s="125">
        <v>2034.56</v>
      </c>
      <c r="B1051" s="127">
        <v>178565.78790865501</v>
      </c>
      <c r="C1051" s="128">
        <v>518</v>
      </c>
      <c r="D1051" s="144">
        <v>6</v>
      </c>
      <c r="E1051" s="124" t="s">
        <v>1067</v>
      </c>
      <c r="F1051" s="125"/>
      <c r="G1051" s="125"/>
      <c r="H1051" s="128"/>
      <c r="I1051" s="124"/>
      <c r="J1051" s="31"/>
      <c r="L1051" s="125"/>
      <c r="M1051" s="126"/>
      <c r="N1051" s="26"/>
    </row>
    <row r="1052" spans="1:14" ht="20" customHeight="1">
      <c r="A1052" s="121">
        <v>2035.56</v>
      </c>
      <c r="B1052" s="122">
        <v>178826.212223685</v>
      </c>
      <c r="C1052" s="123">
        <v>542.94988320000004</v>
      </c>
      <c r="D1052" s="122">
        <v>3</v>
      </c>
      <c r="E1052" s="124" t="s">
        <v>1065</v>
      </c>
      <c r="F1052" s="121"/>
      <c r="G1052" s="122"/>
      <c r="H1052" s="123"/>
      <c r="I1052" s="124"/>
      <c r="J1052" s="31"/>
      <c r="L1052" s="125"/>
      <c r="M1052" s="126"/>
      <c r="N1052" s="26"/>
    </row>
    <row r="1053" spans="1:14" ht="20" customHeight="1">
      <c r="A1053" s="135">
        <v>2037.06</v>
      </c>
      <c r="B1053" s="122">
        <v>179215.91858937699</v>
      </c>
      <c r="C1053" s="123">
        <v>569.49909430000002</v>
      </c>
      <c r="D1053" s="122">
        <v>3</v>
      </c>
      <c r="E1053" s="124" t="s">
        <v>1065</v>
      </c>
      <c r="F1053" s="135"/>
      <c r="G1053" s="122"/>
      <c r="H1053" s="123"/>
      <c r="I1053" s="124"/>
      <c r="J1053" s="31"/>
      <c r="L1053" s="125"/>
      <c r="M1053" s="126"/>
      <c r="N1053" s="26"/>
    </row>
    <row r="1054" spans="1:14" ht="20" customHeight="1">
      <c r="A1054" s="121">
        <v>2040.94</v>
      </c>
      <c r="B1054" s="122">
        <v>180198.58106906401</v>
      </c>
      <c r="C1054" s="123">
        <v>534.27901910000003</v>
      </c>
      <c r="D1054" s="122">
        <v>3</v>
      </c>
      <c r="E1054" s="124" t="s">
        <v>1065</v>
      </c>
      <c r="F1054" s="121"/>
      <c r="G1054" s="122"/>
      <c r="H1054" s="123"/>
      <c r="I1054" s="124"/>
      <c r="J1054" s="31"/>
      <c r="L1054" s="125"/>
      <c r="M1054" s="126"/>
      <c r="N1054" s="26"/>
    </row>
    <row r="1055" spans="1:14" ht="20" customHeight="1">
      <c r="A1055" s="125">
        <v>2042.05</v>
      </c>
      <c r="B1055" s="127">
        <v>180494.165805803</v>
      </c>
      <c r="C1055" s="128">
        <v>568.70000000000005</v>
      </c>
      <c r="D1055" s="144">
        <v>6</v>
      </c>
      <c r="E1055" s="124" t="s">
        <v>1067</v>
      </c>
      <c r="F1055" s="125"/>
      <c r="G1055" s="125"/>
      <c r="H1055" s="128"/>
      <c r="I1055" s="124"/>
      <c r="M1055" s="31"/>
      <c r="N1055" s="26"/>
    </row>
    <row r="1056" spans="1:14" ht="20" customHeight="1">
      <c r="A1056" s="135">
        <v>2042.56</v>
      </c>
      <c r="B1056" s="122">
        <v>180621.624943089</v>
      </c>
      <c r="C1056" s="123">
        <v>557.50348989999998</v>
      </c>
      <c r="D1056" s="122">
        <v>3</v>
      </c>
      <c r="E1056" s="124" t="s">
        <v>1065</v>
      </c>
      <c r="F1056" s="135"/>
      <c r="G1056" s="122"/>
      <c r="H1056" s="123"/>
      <c r="I1056" s="124"/>
      <c r="J1056" s="31"/>
      <c r="L1056" s="125"/>
      <c r="M1056" s="126"/>
      <c r="N1056" s="26"/>
    </row>
    <row r="1057" spans="1:14" ht="20" customHeight="1">
      <c r="A1057" s="135">
        <v>2044.06</v>
      </c>
      <c r="B1057" s="122">
        <v>180992.83295272701</v>
      </c>
      <c r="C1057" s="123">
        <v>472.9550946</v>
      </c>
      <c r="D1057" s="122">
        <v>3</v>
      </c>
      <c r="E1057" s="124" t="s">
        <v>1065</v>
      </c>
      <c r="F1057" s="135"/>
      <c r="G1057" s="122"/>
      <c r="H1057" s="123"/>
      <c r="I1057" s="124"/>
      <c r="J1057" s="31"/>
      <c r="L1057" s="125"/>
      <c r="M1057" s="126"/>
      <c r="N1057" s="26"/>
    </row>
    <row r="1058" spans="1:14" ht="20" customHeight="1">
      <c r="A1058" s="121">
        <v>2045.56</v>
      </c>
      <c r="B1058" s="122">
        <v>181368.15394545099</v>
      </c>
      <c r="C1058" s="123">
        <v>477.08951990000003</v>
      </c>
      <c r="D1058" s="122">
        <v>3</v>
      </c>
      <c r="E1058" s="124" t="s">
        <v>1065</v>
      </c>
      <c r="F1058" s="121"/>
      <c r="G1058" s="122"/>
      <c r="H1058" s="123"/>
      <c r="I1058" s="124"/>
      <c r="J1058" s="31"/>
      <c r="L1058" s="125"/>
      <c r="M1058" s="126"/>
      <c r="N1058" s="26"/>
    </row>
    <row r="1059" spans="1:14" ht="20" customHeight="1">
      <c r="A1059" s="135">
        <v>2047.55</v>
      </c>
      <c r="B1059" s="122">
        <v>181842.56574250699</v>
      </c>
      <c r="C1059" s="123">
        <v>475.45204699999999</v>
      </c>
      <c r="D1059" s="122">
        <v>3</v>
      </c>
      <c r="E1059" s="124" t="s">
        <v>1065</v>
      </c>
      <c r="F1059" s="135"/>
      <c r="G1059" s="122"/>
      <c r="H1059" s="123"/>
      <c r="I1059" s="124"/>
      <c r="J1059" s="31"/>
      <c r="L1059" s="125"/>
      <c r="M1059" s="126"/>
      <c r="N1059" s="26"/>
    </row>
    <row r="1060" spans="1:14" ht="20" customHeight="1">
      <c r="A1060" s="121">
        <v>2049.06</v>
      </c>
      <c r="B1060" s="122">
        <v>182198.09664759299</v>
      </c>
      <c r="C1060" s="123">
        <v>463.8542822</v>
      </c>
      <c r="D1060" s="122">
        <v>3</v>
      </c>
      <c r="E1060" s="124" t="s">
        <v>1065</v>
      </c>
      <c r="F1060" s="121"/>
      <c r="G1060" s="122"/>
      <c r="H1060" s="123"/>
      <c r="I1060" s="124"/>
      <c r="J1060" s="31"/>
      <c r="L1060" s="125"/>
      <c r="M1060" s="126"/>
      <c r="N1060" s="26"/>
    </row>
    <row r="1061" spans="1:14" ht="20" customHeight="1">
      <c r="A1061" s="125">
        <v>2049.56</v>
      </c>
      <c r="B1061" s="127">
        <v>182333.473809494</v>
      </c>
      <c r="C1061" s="128">
        <v>487</v>
      </c>
      <c r="D1061" s="144">
        <v>6</v>
      </c>
      <c r="E1061" s="124" t="s">
        <v>1067</v>
      </c>
      <c r="F1061" s="125"/>
      <c r="G1061" s="125"/>
      <c r="H1061" s="128"/>
      <c r="I1061" s="124"/>
      <c r="J1061" s="31"/>
      <c r="L1061" s="125"/>
      <c r="M1061" s="126"/>
      <c r="N1061" s="26"/>
    </row>
    <row r="1062" spans="1:14" ht="20" customHeight="1">
      <c r="A1062" s="135">
        <v>2050.56</v>
      </c>
      <c r="B1062" s="122">
        <v>182613.293119768</v>
      </c>
      <c r="C1062" s="123">
        <v>483.09004390000001</v>
      </c>
      <c r="D1062" s="122">
        <v>3</v>
      </c>
      <c r="E1062" s="124" t="s">
        <v>1065</v>
      </c>
      <c r="F1062" s="135"/>
      <c r="G1062" s="122"/>
      <c r="H1062" s="123"/>
      <c r="I1062" s="124"/>
      <c r="J1062" s="31"/>
      <c r="L1062" s="125"/>
      <c r="M1062" s="126"/>
      <c r="N1062" s="26"/>
    </row>
    <row r="1063" spans="1:14" ht="20" customHeight="1">
      <c r="A1063" s="121">
        <v>2054.56</v>
      </c>
      <c r="B1063" s="122">
        <v>183766.41536760001</v>
      </c>
      <c r="C1063" s="123">
        <v>511.88827859999998</v>
      </c>
      <c r="D1063" s="122">
        <v>3</v>
      </c>
      <c r="E1063" s="124" t="s">
        <v>1065</v>
      </c>
      <c r="F1063" s="121"/>
      <c r="G1063" s="122"/>
      <c r="H1063" s="123"/>
      <c r="I1063" s="124"/>
      <c r="J1063" s="31"/>
      <c r="L1063" s="125"/>
      <c r="M1063" s="126"/>
      <c r="N1063" s="26"/>
    </row>
    <row r="1064" spans="1:14" ht="20" customHeight="1">
      <c r="A1064" s="135">
        <v>2056.5430000000001</v>
      </c>
      <c r="B1064" s="122">
        <v>184373.407314173</v>
      </c>
      <c r="C1064" s="123">
        <v>510.63437809999999</v>
      </c>
      <c r="D1064" s="122">
        <v>3</v>
      </c>
      <c r="E1064" s="124" t="s">
        <v>1065</v>
      </c>
      <c r="F1064" s="135"/>
      <c r="G1064" s="122"/>
      <c r="H1064" s="123"/>
      <c r="I1064" s="124"/>
      <c r="J1064" s="31"/>
      <c r="L1064" s="125"/>
      <c r="M1064" s="126"/>
      <c r="N1064" s="26"/>
    </row>
    <row r="1065" spans="1:14" ht="20" customHeight="1">
      <c r="A1065" s="125">
        <v>2057.5500000000002</v>
      </c>
      <c r="B1065" s="127">
        <v>184676.24217265801</v>
      </c>
      <c r="C1065" s="128">
        <v>527</v>
      </c>
      <c r="D1065" s="144">
        <v>6</v>
      </c>
      <c r="E1065" s="124" t="s">
        <v>1067</v>
      </c>
      <c r="F1065" s="125"/>
      <c r="G1065" s="125"/>
      <c r="H1065" s="128"/>
      <c r="I1065" s="124"/>
      <c r="J1065" s="31"/>
      <c r="L1065" s="125"/>
      <c r="M1065" s="126"/>
      <c r="N1065" s="26"/>
    </row>
    <row r="1066" spans="1:14" ht="20" customHeight="1">
      <c r="A1066" s="121">
        <v>2058.56</v>
      </c>
      <c r="B1066" s="122">
        <v>184971.53327692099</v>
      </c>
      <c r="C1066" s="123">
        <v>531.02817589999995</v>
      </c>
      <c r="D1066" s="122">
        <v>3</v>
      </c>
      <c r="E1066" s="124" t="s">
        <v>1065</v>
      </c>
      <c r="F1066" s="121"/>
      <c r="G1066" s="122"/>
      <c r="H1066" s="123"/>
      <c r="I1066" s="124"/>
      <c r="J1066" s="31"/>
      <c r="L1066" s="125"/>
      <c r="M1066" s="126"/>
      <c r="N1066" s="26"/>
    </row>
    <row r="1067" spans="1:14" ht="20" customHeight="1">
      <c r="A1067" s="121">
        <v>2060.94</v>
      </c>
      <c r="B1067" s="122">
        <v>185636.260954103</v>
      </c>
      <c r="C1067" s="123">
        <v>532.84666330000005</v>
      </c>
      <c r="D1067" s="122">
        <v>3</v>
      </c>
      <c r="E1067" s="124" t="s">
        <v>1065</v>
      </c>
      <c r="F1067" s="121"/>
      <c r="G1067" s="122"/>
      <c r="H1067" s="123"/>
      <c r="I1067" s="124"/>
      <c r="J1067" s="31"/>
      <c r="L1067" s="125"/>
      <c r="M1067" s="126"/>
      <c r="N1067" s="26"/>
    </row>
    <row r="1068" spans="1:14" ht="20" customHeight="1">
      <c r="A1068" s="135">
        <v>2063.0300000000002</v>
      </c>
      <c r="B1068" s="122">
        <v>186191.338820932</v>
      </c>
      <c r="C1068" s="123">
        <v>531.59581709999998</v>
      </c>
      <c r="D1068" s="122">
        <v>3</v>
      </c>
      <c r="E1068" s="124" t="s">
        <v>1065</v>
      </c>
      <c r="F1068" s="135"/>
      <c r="G1068" s="122"/>
      <c r="H1068" s="123"/>
      <c r="I1068" s="124"/>
      <c r="J1068" s="31"/>
      <c r="L1068" s="125"/>
      <c r="M1068" s="126"/>
      <c r="N1068" s="26"/>
    </row>
    <row r="1069" spans="1:14" ht="20" customHeight="1">
      <c r="A1069" s="135">
        <v>2063.06</v>
      </c>
      <c r="B1069" s="122">
        <v>186199.012913318</v>
      </c>
      <c r="C1069" s="123">
        <v>536.44895980000001</v>
      </c>
      <c r="D1069" s="122">
        <v>3</v>
      </c>
      <c r="E1069" s="124" t="s">
        <v>1065</v>
      </c>
      <c r="F1069" s="135"/>
      <c r="G1069" s="122"/>
      <c r="H1069" s="123"/>
      <c r="I1069" s="124"/>
      <c r="J1069" s="31"/>
      <c r="L1069" s="125"/>
      <c r="M1069" s="126"/>
      <c r="N1069" s="26"/>
    </row>
    <row r="1070" spans="1:14" ht="20" customHeight="1">
      <c r="A1070" s="125">
        <v>2064.56</v>
      </c>
      <c r="B1070" s="122">
        <v>186567.825837982</v>
      </c>
      <c r="C1070" s="123">
        <v>540.1</v>
      </c>
      <c r="D1070" s="144">
        <v>6</v>
      </c>
      <c r="E1070" s="124" t="s">
        <v>1068</v>
      </c>
      <c r="H1070" s="123"/>
      <c r="I1070" s="124"/>
      <c r="L1070" s="132"/>
      <c r="M1070" s="31"/>
      <c r="N1070" s="26"/>
    </row>
    <row r="1071" spans="1:14" ht="20" customHeight="1">
      <c r="A1071" s="135">
        <v>2064.84</v>
      </c>
      <c r="B1071" s="122">
        <v>186632.00485293599</v>
      </c>
      <c r="C1071" s="123">
        <v>524.77112729999999</v>
      </c>
      <c r="D1071" s="122">
        <v>3</v>
      </c>
      <c r="E1071" s="124" t="s">
        <v>1065</v>
      </c>
      <c r="F1071" s="135"/>
      <c r="G1071" s="122"/>
      <c r="H1071" s="123"/>
      <c r="I1071" s="124"/>
      <c r="J1071" s="31"/>
      <c r="L1071" s="125"/>
      <c r="M1071" s="126"/>
      <c r="N1071" s="26"/>
    </row>
    <row r="1072" spans="1:14" ht="20" customHeight="1">
      <c r="A1072" s="121">
        <v>2065.56</v>
      </c>
      <c r="B1072" s="122">
        <v>186794.687353357</v>
      </c>
      <c r="C1072" s="123">
        <v>520.79141570000002</v>
      </c>
      <c r="D1072" s="122">
        <v>3</v>
      </c>
      <c r="E1072" s="124" t="s">
        <v>1065</v>
      </c>
      <c r="F1072" s="121"/>
      <c r="G1072" s="122"/>
      <c r="H1072" s="123"/>
      <c r="I1072" s="124"/>
      <c r="J1072" s="31"/>
      <c r="L1072" s="125"/>
      <c r="M1072" s="126"/>
      <c r="N1072" s="26"/>
    </row>
    <row r="1073" spans="1:14" ht="20" customHeight="1">
      <c r="A1073" s="135">
        <v>2068.06</v>
      </c>
      <c r="B1073" s="122">
        <v>187434.85474689401</v>
      </c>
      <c r="C1073" s="123">
        <v>484.32647960000003</v>
      </c>
      <c r="D1073" s="122">
        <v>3</v>
      </c>
      <c r="E1073" s="124" t="s">
        <v>1065</v>
      </c>
      <c r="F1073" s="135"/>
      <c r="G1073" s="122"/>
      <c r="H1073" s="123"/>
      <c r="I1073" s="124"/>
      <c r="J1073" s="31"/>
      <c r="L1073" s="125"/>
      <c r="M1073" s="126"/>
      <c r="N1073" s="26"/>
    </row>
    <row r="1074" spans="1:14" ht="20" customHeight="1">
      <c r="A1074" s="125">
        <v>2070.0500000000002</v>
      </c>
      <c r="B1074" s="127">
        <v>187947.425712139</v>
      </c>
      <c r="C1074" s="128">
        <v>470.5</v>
      </c>
      <c r="D1074" s="144">
        <v>6</v>
      </c>
      <c r="E1074" s="124" t="s">
        <v>1067</v>
      </c>
      <c r="F1074" s="125"/>
      <c r="G1074" s="125"/>
      <c r="H1074" s="128"/>
      <c r="I1074" s="124"/>
      <c r="J1074" s="31"/>
      <c r="L1074" s="125"/>
      <c r="M1074" s="126"/>
      <c r="N1074" s="26"/>
    </row>
    <row r="1075" spans="1:14" ht="20" customHeight="1">
      <c r="A1075" s="121">
        <v>2070.56</v>
      </c>
      <c r="B1075" s="122">
        <v>188064.721198118</v>
      </c>
      <c r="C1075" s="123">
        <v>466.36789149999998</v>
      </c>
      <c r="D1075" s="122">
        <v>3</v>
      </c>
      <c r="E1075" s="124" t="s">
        <v>1065</v>
      </c>
      <c r="F1075" s="121"/>
      <c r="G1075" s="122"/>
      <c r="H1075" s="123"/>
      <c r="I1075" s="124"/>
      <c r="J1075" s="31"/>
      <c r="L1075" s="125"/>
      <c r="M1075" s="126"/>
      <c r="N1075" s="26"/>
    </row>
    <row r="1076" spans="1:14" ht="20" customHeight="1">
      <c r="A1076" s="135">
        <v>2073.06</v>
      </c>
      <c r="B1076" s="122">
        <v>188649.482614115</v>
      </c>
      <c r="C1076" s="123">
        <v>444.6911394</v>
      </c>
      <c r="D1076" s="122">
        <v>3</v>
      </c>
      <c r="E1076" s="124" t="s">
        <v>1065</v>
      </c>
      <c r="F1076" s="135"/>
      <c r="G1076" s="122"/>
      <c r="H1076" s="123"/>
      <c r="I1076" s="124"/>
      <c r="J1076" s="31"/>
      <c r="L1076" s="125"/>
      <c r="M1076" s="126"/>
      <c r="N1076" s="26"/>
    </row>
    <row r="1077" spans="1:14" ht="20" customHeight="1">
      <c r="A1077" s="121">
        <v>2075.0524999999998</v>
      </c>
      <c r="B1077" s="122">
        <v>189092.624353313</v>
      </c>
      <c r="C1077" s="123">
        <v>444.4769321</v>
      </c>
      <c r="D1077" s="122">
        <v>3</v>
      </c>
      <c r="E1077" s="124" t="s">
        <v>1065</v>
      </c>
      <c r="F1077" s="121"/>
      <c r="G1077" s="122"/>
      <c r="H1077" s="123"/>
      <c r="I1077" s="124"/>
      <c r="J1077" s="31"/>
      <c r="L1077" s="125"/>
      <c r="M1077" s="126"/>
      <c r="N1077" s="26"/>
    </row>
    <row r="1078" spans="1:14" ht="20" customHeight="1">
      <c r="A1078" s="135">
        <v>2076.94</v>
      </c>
      <c r="B1078" s="122">
        <v>189481.14003352</v>
      </c>
      <c r="C1078" s="123">
        <v>447.50400029999997</v>
      </c>
      <c r="D1078" s="122">
        <v>3</v>
      </c>
      <c r="E1078" s="124" t="s">
        <v>1065</v>
      </c>
      <c r="F1078" s="135"/>
      <c r="G1078" s="122"/>
      <c r="H1078" s="123"/>
      <c r="I1078" s="124"/>
      <c r="J1078" s="31"/>
      <c r="L1078" s="125"/>
      <c r="M1078" s="126"/>
      <c r="N1078" s="26"/>
    </row>
    <row r="1079" spans="1:14" ht="20" customHeight="1">
      <c r="A1079" s="121">
        <v>2078.56</v>
      </c>
      <c r="B1079" s="122">
        <v>189804.44937263301</v>
      </c>
      <c r="C1079" s="123">
        <v>460.67447909999999</v>
      </c>
      <c r="D1079" s="122">
        <v>3</v>
      </c>
      <c r="E1079" s="124" t="s">
        <v>1065</v>
      </c>
      <c r="F1079" s="121"/>
      <c r="G1079" s="122"/>
      <c r="H1079" s="123"/>
      <c r="I1079" s="124"/>
      <c r="J1079" s="31"/>
      <c r="L1079" s="125"/>
      <c r="M1079" s="126"/>
      <c r="N1079" s="26"/>
    </row>
    <row r="1080" spans="1:14" ht="20" customHeight="1">
      <c r="A1080" s="125">
        <v>2079.5500000000002</v>
      </c>
      <c r="B1080" s="127">
        <v>190000.47017640001</v>
      </c>
      <c r="C1080" s="128">
        <v>476.9</v>
      </c>
      <c r="D1080" s="144">
        <v>6</v>
      </c>
      <c r="E1080" s="124" t="s">
        <v>1067</v>
      </c>
      <c r="F1080" s="125"/>
      <c r="G1080" s="125"/>
      <c r="H1080" s="128"/>
      <c r="I1080" s="124"/>
      <c r="J1080" s="31"/>
      <c r="L1080" s="125"/>
      <c r="M1080" s="126"/>
      <c r="N1080" s="26"/>
    </row>
    <row r="1081" spans="1:14" ht="20" customHeight="1">
      <c r="A1081" s="121">
        <v>2080.56</v>
      </c>
      <c r="B1081" s="122">
        <v>190193.80808965501</v>
      </c>
      <c r="C1081" s="123">
        <v>481.5686432</v>
      </c>
      <c r="D1081" s="122">
        <v>3</v>
      </c>
      <c r="E1081" s="124" t="s">
        <v>1065</v>
      </c>
      <c r="F1081" s="121"/>
      <c r="G1081" s="122"/>
      <c r="H1081" s="123"/>
      <c r="I1081" s="124"/>
      <c r="J1081" s="31"/>
      <c r="L1081" s="125"/>
      <c r="M1081" s="126"/>
      <c r="N1081" s="26"/>
    </row>
    <row r="1082" spans="1:14" ht="20" customHeight="1">
      <c r="A1082" s="135">
        <v>2083.44</v>
      </c>
      <c r="B1082" s="122">
        <v>190680.26103350401</v>
      </c>
      <c r="C1082" s="123">
        <v>425.88967600000001</v>
      </c>
      <c r="D1082" s="122">
        <v>3</v>
      </c>
      <c r="E1082" s="124" t="s">
        <v>1065</v>
      </c>
      <c r="F1082" s="135"/>
      <c r="G1082" s="122"/>
      <c r="H1082" s="123"/>
      <c r="I1082" s="124"/>
      <c r="J1082" s="31"/>
      <c r="L1082" s="125"/>
      <c r="M1082" s="126"/>
      <c r="N1082" s="26"/>
    </row>
    <row r="1083" spans="1:14" ht="20" customHeight="1">
      <c r="A1083" s="125">
        <v>2084.5549999999998</v>
      </c>
      <c r="B1083" s="127">
        <v>190879.36585388999</v>
      </c>
      <c r="C1083" s="128">
        <v>427.2</v>
      </c>
      <c r="D1083" s="144">
        <v>6</v>
      </c>
      <c r="E1083" s="124" t="s">
        <v>1067</v>
      </c>
      <c r="F1083" s="125"/>
      <c r="G1083" s="125"/>
      <c r="H1083" s="128"/>
      <c r="I1083" s="124"/>
      <c r="J1083" s="31"/>
      <c r="L1083" s="125"/>
      <c r="M1083" s="126"/>
      <c r="N1083" s="26"/>
    </row>
    <row r="1084" spans="1:14" ht="20" customHeight="1">
      <c r="A1084" s="121">
        <v>2085.56</v>
      </c>
      <c r="B1084" s="122">
        <v>191072.363295827</v>
      </c>
      <c r="C1084" s="123">
        <v>434.7689987</v>
      </c>
      <c r="D1084" s="122">
        <v>3</v>
      </c>
      <c r="E1084" s="124" t="s">
        <v>1065</v>
      </c>
      <c r="F1084" s="121"/>
      <c r="G1084" s="122"/>
      <c r="H1084" s="123"/>
      <c r="I1084" s="124"/>
      <c r="J1084" s="31"/>
      <c r="L1084" s="125"/>
      <c r="M1084" s="126"/>
      <c r="N1084" s="26"/>
    </row>
    <row r="1085" spans="1:14" ht="20" customHeight="1">
      <c r="A1085" s="121">
        <v>2088.06</v>
      </c>
      <c r="B1085" s="122">
        <v>191555.34101144999</v>
      </c>
      <c r="C1085" s="123">
        <v>444.22121440000001</v>
      </c>
      <c r="D1085" s="122">
        <v>3</v>
      </c>
      <c r="E1085" s="124" t="s">
        <v>1065</v>
      </c>
      <c r="F1085" s="121"/>
      <c r="G1085" s="122"/>
      <c r="H1085" s="123"/>
      <c r="I1085" s="124"/>
      <c r="J1085" s="31"/>
      <c r="L1085" s="125"/>
      <c r="M1085" s="126"/>
      <c r="N1085" s="26"/>
    </row>
    <row r="1086" spans="1:14" ht="20" customHeight="1">
      <c r="A1086" s="125">
        <v>2090.4499999999998</v>
      </c>
      <c r="B1086" s="127">
        <v>192033.75011596101</v>
      </c>
      <c r="C1086" s="128">
        <v>466.8</v>
      </c>
      <c r="D1086" s="144">
        <v>6</v>
      </c>
      <c r="E1086" s="124" t="s">
        <v>1067</v>
      </c>
      <c r="F1086" s="125"/>
      <c r="G1086" s="125"/>
      <c r="H1086" s="128"/>
      <c r="I1086" s="124"/>
      <c r="J1086" s="31"/>
      <c r="L1086" s="125"/>
      <c r="M1086" s="126"/>
      <c r="N1086" s="26"/>
    </row>
    <row r="1087" spans="1:14" ht="20" customHeight="1">
      <c r="A1087" s="135">
        <v>2090.56</v>
      </c>
      <c r="B1087" s="122">
        <v>192056.49290057601</v>
      </c>
      <c r="C1087" s="123">
        <v>464.07733459999997</v>
      </c>
      <c r="D1087" s="122">
        <v>3</v>
      </c>
      <c r="E1087" s="124" t="s">
        <v>1065</v>
      </c>
      <c r="F1087" s="135"/>
      <c r="G1087" s="122"/>
      <c r="H1087" s="123"/>
      <c r="I1087" s="124"/>
      <c r="J1087" s="31"/>
      <c r="L1087" s="125"/>
      <c r="M1087" s="126"/>
      <c r="N1087" s="26"/>
    </row>
    <row r="1088" spans="1:14" ht="20" customHeight="1">
      <c r="A1088" s="121">
        <v>2093.56</v>
      </c>
      <c r="B1088" s="122">
        <v>192661.913256684</v>
      </c>
      <c r="C1088" s="123">
        <v>477.93975139999998</v>
      </c>
      <c r="D1088" s="122">
        <v>3</v>
      </c>
      <c r="E1088" s="124" t="s">
        <v>1065</v>
      </c>
      <c r="F1088" s="121"/>
      <c r="G1088" s="122"/>
      <c r="H1088" s="123"/>
      <c r="I1088" s="124"/>
      <c r="J1088" s="31"/>
      <c r="L1088" s="125"/>
      <c r="M1088" s="126"/>
      <c r="N1088" s="26"/>
    </row>
    <row r="1089" spans="1:14" ht="20" customHeight="1">
      <c r="A1089" s="125">
        <v>2094.5500000000002</v>
      </c>
      <c r="B1089" s="127">
        <v>192873.14382097</v>
      </c>
      <c r="C1089" s="128">
        <v>495.9</v>
      </c>
      <c r="D1089" s="144">
        <v>6</v>
      </c>
      <c r="E1089" s="124" t="s">
        <v>1067</v>
      </c>
      <c r="F1089" s="125"/>
      <c r="G1089" s="125"/>
      <c r="H1089" s="128"/>
      <c r="I1089" s="124"/>
      <c r="J1089" s="31"/>
      <c r="L1089" s="125"/>
      <c r="M1089" s="126"/>
      <c r="N1089" s="26"/>
    </row>
    <row r="1090" spans="1:14" ht="20" customHeight="1">
      <c r="A1090" s="135">
        <v>2095.56</v>
      </c>
      <c r="B1090" s="122">
        <v>193100.254494569</v>
      </c>
      <c r="C1090" s="123">
        <v>500.48054819999999</v>
      </c>
      <c r="D1090" s="122">
        <v>3</v>
      </c>
      <c r="E1090" s="124" t="s">
        <v>1065</v>
      </c>
      <c r="F1090" s="135"/>
      <c r="G1090" s="122"/>
      <c r="H1090" s="123"/>
      <c r="I1090" s="124"/>
      <c r="J1090" s="31"/>
      <c r="L1090" s="125"/>
      <c r="M1090" s="126"/>
      <c r="N1090" s="26"/>
    </row>
    <row r="1091" spans="1:14" ht="20" customHeight="1">
      <c r="A1091" s="121">
        <v>2098.94</v>
      </c>
      <c r="B1091" s="122">
        <v>193817.50418125201</v>
      </c>
      <c r="C1091" s="123">
        <v>544.45940450000001</v>
      </c>
      <c r="D1091" s="122">
        <v>3</v>
      </c>
      <c r="E1091" s="124" t="s">
        <v>1065</v>
      </c>
      <c r="F1091" s="121"/>
      <c r="G1091" s="122"/>
      <c r="H1091" s="123"/>
      <c r="I1091" s="124"/>
      <c r="J1091" s="31"/>
      <c r="L1091" s="125"/>
      <c r="M1091" s="126"/>
      <c r="N1091" s="26"/>
    </row>
    <row r="1092" spans="1:14" ht="20" customHeight="1">
      <c r="A1092" s="125">
        <v>2099.5500000000002</v>
      </c>
      <c r="B1092" s="127">
        <v>193924.837773184</v>
      </c>
      <c r="C1092" s="128">
        <v>562</v>
      </c>
      <c r="D1092" s="144">
        <v>6</v>
      </c>
      <c r="E1092" s="124" t="s">
        <v>1067</v>
      </c>
      <c r="F1092" s="125"/>
      <c r="G1092" s="125"/>
      <c r="H1092" s="128"/>
      <c r="I1092" s="124"/>
      <c r="J1092" s="31"/>
      <c r="L1092" s="125"/>
      <c r="M1092" s="126"/>
      <c r="N1092" s="26"/>
    </row>
    <row r="1093" spans="1:14" ht="20" customHeight="1">
      <c r="A1093" s="135">
        <v>2101.06</v>
      </c>
      <c r="B1093" s="122">
        <v>194191.01205154101</v>
      </c>
      <c r="C1093" s="123">
        <v>497.98075310000002</v>
      </c>
      <c r="D1093" s="122">
        <v>3</v>
      </c>
      <c r="E1093" s="124" t="s">
        <v>1065</v>
      </c>
      <c r="F1093" s="135"/>
      <c r="G1093" s="122"/>
      <c r="H1093" s="123"/>
      <c r="I1093" s="124"/>
      <c r="J1093" s="31"/>
      <c r="L1093" s="125"/>
      <c r="M1093" s="126"/>
      <c r="N1093" s="26"/>
    </row>
    <row r="1094" spans="1:14" ht="20" customHeight="1">
      <c r="A1094" s="121">
        <v>2103.56</v>
      </c>
      <c r="B1094" s="122">
        <v>194628.81435007899</v>
      </c>
      <c r="C1094" s="123">
        <v>485.38316070000002</v>
      </c>
      <c r="D1094" s="122">
        <v>3</v>
      </c>
      <c r="E1094" s="124" t="s">
        <v>1065</v>
      </c>
      <c r="F1094" s="121"/>
      <c r="G1094" s="122"/>
      <c r="H1094" s="123"/>
      <c r="I1094" s="124"/>
      <c r="J1094" s="31"/>
      <c r="L1094" s="125"/>
      <c r="M1094" s="126"/>
      <c r="N1094" s="26"/>
    </row>
    <row r="1095" spans="1:14" ht="20" customHeight="1">
      <c r="A1095" s="125">
        <v>2104.5500000000002</v>
      </c>
      <c r="B1095" s="127">
        <v>194804.11468666999</v>
      </c>
      <c r="C1095" s="128">
        <v>467.9</v>
      </c>
      <c r="D1095" s="144">
        <v>6</v>
      </c>
      <c r="E1095" s="124" t="s">
        <v>1067</v>
      </c>
      <c r="F1095" s="125"/>
      <c r="G1095" s="125"/>
      <c r="H1095" s="128"/>
      <c r="I1095" s="124"/>
      <c r="J1095" s="31"/>
      <c r="L1095" s="125"/>
      <c r="M1095" s="126"/>
      <c r="N1095" s="26"/>
    </row>
    <row r="1096" spans="1:14" ht="20" customHeight="1">
      <c r="A1096" s="121">
        <v>2105.56</v>
      </c>
      <c r="B1096" s="122">
        <v>194990.599079682</v>
      </c>
      <c r="C1096" s="123">
        <v>476.14387470000003</v>
      </c>
      <c r="D1096" s="122">
        <v>3</v>
      </c>
      <c r="E1096" s="124" t="s">
        <v>1065</v>
      </c>
      <c r="F1096" s="121"/>
      <c r="G1096" s="122"/>
      <c r="H1096" s="123"/>
      <c r="I1096" s="124"/>
      <c r="J1096" s="31"/>
      <c r="L1096" s="125"/>
      <c r="M1096" s="126"/>
      <c r="N1096" s="26"/>
    </row>
    <row r="1097" spans="1:14" ht="20" customHeight="1">
      <c r="A1097" s="121">
        <v>2108.06</v>
      </c>
      <c r="B1097" s="122">
        <v>195478.656590837</v>
      </c>
      <c r="C1097" s="123">
        <v>490.87265230000003</v>
      </c>
      <c r="D1097" s="122">
        <v>3</v>
      </c>
      <c r="E1097" s="124" t="s">
        <v>1065</v>
      </c>
      <c r="F1097" s="121"/>
      <c r="G1097" s="122"/>
      <c r="H1097" s="123"/>
      <c r="I1097" s="124"/>
      <c r="J1097" s="31"/>
      <c r="L1097" s="125"/>
      <c r="M1097" s="126"/>
      <c r="N1097" s="26"/>
    </row>
    <row r="1098" spans="1:14" ht="20" customHeight="1">
      <c r="A1098" s="125">
        <v>2109.5450000000001</v>
      </c>
      <c r="B1098" s="127">
        <v>195772.904881694</v>
      </c>
      <c r="C1098" s="128">
        <v>509.5</v>
      </c>
      <c r="D1098" s="144">
        <v>6</v>
      </c>
      <c r="E1098" s="124" t="s">
        <v>1067</v>
      </c>
      <c r="F1098" s="125"/>
      <c r="G1098" s="125"/>
      <c r="H1098" s="128"/>
      <c r="I1098" s="124"/>
      <c r="J1098" s="31"/>
      <c r="L1098" s="125"/>
      <c r="M1098" s="126"/>
      <c r="N1098" s="26"/>
    </row>
    <row r="1099" spans="1:14" ht="20" customHeight="1">
      <c r="A1099" s="135">
        <v>2111.06</v>
      </c>
      <c r="B1099" s="122">
        <v>196072.294520856</v>
      </c>
      <c r="C1099" s="123">
        <v>522.84296879999999</v>
      </c>
      <c r="D1099" s="122">
        <v>3</v>
      </c>
      <c r="E1099" s="124" t="s">
        <v>1065</v>
      </c>
      <c r="F1099" s="135"/>
      <c r="G1099" s="122"/>
      <c r="H1099" s="123"/>
      <c r="I1099" s="124"/>
      <c r="J1099" s="31"/>
      <c r="L1099" s="125"/>
      <c r="M1099" s="126"/>
      <c r="N1099" s="26"/>
    </row>
    <row r="1100" spans="1:14" ht="20" customHeight="1">
      <c r="A1100" s="136">
        <v>2113.5550000000003</v>
      </c>
      <c r="B1100" s="137">
        <v>196533.319349314</v>
      </c>
      <c r="C1100" s="138">
        <v>544.20000000000005</v>
      </c>
      <c r="D1100" s="122">
        <v>3</v>
      </c>
      <c r="E1100" s="124" t="s">
        <v>1065</v>
      </c>
      <c r="F1100" s="136"/>
      <c r="G1100" s="137"/>
      <c r="H1100" s="138"/>
      <c r="I1100" s="124"/>
      <c r="J1100" s="31"/>
      <c r="L1100" s="125"/>
      <c r="M1100" s="126"/>
      <c r="N1100" s="26"/>
    </row>
    <row r="1101" spans="1:14" ht="20" customHeight="1">
      <c r="A1101" s="139">
        <v>2114.5349999999999</v>
      </c>
      <c r="B1101" s="140">
        <v>196722.15733197599</v>
      </c>
      <c r="C1101" s="128">
        <v>551.29999999999995</v>
      </c>
      <c r="D1101" s="144">
        <v>6</v>
      </c>
      <c r="E1101" s="124" t="s">
        <v>1067</v>
      </c>
      <c r="F1101" s="139"/>
      <c r="G1101" s="139"/>
      <c r="H1101" s="128"/>
      <c r="I1101" s="124"/>
      <c r="J1101" s="31"/>
      <c r="L1101" s="125"/>
      <c r="M1101" s="126"/>
      <c r="N1101" s="26"/>
    </row>
    <row r="1102" spans="1:14" ht="20" customHeight="1">
      <c r="A1102" s="136">
        <v>2116.06</v>
      </c>
      <c r="B1102" s="137">
        <v>197001.26946892199</v>
      </c>
      <c r="C1102" s="138">
        <v>550.4</v>
      </c>
      <c r="D1102" s="122">
        <v>3</v>
      </c>
      <c r="E1102" s="124" t="s">
        <v>1065</v>
      </c>
      <c r="F1102" s="136"/>
      <c r="G1102" s="137"/>
      <c r="H1102" s="138"/>
      <c r="I1102" s="124"/>
      <c r="J1102" s="31"/>
      <c r="L1102" s="125"/>
      <c r="M1102" s="126"/>
      <c r="N1102" s="26"/>
    </row>
    <row r="1103" spans="1:14" ht="20" customHeight="1">
      <c r="A1103" s="141">
        <v>2118.94</v>
      </c>
      <c r="B1103" s="137">
        <v>197556.400336636</v>
      </c>
      <c r="C1103" s="138">
        <v>575</v>
      </c>
      <c r="D1103" s="122">
        <v>3</v>
      </c>
      <c r="E1103" s="124" t="s">
        <v>1065</v>
      </c>
      <c r="F1103" s="141"/>
      <c r="G1103" s="137"/>
      <c r="H1103" s="138"/>
      <c r="I1103" s="124"/>
      <c r="J1103" s="31"/>
      <c r="L1103" s="125"/>
      <c r="M1103" s="126"/>
      <c r="N1103" s="26"/>
    </row>
    <row r="1104" spans="1:14" ht="20" customHeight="1">
      <c r="A1104" s="139">
        <v>2119.5574999999999</v>
      </c>
      <c r="B1104" s="140">
        <v>197675.724883902</v>
      </c>
      <c r="C1104" s="142">
        <v>581.9</v>
      </c>
      <c r="D1104" s="144">
        <v>6</v>
      </c>
      <c r="E1104" s="124" t="s">
        <v>1067</v>
      </c>
      <c r="F1104" s="139"/>
      <c r="G1104" s="139"/>
      <c r="H1104" s="142"/>
      <c r="I1104" s="124"/>
      <c r="J1104" s="31"/>
      <c r="L1104" s="125"/>
      <c r="M1104" s="126"/>
      <c r="N1104" s="26"/>
    </row>
    <row r="1105" spans="1:14" ht="20" customHeight="1">
      <c r="A1105" s="136">
        <v>2120.56</v>
      </c>
      <c r="B1105" s="137">
        <v>197863.89386283001</v>
      </c>
      <c r="C1105" s="138">
        <v>579.79999999999995</v>
      </c>
      <c r="D1105" s="122">
        <v>3</v>
      </c>
      <c r="E1105" s="124" t="s">
        <v>1065</v>
      </c>
      <c r="F1105" s="136"/>
      <c r="G1105" s="137"/>
      <c r="H1105" s="138"/>
      <c r="I1105" s="124"/>
      <c r="J1105" s="31"/>
      <c r="L1105" s="125"/>
      <c r="M1105" s="126"/>
      <c r="N1105" s="26"/>
    </row>
    <row r="1106" spans="1:14" ht="20" customHeight="1">
      <c r="A1106" s="141">
        <v>2123.94</v>
      </c>
      <c r="B1106" s="137">
        <v>198483.209183803</v>
      </c>
      <c r="C1106" s="138">
        <v>599.9</v>
      </c>
      <c r="D1106" s="122">
        <v>3</v>
      </c>
      <c r="E1106" s="124" t="s">
        <v>1065</v>
      </c>
      <c r="F1106" s="141"/>
      <c r="G1106" s="137"/>
      <c r="H1106" s="138"/>
      <c r="I1106" s="124"/>
      <c r="J1106" s="31"/>
      <c r="L1106" s="125"/>
      <c r="M1106" s="126"/>
      <c r="N1106" s="26"/>
    </row>
    <row r="1107" spans="1:14" ht="20" customHeight="1">
      <c r="A1107" s="139">
        <v>2124.56</v>
      </c>
      <c r="B1107" s="140">
        <v>198600.95537645801</v>
      </c>
      <c r="C1107" s="142">
        <v>611.70000000000005</v>
      </c>
      <c r="D1107" s="144">
        <v>6</v>
      </c>
      <c r="E1107" s="124" t="s">
        <v>1067</v>
      </c>
      <c r="F1107" s="139"/>
      <c r="G1107" s="139"/>
      <c r="H1107" s="142"/>
      <c r="I1107" s="124"/>
      <c r="J1107" s="31"/>
      <c r="L1107" s="125"/>
      <c r="M1107" s="126"/>
      <c r="N1107" s="26"/>
    </row>
    <row r="1108" spans="1:14" ht="20" customHeight="1">
      <c r="A1108" s="136">
        <v>2126.06</v>
      </c>
      <c r="B1108" s="137">
        <v>198893.409976208</v>
      </c>
      <c r="C1108" s="138">
        <v>608.1</v>
      </c>
      <c r="D1108" s="122">
        <v>3</v>
      </c>
      <c r="E1108" s="124" t="s">
        <v>1065</v>
      </c>
      <c r="F1108" s="136"/>
      <c r="G1108" s="137"/>
      <c r="H1108" s="138"/>
      <c r="I1108" s="124"/>
      <c r="J1108" s="31"/>
      <c r="L1108" s="125"/>
      <c r="M1108" s="126"/>
      <c r="N1108" s="26"/>
    </row>
    <row r="1109" spans="1:14" ht="20" customHeight="1">
      <c r="A1109" s="136">
        <v>2128.8850000000002</v>
      </c>
      <c r="B1109" s="137">
        <v>199437.45344188699</v>
      </c>
      <c r="C1109" s="138">
        <v>629.1</v>
      </c>
      <c r="D1109" s="122">
        <v>3</v>
      </c>
      <c r="E1109" s="124" t="s">
        <v>1065</v>
      </c>
      <c r="F1109" s="136"/>
      <c r="G1109" s="137"/>
      <c r="H1109" s="138"/>
      <c r="I1109" s="124"/>
      <c r="J1109" s="31"/>
      <c r="L1109" s="125"/>
      <c r="M1109" s="126"/>
      <c r="N1109" s="26"/>
    </row>
    <row r="1110" spans="1:14" ht="20" customHeight="1">
      <c r="A1110" s="139">
        <v>2130.0500000000002</v>
      </c>
      <c r="B1110" s="140">
        <v>199648.97676766201</v>
      </c>
      <c r="C1110" s="142">
        <v>629.20000000000005</v>
      </c>
      <c r="D1110" s="144">
        <v>6</v>
      </c>
      <c r="E1110" s="124" t="s">
        <v>1067</v>
      </c>
      <c r="F1110" s="139"/>
      <c r="G1110" s="139"/>
      <c r="H1110" s="142"/>
      <c r="I1110" s="124"/>
      <c r="J1110" s="31"/>
      <c r="L1110" s="125"/>
      <c r="M1110" s="126"/>
      <c r="N1110" s="26"/>
    </row>
    <row r="1111" spans="1:14" ht="20" customHeight="1">
      <c r="A1111" s="141">
        <v>2131.56</v>
      </c>
      <c r="B1111" s="137">
        <v>199929.46928141799</v>
      </c>
      <c r="C1111" s="138">
        <v>647.5</v>
      </c>
      <c r="D1111" s="122">
        <v>3</v>
      </c>
      <c r="E1111" s="124" t="s">
        <v>1065</v>
      </c>
      <c r="F1111" s="141"/>
      <c r="G1111" s="137"/>
      <c r="H1111" s="138"/>
      <c r="I1111" s="124"/>
      <c r="J1111" s="31"/>
      <c r="L1111" s="125"/>
      <c r="M1111" s="126"/>
      <c r="N1111" s="26"/>
    </row>
    <row r="1112" spans="1:14" ht="20" customHeight="1">
      <c r="A1112" s="136">
        <v>2133.56</v>
      </c>
      <c r="B1112" s="137">
        <v>200310.46483715699</v>
      </c>
      <c r="C1112" s="138">
        <v>633.79999999999995</v>
      </c>
      <c r="D1112" s="122">
        <v>3</v>
      </c>
      <c r="E1112" s="124" t="s">
        <v>1065</v>
      </c>
      <c r="F1112" s="136"/>
      <c r="G1112" s="137"/>
      <c r="H1112" s="138"/>
      <c r="I1112" s="124"/>
      <c r="J1112" s="31"/>
      <c r="L1112" s="125"/>
      <c r="M1112" s="126"/>
      <c r="N1112" s="26"/>
    </row>
    <row r="1113" spans="1:14" ht="20" customHeight="1">
      <c r="A1113" s="139">
        <v>2134.56</v>
      </c>
      <c r="B1113" s="140">
        <v>200512.68783853701</v>
      </c>
      <c r="C1113" s="142">
        <v>613.70000000000005</v>
      </c>
      <c r="D1113" s="144">
        <v>6</v>
      </c>
      <c r="E1113" s="124" t="s">
        <v>1067</v>
      </c>
      <c r="F1113" s="139"/>
      <c r="G1113" s="139"/>
      <c r="H1113" s="142"/>
      <c r="I1113" s="124"/>
      <c r="J1113" s="31"/>
      <c r="L1113" s="125"/>
      <c r="M1113" s="126"/>
      <c r="N1113" s="26"/>
    </row>
    <row r="1114" spans="1:14" ht="20" customHeight="1">
      <c r="A1114" s="141">
        <v>2135.56</v>
      </c>
      <c r="B1114" s="137">
        <v>200713.82596535599</v>
      </c>
      <c r="C1114" s="138">
        <v>608.20000000000005</v>
      </c>
      <c r="D1114" s="122">
        <v>3</v>
      </c>
      <c r="E1114" s="124" t="s">
        <v>1065</v>
      </c>
      <c r="F1114" s="141"/>
      <c r="G1114" s="137"/>
      <c r="H1114" s="138"/>
      <c r="I1114" s="124"/>
      <c r="J1114" s="31"/>
      <c r="L1114" s="125"/>
      <c r="M1114" s="126"/>
      <c r="N1114" s="26"/>
    </row>
    <row r="1115" spans="1:14" ht="20" customHeight="1">
      <c r="A1115" s="141">
        <v>2137.56</v>
      </c>
      <c r="B1115" s="137">
        <v>201125.58672289</v>
      </c>
      <c r="C1115" s="138">
        <v>510</v>
      </c>
      <c r="D1115" s="122">
        <v>3</v>
      </c>
      <c r="E1115" s="124" t="s">
        <v>1065</v>
      </c>
      <c r="F1115" s="141"/>
      <c r="G1115" s="137"/>
      <c r="H1115" s="138"/>
      <c r="I1115" s="124"/>
      <c r="J1115" s="31"/>
      <c r="L1115" s="125"/>
      <c r="M1115" s="126"/>
      <c r="N1115" s="26"/>
    </row>
    <row r="1116" spans="1:14" ht="20" customHeight="1">
      <c r="A1116" s="136">
        <v>2139.06</v>
      </c>
      <c r="B1116" s="137">
        <v>201466.79778155001</v>
      </c>
      <c r="C1116" s="138">
        <v>491.1</v>
      </c>
      <c r="D1116" s="122">
        <v>3</v>
      </c>
      <c r="E1116" s="124" t="s">
        <v>1065</v>
      </c>
      <c r="F1116" s="136"/>
      <c r="G1116" s="137"/>
      <c r="H1116" s="138"/>
      <c r="I1116" s="124"/>
      <c r="J1116" s="31"/>
      <c r="L1116" s="125"/>
      <c r="M1116" s="126"/>
      <c r="N1116" s="26"/>
    </row>
    <row r="1117" spans="1:14" ht="20" customHeight="1">
      <c r="A1117" s="139">
        <v>2139.5500000000002</v>
      </c>
      <c r="B1117" s="140">
        <v>201579.37414593101</v>
      </c>
      <c r="C1117" s="142">
        <v>481.8</v>
      </c>
      <c r="D1117" s="144">
        <v>6</v>
      </c>
      <c r="E1117" s="124" t="s">
        <v>1067</v>
      </c>
      <c r="F1117" s="139"/>
      <c r="G1117" s="139"/>
      <c r="H1117" s="142"/>
      <c r="I1117" s="124"/>
      <c r="J1117" s="31"/>
      <c r="L1117" s="125"/>
      <c r="M1117" s="126"/>
      <c r="N1117" s="26"/>
    </row>
    <row r="1118" spans="1:14" ht="20" customHeight="1">
      <c r="A1118" s="141">
        <v>2141.06</v>
      </c>
      <c r="B1118" s="137">
        <v>201915.13841767699</v>
      </c>
      <c r="C1118" s="138">
        <v>565.20000000000005</v>
      </c>
      <c r="D1118" s="122">
        <v>3</v>
      </c>
      <c r="E1118" s="124" t="s">
        <v>1065</v>
      </c>
      <c r="F1118" s="141"/>
      <c r="G1118" s="137"/>
      <c r="H1118" s="138"/>
      <c r="I1118" s="124"/>
      <c r="J1118" s="31"/>
      <c r="L1118" s="125"/>
      <c r="M1118" s="126"/>
      <c r="N1118" s="26"/>
    </row>
    <row r="1119" spans="1:14" ht="20" customHeight="1">
      <c r="A1119" s="136">
        <v>2142.56</v>
      </c>
      <c r="B1119" s="137">
        <v>202279.24240884799</v>
      </c>
      <c r="C1119" s="138">
        <v>509.9</v>
      </c>
      <c r="D1119" s="122">
        <v>3</v>
      </c>
      <c r="E1119" s="124" t="s">
        <v>1065</v>
      </c>
      <c r="F1119" s="136"/>
      <c r="G1119" s="137"/>
      <c r="H1119" s="138"/>
      <c r="I1119" s="124"/>
      <c r="J1119" s="31"/>
      <c r="L1119" s="125"/>
      <c r="M1119" s="126"/>
      <c r="N1119" s="26"/>
    </row>
    <row r="1120" spans="1:14" ht="20" customHeight="1">
      <c r="A1120" s="141">
        <v>2144.06</v>
      </c>
      <c r="B1120" s="137">
        <v>202644.39068572299</v>
      </c>
      <c r="C1120" s="138">
        <v>452.2</v>
      </c>
      <c r="D1120" s="122">
        <v>3</v>
      </c>
      <c r="E1120" s="124" t="s">
        <v>1065</v>
      </c>
      <c r="F1120" s="141"/>
      <c r="G1120" s="137"/>
      <c r="H1120" s="138"/>
      <c r="I1120" s="124"/>
      <c r="J1120" s="31"/>
      <c r="L1120" s="125"/>
      <c r="M1120" s="126"/>
      <c r="N1120" s="26"/>
    </row>
    <row r="1121" spans="1:14" ht="20" customHeight="1">
      <c r="A1121" s="139">
        <v>2144.56</v>
      </c>
      <c r="B1121" s="140">
        <v>202765.94522925199</v>
      </c>
      <c r="C1121" s="142">
        <v>457.9</v>
      </c>
      <c r="D1121" s="144">
        <v>6</v>
      </c>
      <c r="E1121" s="124" t="s">
        <v>1067</v>
      </c>
      <c r="F1121" s="139"/>
      <c r="G1121" s="139"/>
      <c r="H1121" s="142"/>
      <c r="I1121" s="124"/>
      <c r="J1121" s="31"/>
      <c r="L1121" s="125"/>
      <c r="M1121" s="126"/>
      <c r="N1121" s="26"/>
    </row>
    <row r="1122" spans="1:14" ht="20" customHeight="1">
      <c r="A1122" s="136">
        <v>2146.06</v>
      </c>
      <c r="B1122" s="137">
        <v>203129.647114291</v>
      </c>
      <c r="C1122" s="138">
        <v>453.7</v>
      </c>
      <c r="D1122" s="122">
        <v>3</v>
      </c>
      <c r="E1122" s="124" t="s">
        <v>1065</v>
      </c>
      <c r="F1122" s="136"/>
      <c r="G1122" s="137"/>
      <c r="H1122" s="138"/>
      <c r="I1122" s="124"/>
      <c r="J1122" s="31"/>
      <c r="L1122" s="125"/>
      <c r="M1122" s="126"/>
      <c r="N1122" s="26"/>
    </row>
    <row r="1123" spans="1:14" ht="20" customHeight="1">
      <c r="A1123" s="141">
        <v>2148.56</v>
      </c>
      <c r="B1123" s="137">
        <v>203797.390329977</v>
      </c>
      <c r="C1123" s="138">
        <v>447.5</v>
      </c>
      <c r="D1123" s="122">
        <v>3</v>
      </c>
      <c r="E1123" s="124" t="s">
        <v>1065</v>
      </c>
      <c r="F1123" s="141"/>
      <c r="G1123" s="137"/>
      <c r="H1123" s="138"/>
      <c r="I1123" s="124"/>
      <c r="J1123" s="31"/>
      <c r="L1123" s="125"/>
      <c r="M1123" s="126"/>
      <c r="N1123" s="26"/>
    </row>
    <row r="1124" spans="1:14" ht="20" customHeight="1">
      <c r="A1124" s="136"/>
      <c r="B1124" s="137"/>
      <c r="C1124" s="138"/>
      <c r="E1124" s="136"/>
      <c r="F1124" s="137"/>
      <c r="G1124" s="138"/>
    </row>
    <row r="1125" spans="1:14" ht="20" customHeight="1">
      <c r="A1125" s="141"/>
      <c r="B1125" s="137"/>
      <c r="C1125" s="138"/>
      <c r="E1125" s="141"/>
      <c r="F1125" s="137"/>
      <c r="G1125" s="138"/>
    </row>
    <row r="1126" spans="1:14" ht="20" customHeight="1">
      <c r="A1126" s="143"/>
      <c r="B1126" s="143"/>
      <c r="C1126" s="128"/>
      <c r="E1126" s="143"/>
      <c r="F1126" s="143"/>
      <c r="G1126" s="128"/>
    </row>
    <row r="1127" spans="1:14" ht="20" customHeight="1">
      <c r="A1127" s="136"/>
      <c r="B1127" s="137"/>
      <c r="C1127" s="138"/>
      <c r="E1127" s="136"/>
      <c r="F1127" s="137"/>
      <c r="G1127" s="138"/>
    </row>
    <row r="1128" spans="1:14" ht="20" customHeight="1">
      <c r="A1128" s="141"/>
      <c r="B1128" s="137"/>
      <c r="C1128" s="138"/>
      <c r="E1128" s="141"/>
      <c r="F1128" s="137"/>
      <c r="G1128" s="138"/>
    </row>
  </sheetData>
  <sortState xmlns:xlrd2="http://schemas.microsoft.com/office/spreadsheetml/2017/richdata2" ref="A701:E952">
    <sortCondition ref="A701:A952"/>
  </sortState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(1) cover sheet</vt:lpstr>
      <vt:lpstr>(2) NIPR gas data</vt:lpstr>
      <vt:lpstr>(3) TU gas data</vt:lpstr>
      <vt:lpstr>(4) IGE gas data</vt:lpstr>
      <vt:lpstr>(5) CH4 composite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Ikumi Oyabu</dc:creator>
  <cp:lastModifiedBy>Ikumi Oyabu</cp:lastModifiedBy>
  <dcterms:created xsi:type="dcterms:W3CDTF">2020-08-19T04:37:32Z</dcterms:created>
  <dcterms:modified xsi:type="dcterms:W3CDTF">2022-08-31T23:00:11Z</dcterms:modified>
</cp:coreProperties>
</file>